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s" sheetId="1" r:id="rId5"/>
    <sheet state="visible" name="FullStudentList" sheetId="2" r:id="rId6"/>
    <sheet state="visible" name="FullCCList" sheetId="3" r:id="rId7"/>
    <sheet state="visible" name="2C7" sheetId="4" r:id="rId8"/>
    <sheet state="visible" name="2C4" sheetId="5" r:id="rId9"/>
    <sheet state="visible" name="Defaulters_2C7" sheetId="6" r:id="rId10"/>
    <sheet state="visible" name="Defaulters_2C4" sheetId="7" r:id="rId11"/>
    <sheet state="visible" name="MyGroups" sheetId="8" r:id="rId12"/>
    <sheet state="visible" name="Config" sheetId="9" r:id="rId13"/>
    <sheet state="visible" name="Template" sheetId="10" r:id="rId14"/>
    <sheet state="visible" name="04_08_2026_2C4" sheetId="11" r:id="rId15"/>
    <sheet state="visible" name="31_07_2026_2C7" sheetId="12" r:id="rId16"/>
    <sheet state="visible" name="test_2C4" sheetId="13" r:id="rId17"/>
  </sheets>
  <definedNames>
    <definedName hidden="1" localSheetId="2" name="_xlnm._FilterDatabase">FullCCList!$A$1:$Z$1941</definedName>
    <definedName hidden="1" localSheetId="3" name="_xlnm._FilterDatabase">'2C7'!$A$1:$Z$134</definedName>
    <definedName hidden="1" localSheetId="4" name="_xlnm._FilterDatabase">'2C4'!$A$1:$W$139</definedName>
    <definedName hidden="1" localSheetId="7" name="Z_F6892984_A67A_4BF2_BF5B_417318CD4702_.wvu.FilterData">MyGroups!$A$1:$I$274</definedName>
  </definedNames>
  <calcPr/>
  <customWorkbookViews>
    <customWorkbookView activeSheetId="0" maximized="1" windowHeight="0" windowWidth="0" guid="{F6892984-A67A-4BF2-BF5B-417318CD4702}" name="Table4 filter view"/>
  </customWorkbookViews>
</workbook>
</file>

<file path=xl/sharedStrings.xml><?xml version="1.0" encoding="utf-8"?>
<sst xmlns="http://schemas.openxmlformats.org/spreadsheetml/2006/main" count="28732" uniqueCount="11591">
  <si>
    <t>Timestamp</t>
  </si>
  <si>
    <t>Roll No</t>
  </si>
  <si>
    <t>User Id</t>
  </si>
  <si>
    <t>Log Message</t>
  </si>
  <si>
    <t>Name</t>
  </si>
  <si>
    <t>CC Username</t>
  </si>
  <si>
    <t>Email</t>
  </si>
  <si>
    <t>|=== [doGet] Request Received ===| 
 Retrieved 1000 rows from 'Config' sheet. 
 ✅ Processed dates: [31_07_2026, 04_08_2026, test]</t>
  </si>
  <si>
    <t>Class</t>
  </si>
  <si>
    <t>Division</t>
  </si>
  <si>
    <t>Additional Data</t>
  </si>
  <si>
    <t>Group</t>
  </si>
  <si>
    <t>Edit Student Data</t>
  </si>
  <si>
    <t>Gurjot Kaur</t>
  </si>
  <si>
    <t>gurjot_kaur</t>
  </si>
  <si>
    <t>gkaur4_be25@thapar.edu</t>
  </si>
  <si>
    <t>1025030205</t>
  </si>
  <si>
    <t>2C18</t>
  </si>
  <si>
    <t>Abhinav Prem Singh</t>
  </si>
  <si>
    <t>trip_glint_96</t>
  </si>
  <si>
    <t>asingh6_be25@thapar.edu</t>
  </si>
  <si>
    <t>1025030397</t>
  </si>
  <si>
    <t>2C32</t>
  </si>
  <si>
    <t>|=== [doPost] Request Received ===| 
 Raw Payload: {"date":"test","group":"2C4","email":"abc@thapar.edu",,"rollNumber":"1025031041","serialNumber":"20"} 
 ❌ Exception: SyntaxError: Expected double-quoted property name in JSON at position 54 (line 1 column 55)</t>
  </si>
  <si>
    <t>Harshita Hooda</t>
  </si>
  <si>
    <t>|=== [doPost] Request Received ===| 
 Raw Payload: {"date":"test","group":"2C4","email":"abc@thapar.edu","rollNumber":"1025031041","serialNumber":"20"} 
 Parsed Parameters -&gt; Date: 'test', Group: '2C4', Email: 'abc@thapar.edu', Roll: '1025031041', Serial: 20 
 'MyGroups' last row: 274 
 ✅ Roll Number '1025031041' verified in MyGroups. 
 Max serial limit for date 'test' and group '2C4': 79 
 Sheet 'test_2C4' does not exist. Creating new sheet... 
 Copying from 'Template' sheet. 
 Sheet 'test_2C4' last row: 1 
 ✅ Successfully appended attendance entry for Roll: 1025031041, Seat #20</t>
  </si>
  <si>
    <t>yoke_dawn_47</t>
  </si>
  <si>
    <t>Total/MarkedAttendance</t>
  </si>
  <si>
    <t>hharshita1_be25@thapar.edu</t>
  </si>
  <si>
    <t>1025030412</t>
  </si>
  <si>
    <t>2C33</t>
  </si>
  <si>
    <t>|=== [doPost] Request Received ===| 
 Raw Payload: {"date":"test","group":"2C4","email":"abc@thapar.edu","rollNumber":"1025031041","serialNumber":"20"} 
 Parsed Parameters -&gt; Date: 'test', Group: '2C4', Email: 'abc@thapar.edu', Roll: '1025031041', Serial: 20 
 'MyGroups' last row: 274 
 ✅ Roll Number '1025031041' verified in MyGroups. 
 Max serial limit for date 'test' and group '2C4': 79 
 Found existing sheet: 'test_2C4'. 
 Sheet 'test_2C4' last row: 2 
 ⚠️ Conflict: Duplicate Roll Number detected (1025031041).</t>
  </si>
  <si>
    <t>Keshav Singla</t>
  </si>
  <si>
    <t>|=== [doPost] Request Received ===| 
 Raw Payload: {"date":"test","group":"2C4","email":"abc@thapar.edu","rollNumber":"1025031041","serialNumber":"21"} 
 Parsed Parameters -&gt; Date: 'test', Group: '2C4', Email: 'abc@thapar.edu', Roll: '1025031041', Serial: 21 
 'MyGroups' last row: 274 
 ✅ Roll Number '1025031041' verified in MyGroups. 
 Max serial limit for date 'test' and group '2C4': 79 
 Found existing sheet: 'test_2C4'. 
 Sheet 'test_2C4' last row: 2 
 ⚠️ Conflict: Duplicate Roll Number detected (1025031041).</t>
  </si>
  <si>
    <t>ksingla1_be25</t>
  </si>
  <si>
    <t>ksingla1_be25@thapar.edu</t>
  </si>
  <si>
    <t>1025030490</t>
  </si>
  <si>
    <t>2C35</t>
  </si>
  <si>
    <t>Priyanshi Singla</t>
  </si>
  <si>
    <t>glow_serene_01</t>
  </si>
  <si>
    <t>psingla_be25@thapar.edu</t>
  </si>
  <si>
    <t>1025170044</t>
  </si>
  <si>
    <t>2Q12</t>
  </si>
  <si>
    <t>Hiya Kasturia</t>
  </si>
  <si>
    <t>hiya_kasturia</t>
  </si>
  <si>
    <t>hkasturia_be25@thapar.edu</t>
  </si>
  <si>
    <t>1025170219</t>
  </si>
  <si>
    <t>2Q23</t>
  </si>
  <si>
    <t>Dakshdeep Kaur Kahlon</t>
  </si>
  <si>
    <t>daksh_kahlon</t>
  </si>
  <si>
    <t>dkahlon_be25@thapar.edu</t>
  </si>
  <si>
    <t>1025030024</t>
  </si>
  <si>
    <t>2C11</t>
  </si>
  <si>
    <t>Krishna Garg</t>
  </si>
  <si>
    <t>uber_glint_93</t>
  </si>
  <si>
    <t>kgarg2_be25@thapar.edu</t>
  </si>
  <si>
    <t>1025160025</t>
  </si>
  <si>
    <t>2P11</t>
  </si>
  <si>
    <t>ThaparEmailID</t>
  </si>
  <si>
    <t>Tavarit vashistha</t>
  </si>
  <si>
    <t>gaze_ref_38</t>
  </si>
  <si>
    <t>ttavarit_be25@thapar.edu</t>
  </si>
  <si>
    <t>1025030287</t>
  </si>
  <si>
    <t>2C23</t>
  </si>
  <si>
    <t>Sushant Gagneja</t>
  </si>
  <si>
    <t>calm_mules_36</t>
  </si>
  <si>
    <t>sgagneja_be25@thapar.edu</t>
  </si>
  <si>
    <t>1025030509</t>
  </si>
  <si>
    <t>2C41</t>
  </si>
  <si>
    <t>Roll</t>
  </si>
  <si>
    <t>Esha Vidhya Thalla</t>
  </si>
  <si>
    <t>adorn_crows_29</t>
  </si>
  <si>
    <t>ethalla_be25@thapar.edu</t>
  </si>
  <si>
    <t>1025030131</t>
  </si>
  <si>
    <t>GmailID</t>
  </si>
  <si>
    <t>2C15</t>
  </si>
  <si>
    <t>Sargun</t>
  </si>
  <si>
    <t>venue_frog_48</t>
  </si>
  <si>
    <t>ssargun_be25@thapar.edu</t>
  </si>
  <si>
    <t>Is Duplicate</t>
  </si>
  <si>
    <t>1025160088</t>
  </si>
  <si>
    <t>2P13</t>
  </si>
  <si>
    <t>ContactNo.</t>
  </si>
  <si>
    <t>Akshit Kumar</t>
  </si>
  <si>
    <t>akshit7610</t>
  </si>
  <si>
    <t>akumar16_be25@thapar.edu</t>
  </si>
  <si>
    <t>1025160071</t>
  </si>
  <si>
    <t>cmahajan_be25@thapar.edu</t>
  </si>
  <si>
    <t>Aditya Anand</t>
  </si>
  <si>
    <t>true_sand_98</t>
  </si>
  <si>
    <t>aanand_be25@thapar.edu</t>
  </si>
  <si>
    <t>1025160077</t>
  </si>
  <si>
    <t>Chirag Mahajan</t>
  </si>
  <si>
    <t>Tanvi</t>
  </si>
  <si>
    <t>tanvii0717</t>
  </si>
  <si>
    <t>1025230045</t>
  </si>
  <si>
    <t>ttanvi1_be25@thapar.edu</t>
  </si>
  <si>
    <t>1025170260</t>
  </si>
  <si>
    <t>2Q24</t>
  </si>
  <si>
    <t>Chiragdob15@gmail.com</t>
  </si>
  <si>
    <t>2W13</t>
  </si>
  <si>
    <t>Avista Thakur</t>
  </si>
  <si>
    <t>hatch_wish_09</t>
  </si>
  <si>
    <t>athakur1_be25@thapar.edu</t>
  </si>
  <si>
    <t>1025160115</t>
  </si>
  <si>
    <t>No</t>
  </si>
  <si>
    <t>2P14</t>
  </si>
  <si>
    <t>Arman Singh Lubana</t>
  </si>
  <si>
    <t>gleam_mirth_94</t>
  </si>
  <si>
    <t>alubana_be25@thapar.edu</t>
  </si>
  <si>
    <t>1025160068</t>
  </si>
  <si>
    <t>ksharma7_be25@thapar.edu</t>
  </si>
  <si>
    <t>Divyanshu Jamwal</t>
  </si>
  <si>
    <t>Karanveer Sharma</t>
  </si>
  <si>
    <t>soft_dice_52</t>
  </si>
  <si>
    <t>djamwal_be25@thapar.edu</t>
  </si>
  <si>
    <t>1025160105</t>
  </si>
  <si>
    <t>1025170506</t>
  </si>
  <si>
    <t>Akshit Kumar Puri</t>
  </si>
  <si>
    <t>basic_feat_55</t>
  </si>
  <si>
    <t>apuri3_be25@thapar.edu</t>
  </si>
  <si>
    <t>1025160114</t>
  </si>
  <si>
    <t>Karenveersharma09@gmail.com</t>
  </si>
  <si>
    <t>2Q42</t>
  </si>
  <si>
    <t>Pratham Gupta</t>
  </si>
  <si>
    <t>pratham_412</t>
  </si>
  <si>
    <t>pgupta1_be25@thapar.edu</t>
  </si>
  <si>
    <t>1025160061</t>
  </si>
  <si>
    <t>Ankit Sangwan</t>
  </si>
  <si>
    <t>sangwan_ankit</t>
  </si>
  <si>
    <t>asangwan_be25@thapar.edu</t>
  </si>
  <si>
    <t>aaarnav_be25@thapar.edu</t>
  </si>
  <si>
    <t>1025160106</t>
  </si>
  <si>
    <t>Aarnav Jaglan</t>
  </si>
  <si>
    <t>Abhay Bansal</t>
  </si>
  <si>
    <t>abhay_bansal02</t>
  </si>
  <si>
    <t>1025030048</t>
  </si>
  <si>
    <t>abansal11_be25@thapar.edu</t>
  </si>
  <si>
    <t>1025160086</t>
  </si>
  <si>
    <t>Ashmit Sharma</t>
  </si>
  <si>
    <t>2C12</t>
  </si>
  <si>
    <t>holy_band_01</t>
  </si>
  <si>
    <t>asharma24_be25@thapar.edu</t>
  </si>
  <si>
    <t>1025160125</t>
  </si>
  <si>
    <t>Satwik Kanchan</t>
  </si>
  <si>
    <t>lucky_boss_86</t>
  </si>
  <si>
    <t>skanchan_be25@thapar.edu</t>
  </si>
  <si>
    <t>1025160093</t>
  </si>
  <si>
    <t>Ranbir Slathia</t>
  </si>
  <si>
    <t>gaze_petal_18</t>
  </si>
  <si>
    <t>aaarushi_be25@thapar.edu</t>
  </si>
  <si>
    <t>rslathia_be25@thapar.edu</t>
  </si>
  <si>
    <t>1025160100</t>
  </si>
  <si>
    <t>Aarushi</t>
  </si>
  <si>
    <t>Paryash Phougat</t>
  </si>
  <si>
    <t>rag_joy_19</t>
  </si>
  <si>
    <t>pphougat_be25@thapar.edu</t>
  </si>
  <si>
    <t>1025160060</t>
  </si>
  <si>
    <t>1025030477</t>
  </si>
  <si>
    <t>Rudrajit Samui</t>
  </si>
  <si>
    <t>a98113148@gmail.com</t>
  </si>
  <si>
    <t>quasi_smile_62</t>
  </si>
  <si>
    <t>rsamui_be25@thapar.edu</t>
  </si>
  <si>
    <t>1025160126</t>
  </si>
  <si>
    <t>Pranjal Shivkumar Jain</t>
  </si>
  <si>
    <t>crowd_mules_25</t>
  </si>
  <si>
    <t>pjain6_be25@thapar.edu</t>
  </si>
  <si>
    <t>1025160072</t>
  </si>
  <si>
    <t>Bharat Sharma</t>
  </si>
  <si>
    <t>fine_book_31</t>
  </si>
  <si>
    <t>bsharma_be25@thapar.edu</t>
  </si>
  <si>
    <t>1025160085</t>
  </si>
  <si>
    <t>aaaryan_be25@thapar.edu</t>
  </si>
  <si>
    <t>Ivin T James</t>
  </si>
  <si>
    <t>d_abigor</t>
  </si>
  <si>
    <t>Aaryan</t>
  </si>
  <si>
    <t>ijames_be25@thapar.edu</t>
  </si>
  <si>
    <t>1025160091</t>
  </si>
  <si>
    <t>1025030941</t>
  </si>
  <si>
    <t>Yug Garg</t>
  </si>
  <si>
    <t>covey_grand_98</t>
  </si>
  <si>
    <t>ygarg2_be25@thapar.edu</t>
  </si>
  <si>
    <t>1025160107</t>
  </si>
  <si>
    <t>aaryanchhabra18@gmail.com</t>
  </si>
  <si>
    <t>2C72</t>
  </si>
  <si>
    <t>Mehul Khanna</t>
  </si>
  <si>
    <t>nice_chime_69</t>
  </si>
  <si>
    <t>mkhanna_be25@thapar.edu</t>
  </si>
  <si>
    <t>1025160073</t>
  </si>
  <si>
    <t>Namish Mahajan</t>
  </si>
  <si>
    <t>buffy_wave_18</t>
  </si>
  <si>
    <t>nmahajan_be25@thapar.edu</t>
  </si>
  <si>
    <t>1025160087</t>
  </si>
  <si>
    <t>aaasmi_be25@thapar.edu</t>
  </si>
  <si>
    <t>Yash Malik</t>
  </si>
  <si>
    <t>whole_hogs_83</t>
  </si>
  <si>
    <t>Aasmi</t>
  </si>
  <si>
    <t>ymalik_be25@thapar.edu</t>
  </si>
  <si>
    <t>1025160082</t>
  </si>
  <si>
    <t>1025030324</t>
  </si>
  <si>
    <t>Arsh Preet Kaur</t>
  </si>
  <si>
    <t>brisk_bats_96</t>
  </si>
  <si>
    <t>akaur11_be25@thapar.edu</t>
  </si>
  <si>
    <t>1025160101</t>
  </si>
  <si>
    <t>2C24</t>
  </si>
  <si>
    <t>Radesh Aggarwal</t>
  </si>
  <si>
    <t>savvy_field_98</t>
  </si>
  <si>
    <t>raggarwal_be25@thapar.edu</t>
  </si>
  <si>
    <t>1025160076</t>
  </si>
  <si>
    <t>Ayush Singla</t>
  </si>
  <si>
    <t>jolly_mules_60</t>
  </si>
  <si>
    <t>asingla7_be25@thapar.edu</t>
  </si>
  <si>
    <t>1025030492</t>
  </si>
  <si>
    <t>ABHIJAY SINGH</t>
  </si>
  <si>
    <t>aaastha1_be25@gmail.com</t>
  </si>
  <si>
    <t>Rohan Kumar Gogar</t>
  </si>
  <si>
    <t>quick_zone_88</t>
  </si>
  <si>
    <t>rgogar_be25@thapar.edu</t>
  </si>
  <si>
    <t>1025030704</t>
  </si>
  <si>
    <t>2C71</t>
  </si>
  <si>
    <t>Aastha</t>
  </si>
  <si>
    <t>2C44</t>
  </si>
  <si>
    <t>1025160051</t>
  </si>
  <si>
    <t>Diya Handa</t>
  </si>
  <si>
    <t>gold_goal_35</t>
  </si>
  <si>
    <t>dhanda_be25@thapar.edu</t>
  </si>
  <si>
    <t>1025030560</t>
  </si>
  <si>
    <t>2C43</t>
  </si>
  <si>
    <t>yashudangi2008@gmail.com</t>
  </si>
  <si>
    <t>Nikit Shrestha</t>
  </si>
  <si>
    <t>nikitxstha</t>
  </si>
  <si>
    <t>2P12</t>
  </si>
  <si>
    <t>nshrestha_be25@thapar.edu</t>
  </si>
  <si>
    <t>1025031071</t>
  </si>
  <si>
    <t>Kripa Singhal</t>
  </si>
  <si>
    <t>kripa13</t>
  </si>
  <si>
    <t>ksinghal_be25@thapar.edu</t>
  </si>
  <si>
    <t>1025030792</t>
  </si>
  <si>
    <t>2C61</t>
  </si>
  <si>
    <t>Yashwant Balaji Doodala</t>
  </si>
  <si>
    <t>lively_song_61</t>
  </si>
  <si>
    <t>aachint_be25@thapar.edu</t>
  </si>
  <si>
    <t>ydoodala_be25@thapar.edu</t>
  </si>
  <si>
    <t>1025160116</t>
  </si>
  <si>
    <t>Arpeet Achint</t>
  </si>
  <si>
    <t>Advait Mishra</t>
  </si>
  <si>
    <t>yoke_camel_56</t>
  </si>
  <si>
    <t>amishra8_be25@thapar.edu</t>
  </si>
  <si>
    <t>1025170164</t>
  </si>
  <si>
    <t>1025160112</t>
  </si>
  <si>
    <t>arpeetkaur613@gmail.com</t>
  </si>
  <si>
    <t>Baishali Paul</t>
  </si>
  <si>
    <t>cry_stork_07</t>
  </si>
  <si>
    <t>bpaul_be25@thapar.edu</t>
  </si>
  <si>
    <t>1025160097</t>
  </si>
  <si>
    <t>2Q21</t>
  </si>
  <si>
    <t>Sahil Bansal</t>
  </si>
  <si>
    <t>rich_mingle_44</t>
  </si>
  <si>
    <t>sbansal1_be25@thapar.edu</t>
  </si>
  <si>
    <t>1025030045</t>
  </si>
  <si>
    <t>Tanvi Gupta</t>
  </si>
  <si>
    <t>relax_feast_31</t>
  </si>
  <si>
    <t>tgupta1_be25@thapar.edu</t>
  </si>
  <si>
    <t>1025030353</t>
  </si>
  <si>
    <t>aaditya_be25@thapar.edu</t>
  </si>
  <si>
    <t>2C25</t>
  </si>
  <si>
    <t>Aditya</t>
  </si>
  <si>
    <t>Krishna Chaturvedi</t>
  </si>
  <si>
    <t>free_star_25</t>
  </si>
  <si>
    <t>kchaturvedi_be25@thapar.edu</t>
  </si>
  <si>
    <t>1025160062</t>
  </si>
  <si>
    <t>1025170037</t>
  </si>
  <si>
    <t>Simarpreet Kaur</t>
  </si>
  <si>
    <t>brisk_cliff_01</t>
  </si>
  <si>
    <t>adityaa172007@gmail.com</t>
  </si>
  <si>
    <t>skaur12_be25@thapar.edu</t>
  </si>
  <si>
    <t>1025170084</t>
  </si>
  <si>
    <t>2Q13</t>
  </si>
  <si>
    <t>Akshay Kumar Pandey</t>
  </si>
  <si>
    <t>parade_boar_54</t>
  </si>
  <si>
    <t>apandey1_be25@thapar.edu</t>
  </si>
  <si>
    <t>1025030636</t>
  </si>
  <si>
    <t>2C45</t>
  </si>
  <si>
    <t>Sargun Singh</t>
  </si>
  <si>
    <t>lively_fear_42</t>
  </si>
  <si>
    <t>ssingh8_be25@thapar.edu</t>
  </si>
  <si>
    <t>1025170101</t>
  </si>
  <si>
    <t>2Q14</t>
  </si>
  <si>
    <t>Aaditya1_be25@thapar.edu</t>
  </si>
  <si>
    <t>Divya Suneja</t>
  </si>
  <si>
    <t>grand_peace_03</t>
  </si>
  <si>
    <t>dsuneja_be25@thapar.edu</t>
  </si>
  <si>
    <t>1025030428</t>
  </si>
  <si>
    <t>Vaibhav Manchanda</t>
  </si>
  <si>
    <t>major_ducks_10</t>
  </si>
  <si>
    <t>1025090111</t>
  </si>
  <si>
    <t>vmanchanda_be25@thapar.edu</t>
  </si>
  <si>
    <t>1025160130</t>
  </si>
  <si>
    <t>vatsaditya2408@gmail.com</t>
  </si>
  <si>
    <t>Ishaan Sood</t>
  </si>
  <si>
    <t>buffy_zebra_79</t>
  </si>
  <si>
    <t>isood_be25@thapar.edu</t>
  </si>
  <si>
    <t>1025030237</t>
  </si>
  <si>
    <t>2I12</t>
  </si>
  <si>
    <t>2C21</t>
  </si>
  <si>
    <t>Avi Atul Makkar</t>
  </si>
  <si>
    <t>amakkar007</t>
  </si>
  <si>
    <t>amakkar_be25@thapar.edu</t>
  </si>
  <si>
    <t>1025160099</t>
  </si>
  <si>
    <t>Munish Goyal</t>
  </si>
  <si>
    <t>solid_trick_67</t>
  </si>
  <si>
    <t>mgoyal1_be25@thapar.edu</t>
  </si>
  <si>
    <t>aagarwal_be25@thapar.edu</t>
  </si>
  <si>
    <t>1025030653</t>
  </si>
  <si>
    <t>2C51</t>
  </si>
  <si>
    <t>kanishak</t>
  </si>
  <si>
    <t>Ayu Agarwal</t>
  </si>
  <si>
    <t>rag_queen_72</t>
  </si>
  <si>
    <t>kkanishak_be25@thapar.edu</t>
  </si>
  <si>
    <t>1025160108</t>
  </si>
  <si>
    <t>1025030625</t>
  </si>
  <si>
    <t>Srijan Parmar</t>
  </si>
  <si>
    <t>real_fish_51</t>
  </si>
  <si>
    <t>aagarwal9_be25@thapar.edu</t>
  </si>
  <si>
    <t>sparmar_be25@thapar.edu</t>
  </si>
  <si>
    <t>1025160095</t>
  </si>
  <si>
    <t>Khushi</t>
  </si>
  <si>
    <t>kind_mirth_38</t>
  </si>
  <si>
    <t>kkhushi1_be25@thapar.edu</t>
  </si>
  <si>
    <t>1025160113</t>
  </si>
  <si>
    <t>Tanish Singla</t>
  </si>
  <si>
    <t>tidy_pool_50</t>
  </si>
  <si>
    <t>tsingla_be25@thapar.edu</t>
  </si>
  <si>
    <t>1025160092</t>
  </si>
  <si>
    <t>aagarwal1_be25@thapar.edu</t>
  </si>
  <si>
    <t>Karanpreet Singh</t>
  </si>
  <si>
    <t>pewterrrr</t>
  </si>
  <si>
    <t>ksingh23_be25@thapar.edu</t>
  </si>
  <si>
    <t>1025160111</t>
  </si>
  <si>
    <t>Aadya Agarwal</t>
  </si>
  <si>
    <t>1025030878</t>
  </si>
  <si>
    <t>Ansh Verma</t>
  </si>
  <si>
    <t>crash_bliss_81</t>
  </si>
  <si>
    <t>aadyaagarwal275@gmail.com</t>
  </si>
  <si>
    <t>averma9_be25@thapar.edu</t>
  </si>
  <si>
    <t>1025160098</t>
  </si>
  <si>
    <t>2C64</t>
  </si>
  <si>
    <t>Mann Gupta</t>
  </si>
  <si>
    <t>manng77</t>
  </si>
  <si>
    <t>mgupta3_be25@thapar.edu</t>
  </si>
  <si>
    <t>1025160084</t>
  </si>
  <si>
    <t>Chandni</t>
  </si>
  <si>
    <t>bloat_array_06</t>
  </si>
  <si>
    <t>cchandni_be25@thapar.edu</t>
  </si>
  <si>
    <t>aagarwal10_be25@thapar.edu</t>
  </si>
  <si>
    <t>1025160006</t>
  </si>
  <si>
    <t>Aditya Agarwal</t>
  </si>
  <si>
    <t>Krishaang Dhameja</t>
  </si>
  <si>
    <t>soon_spell_76</t>
  </si>
  <si>
    <t>1025030690</t>
  </si>
  <si>
    <t>kdhameja_be25@thapar.edu</t>
  </si>
  <si>
    <t>1025030316</t>
  </si>
  <si>
    <t>1adityaagarwal7@gmail.com</t>
  </si>
  <si>
    <t>Krishna Sharma</t>
  </si>
  <si>
    <t>worm_angel_51</t>
  </si>
  <si>
    <t>2C52</t>
  </si>
  <si>
    <t>ksharma3_be25@thapar.edu</t>
  </si>
  <si>
    <t>1025030662</t>
  </si>
  <si>
    <t>Shivain Arora</t>
  </si>
  <si>
    <t>worth_pet_84</t>
  </si>
  <si>
    <t>sshivain_be25@thapar.edu</t>
  </si>
  <si>
    <t>1025170214</t>
  </si>
  <si>
    <t>aagarwal11_be25@thapar.edu</t>
  </si>
  <si>
    <t>Hirdeyjeet Singh</t>
  </si>
  <si>
    <t>cry_zeal_14</t>
  </si>
  <si>
    <t>Aarav Agarwal</t>
  </si>
  <si>
    <t>hsingh19_be25@thapar.edu</t>
  </si>
  <si>
    <t>1025030126</t>
  </si>
  <si>
    <t>1025230005</t>
  </si>
  <si>
    <t>Saumya Saumya</t>
  </si>
  <si>
    <t>aarav.agarw25@gmail.com</t>
  </si>
  <si>
    <t>goofy_plume_68</t>
  </si>
  <si>
    <t>ssaumya_be25@thapar.edu</t>
  </si>
  <si>
    <t>1025160038</t>
  </si>
  <si>
    <t>2W11</t>
  </si>
  <si>
    <t>Dilshan Singh</t>
  </si>
  <si>
    <t>amity_aura_80</t>
  </si>
  <si>
    <t>dsingh13_be25@thapar.edu</t>
  </si>
  <si>
    <t>1025030093</t>
  </si>
  <si>
    <t>2C14</t>
  </si>
  <si>
    <t>PRABHJOT SINGH</t>
  </si>
  <si>
    <t>zesty_noble_57</t>
  </si>
  <si>
    <t>aagarwal2_be25@thapar.edu</t>
  </si>
  <si>
    <t>psingh16_be25@thapar.edu</t>
  </si>
  <si>
    <t>1025030106</t>
  </si>
  <si>
    <t>04_08_2026_2C4</t>
  </si>
  <si>
    <t>05_08_2026_2C4</t>
  </si>
  <si>
    <t>Jivitesh Partap Singh</t>
  </si>
  <si>
    <t>jivitesh_2202</t>
  </si>
  <si>
    <t>1025170068</t>
  </si>
  <si>
    <t>jsingh18_be25@thapar.edu</t>
  </si>
  <si>
    <t>1025030110</t>
  </si>
  <si>
    <t>aarav071203@gmail.com</t>
  </si>
  <si>
    <t>Aryan Verma</t>
  </si>
  <si>
    <t>next_rustle_74</t>
  </si>
  <si>
    <t>averma7_be25@thapar.edu</t>
  </si>
  <si>
    <t>1025030092</t>
  </si>
  <si>
    <t>Harkirat Singh</t>
  </si>
  <si>
    <t>drove_care_61</t>
  </si>
  <si>
    <t>hsingh7_be25@thapar.edu</t>
  </si>
  <si>
    <t>1025030234</t>
  </si>
  <si>
    <t>aagarwal3_be25@thapar.edu</t>
  </si>
  <si>
    <t>Himanya Aggarwal</t>
  </si>
  <si>
    <t>smack_owls_01</t>
  </si>
  <si>
    <t>haggarwal1_be25@thapar.edu</t>
  </si>
  <si>
    <t>1025031075</t>
  </si>
  <si>
    <t>1025170063</t>
  </si>
  <si>
    <t>adityaagarwal110408@gmail.com</t>
  </si>
  <si>
    <t>Jaivir Pratap Singh Gill</t>
  </si>
  <si>
    <t>jaivir_6988</t>
  </si>
  <si>
    <t>jsingh6_be25@thapar.edu</t>
  </si>
  <si>
    <t>1025160048</t>
  </si>
  <si>
    <t>Vansh Mittal</t>
  </si>
  <si>
    <t>kindle_idea_27</t>
  </si>
  <si>
    <t>vmittal_be25@thapar.edu</t>
  </si>
  <si>
    <t>1025160050</t>
  </si>
  <si>
    <t>aagarwal4_be25@thapar.edu</t>
  </si>
  <si>
    <t>Chirag Malik</t>
  </si>
  <si>
    <t>chirag_8367</t>
  </si>
  <si>
    <t>Akhil Agarwal</t>
  </si>
  <si>
    <t>cmalik_be25@thapar.edu</t>
  </si>
  <si>
    <t>1025160120</t>
  </si>
  <si>
    <t>1025030012</t>
  </si>
  <si>
    <t>akhil77agarwal@gmail.com</t>
  </si>
  <si>
    <t>Pallavee Gautam</t>
  </si>
  <si>
    <t>many_geese_13</t>
  </si>
  <si>
    <t>pgautam_be25@thapar.edu</t>
  </si>
  <si>
    <t>1025030040</t>
  </si>
  <si>
    <t>Chaitanya Sachdev</t>
  </si>
  <si>
    <t>skulk_ducks_91</t>
  </si>
  <si>
    <t>csachdev_be25@thapar.edu</t>
  </si>
  <si>
    <t>aagarwal5_be25@thapar.edu</t>
  </si>
  <si>
    <t>1025160017</t>
  </si>
  <si>
    <t>Anshika Agarwal</t>
  </si>
  <si>
    <t>Aarya Thakur</t>
  </si>
  <si>
    <t>same_rats_52</t>
  </si>
  <si>
    <t>athakur_be25@thapar.edu</t>
  </si>
  <si>
    <t>1025170253</t>
  </si>
  <si>
    <t>1025160012</t>
  </si>
  <si>
    <t>anshikaagarwal2007@gmail.com</t>
  </si>
  <si>
    <t>Krishna Saini</t>
  </si>
  <si>
    <t>hard_ring_28</t>
  </si>
  <si>
    <t>ksaini_be25@thapar.edu</t>
  </si>
  <si>
    <t>1025160052</t>
  </si>
  <si>
    <t>Ryun Pratap Singh Randhawa</t>
  </si>
  <si>
    <t>drove_bug_61</t>
  </si>
  <si>
    <t>rsingh17_be25@thapar.edu</t>
  </si>
  <si>
    <t>1025160042</t>
  </si>
  <si>
    <t>aagarwal7_be25@thapar.edu</t>
  </si>
  <si>
    <t>ESHIKAA SODHI</t>
  </si>
  <si>
    <t>void_bliss_01</t>
  </si>
  <si>
    <t>esodhi_be25@thapar.edu</t>
  </si>
  <si>
    <t>1025160031</t>
  </si>
  <si>
    <t>1025170276</t>
  </si>
  <si>
    <t>aditya.dpsgbn01@gmail.com</t>
  </si>
  <si>
    <t>Siya</t>
  </si>
  <si>
    <t>bask_whale_49</t>
  </si>
  <si>
    <t>srana1_be25@thapar.edu</t>
  </si>
  <si>
    <t>1025160018</t>
  </si>
  <si>
    <t>2Q25</t>
  </si>
  <si>
    <t>Goutam Jain</t>
  </si>
  <si>
    <t>quick_grape_92</t>
  </si>
  <si>
    <t>gjain_be25@thapar.edu</t>
  </si>
  <si>
    <t>1025160055</t>
  </si>
  <si>
    <t>aagarwal8_be25@thapar.edu</t>
  </si>
  <si>
    <t>Lakshya Garg</t>
  </si>
  <si>
    <t>easy_bees_99</t>
  </si>
  <si>
    <t>Ananya Agarwal</t>
  </si>
  <si>
    <t>lgarg1_be25@thapar.edu</t>
  </si>
  <si>
    <t>1025160089</t>
  </si>
  <si>
    <t>1025030517</t>
  </si>
  <si>
    <t>Smayra</t>
  </si>
  <si>
    <t>artistananya1@gmail.com</t>
  </si>
  <si>
    <t>hardy_bees_51</t>
  </si>
  <si>
    <t>ssmayra_be25@thapar.edu</t>
  </si>
  <si>
    <t>1025160043</t>
  </si>
  <si>
    <t>Maatrik Agarwal</t>
  </si>
  <si>
    <t>spicy_martini</t>
  </si>
  <si>
    <t>magarwal2_be25@thapar.edu</t>
  </si>
  <si>
    <t>1025030292</t>
  </si>
  <si>
    <t>aaggarwal1_be25@thapar.edu</t>
  </si>
  <si>
    <t>Smriti Gupta</t>
  </si>
  <si>
    <t>aloft_stone_98</t>
  </si>
  <si>
    <t>sgupta1_be25@thapar.edu</t>
  </si>
  <si>
    <t>1025160011</t>
  </si>
  <si>
    <t>Agaaz Aggarwal</t>
  </si>
  <si>
    <t>1025030309</t>
  </si>
  <si>
    <t>Kirti</t>
  </si>
  <si>
    <t>basic_list_64</t>
  </si>
  <si>
    <t>kkirti_be25@thapar.edu</t>
  </si>
  <si>
    <t>1025160005</t>
  </si>
  <si>
    <t>agaazaggarwal@gmail.com</t>
  </si>
  <si>
    <t>Shambhavi Singh</t>
  </si>
  <si>
    <t>cute_tune_87</t>
  </si>
  <si>
    <t>ssingh28_be25@thapar.edu</t>
  </si>
  <si>
    <t>1025030809</t>
  </si>
  <si>
    <t>2C62</t>
  </si>
  <si>
    <t>Abhinav Garg</t>
  </si>
  <si>
    <t>abhi_garg_81</t>
  </si>
  <si>
    <t>agarg15_be25@thapar.edu</t>
  </si>
  <si>
    <t>1025031109</t>
  </si>
  <si>
    <t>aaggarwal11_be25@thapar.edu</t>
  </si>
  <si>
    <t>2C81</t>
  </si>
  <si>
    <t>Akriti Aggarwal</t>
  </si>
  <si>
    <t>Jayat Kohli</t>
  </si>
  <si>
    <t>jayat_kohli</t>
  </si>
  <si>
    <t>jkohli_be25@thapar.edu</t>
  </si>
  <si>
    <t>1025160019</t>
  </si>
  <si>
    <t>1025030446</t>
  </si>
  <si>
    <t>akriti21935@gmail.com</t>
  </si>
  <si>
    <t>deleted</t>
  </si>
  <si>
    <t>cloud_glade_19</t>
  </si>
  <si>
    <t>1025170424</t>
  </si>
  <si>
    <t>2Q35</t>
  </si>
  <si>
    <t>2C34</t>
  </si>
  <si>
    <t>Sparsh</t>
  </si>
  <si>
    <t>19/19</t>
  </si>
  <si>
    <t>pod_space_29</t>
  </si>
  <si>
    <t>ssparsh_be25@thapar.edu</t>
  </si>
  <si>
    <t>0/1</t>
  </si>
  <si>
    <t>1025160022</t>
  </si>
  <si>
    <t>aaggarwal3_be25@thapar.edu</t>
  </si>
  <si>
    <t>Balgopal Rai Singh</t>
  </si>
  <si>
    <t>zesty_sage_56</t>
  </si>
  <si>
    <t>bsingh_be25@thapar.edu</t>
  </si>
  <si>
    <t>1025030218</t>
  </si>
  <si>
    <t>Ananya Aggarwal</t>
  </si>
  <si>
    <t>1025030532</t>
  </si>
  <si>
    <t>Chaitanya Sharma</t>
  </si>
  <si>
    <t>bright_dust_51</t>
  </si>
  <si>
    <t>csharma1_be25@thapar.edu</t>
  </si>
  <si>
    <t>Aggarwalananya54@gmail.com</t>
  </si>
  <si>
    <t>1025030584</t>
  </si>
  <si>
    <t>2C42</t>
  </si>
  <si>
    <t>HITESH GUPTA</t>
  </si>
  <si>
    <t>Samkit Gupta</t>
  </si>
  <si>
    <t>bliss_beam_14</t>
  </si>
  <si>
    <t>sgupta12_be25@thapar.edu</t>
  </si>
  <si>
    <t>1025030657</t>
  </si>
  <si>
    <t>Nancy</t>
  </si>
  <si>
    <t>tiny_moss_34</t>
  </si>
  <si>
    <t>nnancy_be25@thapar.edu</t>
  </si>
  <si>
    <t>1025030480</t>
  </si>
  <si>
    <t>aaggarwal5_be25@thapar.edu</t>
  </si>
  <si>
    <t>Daanbir Singh Kanwar</t>
  </si>
  <si>
    <t>Ansh Aggarwal</t>
  </si>
  <si>
    <t>grand_bell_86</t>
  </si>
  <si>
    <t>dkanwar_be25@thapar.edu</t>
  </si>
  <si>
    <t>1025090075</t>
  </si>
  <si>
    <t>2I13</t>
  </si>
  <si>
    <t>1025170277</t>
  </si>
  <si>
    <t>anshaggarwal1188@gmail.com</t>
  </si>
  <si>
    <t>Gursehaj Singh</t>
  </si>
  <si>
    <t>valid_goats_10</t>
  </si>
  <si>
    <t>gsingh17_be25@thapar.edu</t>
  </si>
  <si>
    <t>1025160002</t>
  </si>
  <si>
    <t>Prabhjot Singh</t>
  </si>
  <si>
    <t>crowd_cloud_47</t>
  </si>
  <si>
    <t>psingh21_be25@thapar.edu</t>
  </si>
  <si>
    <t>1025160013</t>
  </si>
  <si>
    <t>aaggarwal6_be25@thapar.edu</t>
  </si>
  <si>
    <t>Sarthak Singh</t>
  </si>
  <si>
    <t>zesty_river_34</t>
  </si>
  <si>
    <t>ssingh37_be25@thapar.edu</t>
  </si>
  <si>
    <t>1025160081</t>
  </si>
  <si>
    <t>Armaan Aggarwal</t>
  </si>
  <si>
    <t>1025030359</t>
  </si>
  <si>
    <t>Lucky Singh</t>
  </si>
  <si>
    <t>super_seed_97</t>
  </si>
  <si>
    <t>lsingh1_be25@thapar.edu</t>
  </si>
  <si>
    <t>armaanaggarwal307@gmail.com</t>
  </si>
  <si>
    <t>1025160014</t>
  </si>
  <si>
    <t>VIRENDRA DHAKA</t>
  </si>
  <si>
    <t>Gundeep kaur</t>
  </si>
  <si>
    <t>long_cook_54</t>
  </si>
  <si>
    <t>gkaur3_be25@thapar.edu</t>
  </si>
  <si>
    <t>1025160023</t>
  </si>
  <si>
    <t>aagrawal2_be@thapar.edu</t>
  </si>
  <si>
    <t>Divyansh Dixit</t>
  </si>
  <si>
    <t>Arnav agrawal</t>
  </si>
  <si>
    <t>vivid_deed_57</t>
  </si>
  <si>
    <t>ddixit_be25@thapar.edu</t>
  </si>
  <si>
    <t>1025160064</t>
  </si>
  <si>
    <t>KISHLAY SINHA</t>
  </si>
  <si>
    <t>1025160039</t>
  </si>
  <si>
    <t>Vasu Goyal</t>
  </si>
  <si>
    <t>arnavagrawal094@gmail.com</t>
  </si>
  <si>
    <t>sedge_lily_11</t>
  </si>
  <si>
    <t>vgoyal5_be25@thapar.edu</t>
  </si>
  <si>
    <t>1025030458</t>
  </si>
  <si>
    <t>omkarkalyana7</t>
  </si>
  <si>
    <t>Aagrawal3_be25@thapar.edu</t>
  </si>
  <si>
    <t>AMITOJ SINGH</t>
  </si>
  <si>
    <t>1025030387</t>
  </si>
  <si>
    <t>2C31</t>
  </si>
  <si>
    <t>Anushka Agrawal</t>
  </si>
  <si>
    <t>1025030772</t>
  </si>
  <si>
    <t>Swikar Devkota</t>
  </si>
  <si>
    <t>swiks_dev</t>
  </si>
  <si>
    <t>sdevkota_be25@thapar.edu</t>
  </si>
  <si>
    <t>1025031074</t>
  </si>
  <si>
    <t>NIKIT SHRESTHA</t>
  </si>
  <si>
    <t>Anushkagwl24@gmail.com</t>
  </si>
  <si>
    <t>Dipanshu Singla</t>
  </si>
  <si>
    <t>dsingla1_be25</t>
  </si>
  <si>
    <t>dsingla1_be25@thapar.edu</t>
  </si>
  <si>
    <t>1025030494</t>
  </si>
  <si>
    <t>2C55</t>
  </si>
  <si>
    <t>Vidhi</t>
  </si>
  <si>
    <t>agile_bees_21</t>
  </si>
  <si>
    <t>vvidhi_be25@thapar.edu</t>
  </si>
  <si>
    <t>1025160049</t>
  </si>
  <si>
    <t>SWIKAR DEVKOTA</t>
  </si>
  <si>
    <t>aagrawal4_be25@thapar.edu</t>
  </si>
  <si>
    <t>Aryaman Tripathi</t>
  </si>
  <si>
    <t>dandy_tomb_14</t>
  </si>
  <si>
    <t>atripathi1_be25@thapar.edu</t>
  </si>
  <si>
    <t>Aarav agrawal</t>
  </si>
  <si>
    <t>1025031089</t>
  </si>
  <si>
    <t>1025170173</t>
  </si>
  <si>
    <t>Tanu goyal</t>
  </si>
  <si>
    <t>ABHYUDAY SAKSENA</t>
  </si>
  <si>
    <t>prof_goyal</t>
  </si>
  <si>
    <t>tanugoyal@thapar.edu</t>
  </si>
  <si>
    <t>Faculty</t>
  </si>
  <si>
    <t>aaravagrawal6964@gmail.com</t>
  </si>
  <si>
    <t>Brahammeet Singh</t>
  </si>
  <si>
    <t>avid_ray_80</t>
  </si>
  <si>
    <t>bsingh10_be25@thapar.edu</t>
  </si>
  <si>
    <t>1025160024</t>
  </si>
  <si>
    <t>PARPREET</t>
  </si>
  <si>
    <t>Pratham Mittal</t>
  </si>
  <si>
    <t>mittal_pratham</t>
  </si>
  <si>
    <t>pmittal2_be25@thapar.edu</t>
  </si>
  <si>
    <t>1025030429</t>
  </si>
  <si>
    <t>aahlawat_be25@thapar.edu</t>
  </si>
  <si>
    <t>Mitali Joshi</t>
  </si>
  <si>
    <t>easy_wood_36</t>
  </si>
  <si>
    <t>Akshay Ahlawat</t>
  </si>
  <si>
    <t>mjoshi_be25@thapar.edu</t>
  </si>
  <si>
    <t>1025030763</t>
  </si>
  <si>
    <t>AMAN KUMAR</t>
  </si>
  <si>
    <t>1025030860</t>
  </si>
  <si>
    <t>Samay Garg</t>
  </si>
  <si>
    <t>sgarg_be25</t>
  </si>
  <si>
    <t>ahlawatakshay4321@gmail.com</t>
  </si>
  <si>
    <t>sgarg6_be25@thapar.edu</t>
  </si>
  <si>
    <t>1025030592</t>
  </si>
  <si>
    <t>gamey_star_36</t>
  </si>
  <si>
    <t>RISHABH BANSAL</t>
  </si>
  <si>
    <t>Vansh Singal</t>
  </si>
  <si>
    <t>aaishkiran_be25@thapar.edu</t>
  </si>
  <si>
    <t>huge_mules_86</t>
  </si>
  <si>
    <t>vsingal_be25@thapar.edu</t>
  </si>
  <si>
    <t>1025031069</t>
  </si>
  <si>
    <t>MEHERANSH VAISH</t>
  </si>
  <si>
    <t>Aishkiran</t>
  </si>
  <si>
    <t>Hemakshi Grover</t>
  </si>
  <si>
    <t>epic_harbor_92</t>
  </si>
  <si>
    <t>hgrover_be25@thapar.edu</t>
  </si>
  <si>
    <t>1025030522</t>
  </si>
  <si>
    <t>1025030003</t>
  </si>
  <si>
    <t>aishmehta04@gmail.com</t>
  </si>
  <si>
    <t>Uday Shekhawat</t>
  </si>
  <si>
    <t>extra_scout_34</t>
  </si>
  <si>
    <t>ushekhawat_be25@thapar.edu</t>
  </si>
  <si>
    <t>1025090063</t>
  </si>
  <si>
    <t>ADITYA RAJ</t>
  </si>
  <si>
    <t>Aseemjot Singh</t>
  </si>
  <si>
    <t>adroit_sock_37</t>
  </si>
  <si>
    <t>asingh29_be25@thapar.edu</t>
  </si>
  <si>
    <t>1025160109</t>
  </si>
  <si>
    <t>aakriti_be25@gmail.com</t>
  </si>
  <si>
    <t>Josan Sinha</t>
  </si>
  <si>
    <t>josan_3000</t>
  </si>
  <si>
    <t>Akriti</t>
  </si>
  <si>
    <t>jsinha_be25@thapar.edu</t>
  </si>
  <si>
    <t>GAUTAM GIROTRA</t>
  </si>
  <si>
    <t>1025031122</t>
  </si>
  <si>
    <t>2C82</t>
  </si>
  <si>
    <t>1025030805</t>
  </si>
  <si>
    <t>gargakriti2809@gmail.com</t>
  </si>
  <si>
    <t>Parth Bajaj</t>
  </si>
  <si>
    <t>elect_bass_46</t>
  </si>
  <si>
    <t>pbajaj_be25@thapar.edu</t>
  </si>
  <si>
    <t>1025160032</t>
  </si>
  <si>
    <t>Gurkirat Singh</t>
  </si>
  <si>
    <t>ARJUN MALHOTRA</t>
  </si>
  <si>
    <t>steam_moles_67</t>
  </si>
  <si>
    <t>gsingh10_be25@thapar.edu</t>
  </si>
  <si>
    <t>1025180269</t>
  </si>
  <si>
    <t>aakshata_be25@thapar.edu</t>
  </si>
  <si>
    <t>AGAMYA PANDEY</t>
  </si>
  <si>
    <t>Souradeep Dasgupta</t>
  </si>
  <si>
    <t>flash_hawks_70</t>
  </si>
  <si>
    <t>sdasgupta1_be25@thapar.edu</t>
  </si>
  <si>
    <t>Akshata</t>
  </si>
  <si>
    <t>1025160047</t>
  </si>
  <si>
    <t>HARMANDEEP SINGH</t>
  </si>
  <si>
    <t>1025030520</t>
  </si>
  <si>
    <t>gargakshata@gmail.com</t>
  </si>
  <si>
    <t>Aayush Sharma</t>
  </si>
  <si>
    <t>aayush_s</t>
  </si>
  <si>
    <t>asharma45_be25@thapar.edu</t>
  </si>
  <si>
    <t>1025160056</t>
  </si>
  <si>
    <t>NISHITA GUPTA</t>
  </si>
  <si>
    <t>Bhavit Goyal</t>
  </si>
  <si>
    <t>coder_decoder5</t>
  </si>
  <si>
    <t>RASHPREET SINGH PANDI</t>
  </si>
  <si>
    <t>bgoyal1_be25@thapar.edu</t>
  </si>
  <si>
    <t>1025160127</t>
  </si>
  <si>
    <t>aakshit1_be25@thapar.edu</t>
  </si>
  <si>
    <t>AKSHATA</t>
  </si>
  <si>
    <t>Aastha Gupta</t>
  </si>
  <si>
    <t>kettle_dawn_37</t>
  </si>
  <si>
    <t>Akshit</t>
  </si>
  <si>
    <t>agupta2_be25@thapar.edu</t>
  </si>
  <si>
    <t>1025160066</t>
  </si>
  <si>
    <t>1025170450</t>
  </si>
  <si>
    <t>PALKIN GUPTA</t>
  </si>
  <si>
    <t>Aditya Shukla</t>
  </si>
  <si>
    <t>akshitbhamnia@gmail.com</t>
  </si>
  <si>
    <t>gold_poem_50</t>
  </si>
  <si>
    <t>ashukla1_be25@thapar.edu</t>
  </si>
  <si>
    <t>1025160069</t>
  </si>
  <si>
    <t>DHRUV BANSAL</t>
  </si>
  <si>
    <t>Saksham Gulati</t>
  </si>
  <si>
    <t>USTAT SINGH BHARARA</t>
  </si>
  <si>
    <t>keen_door_17</t>
  </si>
  <si>
    <t>sgulati_be25@thapar.edu</t>
  </si>
  <si>
    <t>1025030543</t>
  </si>
  <si>
    <t>aalish_be25@thapar.edu</t>
  </si>
  <si>
    <t>Bandhul Jaura</t>
  </si>
  <si>
    <t>fit_magpies_29</t>
  </si>
  <si>
    <t>KYRA AGRAWAL</t>
  </si>
  <si>
    <t>bjaura_be25@thapar.edu</t>
  </si>
  <si>
    <t>1025030544</t>
  </si>
  <si>
    <t>Alish</t>
  </si>
  <si>
    <t>KESHAV GARG</t>
  </si>
  <si>
    <t>1025030041</t>
  </si>
  <si>
    <t>Pranshu Pental</t>
  </si>
  <si>
    <t>tiny_turkey_07</t>
  </si>
  <si>
    <t>alishkathpal@gmail.com</t>
  </si>
  <si>
    <t>SIDDHARTHA KUMAR</t>
  </si>
  <si>
    <t>ppental_be25@thapar.edu</t>
  </si>
  <si>
    <t>1025170469</t>
  </si>
  <si>
    <t>2Q41</t>
  </si>
  <si>
    <t>Nandika Verma</t>
  </si>
  <si>
    <t>AGRIMA TIWARI</t>
  </si>
  <si>
    <t>ULFAT SINGH</t>
  </si>
  <si>
    <t>rich_truth_65</t>
  </si>
  <si>
    <t>nverma1_be25@thapar.edu</t>
  </si>
  <si>
    <t>1025170455</t>
  </si>
  <si>
    <t>Shourya Ranaut</t>
  </si>
  <si>
    <t>SUSHANT GAGNEJA</t>
  </si>
  <si>
    <t>wide_scene_30</t>
  </si>
  <si>
    <t>sranaut_be25@thapar.edu</t>
  </si>
  <si>
    <t>1025160010</t>
  </si>
  <si>
    <t>SANVI UPADHYAY</t>
  </si>
  <si>
    <t>adityaanand02012007@gmail.com</t>
  </si>
  <si>
    <t>Anshul Bhati</t>
  </si>
  <si>
    <t>ANANYA AGARWAL</t>
  </si>
  <si>
    <t>hailcrossman</t>
  </si>
  <si>
    <t>abhati1_be25@thapar.edu</t>
  </si>
  <si>
    <t>1025160103</t>
  </si>
  <si>
    <t>IDHANT VATS</t>
  </si>
  <si>
    <t>Aadit Raj Narang</t>
  </si>
  <si>
    <t>grace_seas_01</t>
  </si>
  <si>
    <t>VANSH SINGAL</t>
  </si>
  <si>
    <t>anarang_be25@thapar.edu</t>
  </si>
  <si>
    <t>1025030186</t>
  </si>
  <si>
    <t>aanand1_be25@thapar.edu</t>
  </si>
  <si>
    <t>2C17</t>
  </si>
  <si>
    <t>Armaan Anand</t>
  </si>
  <si>
    <t>ARYAN ANAND PATIL</t>
  </si>
  <si>
    <t>apatil_be25</t>
  </si>
  <si>
    <t>1025090011</t>
  </si>
  <si>
    <t>apatil_be25@thapar.edu</t>
  </si>
  <si>
    <t>SAMARTHA GURTU</t>
  </si>
  <si>
    <t>1025030010</t>
  </si>
  <si>
    <t>armaananand45@gmail.com</t>
  </si>
  <si>
    <t>AYUSH MITTAL</t>
  </si>
  <si>
    <t>2I11</t>
  </si>
  <si>
    <t>MANAN GROVER</t>
  </si>
  <si>
    <t>mgrover_be25</t>
  </si>
  <si>
    <t>mgrover_be25@thapar.edu</t>
  </si>
  <si>
    <t>VAASTAV KUMAR</t>
  </si>
  <si>
    <t>1025030006</t>
  </si>
  <si>
    <t>AKSHIT SINGLA</t>
  </si>
  <si>
    <t>SHRIYAN DE</t>
  </si>
  <si>
    <t>asingla2_be25</t>
  </si>
  <si>
    <t>asingla2_be25@thapar.edu</t>
  </si>
  <si>
    <t>aananya1_be25@thapar.edu</t>
  </si>
  <si>
    <t>VANYA WALIA</t>
  </si>
  <si>
    <t>1025030017</t>
  </si>
  <si>
    <t>Ananya</t>
  </si>
  <si>
    <t>GAURAVDEEP SINGH</t>
  </si>
  <si>
    <t>gsingh1_be25</t>
  </si>
  <si>
    <t>gsingh1_be25@thapar.edu</t>
  </si>
  <si>
    <t>1025031099</t>
  </si>
  <si>
    <t>1025030023</t>
  </si>
  <si>
    <t>PURVI RASTOGI</t>
  </si>
  <si>
    <t>SAMYAK SARKAR</t>
  </si>
  <si>
    <t>ananyasharma57328@gmail.com</t>
  </si>
  <si>
    <t>AYUSH GOYAL</t>
  </si>
  <si>
    <t>agoyal4_be25</t>
  </si>
  <si>
    <t>agoyal4_be25@thapar.edu</t>
  </si>
  <si>
    <t>1025030001</t>
  </si>
  <si>
    <t>ADVIK SINGH</t>
  </si>
  <si>
    <t>MUKUL DOGRA</t>
  </si>
  <si>
    <t>mdogra_be25</t>
  </si>
  <si>
    <t>mdogra_be25@thapar.edu</t>
  </si>
  <si>
    <t>1025031082</t>
  </si>
  <si>
    <t>KHUSHI ARORA</t>
  </si>
  <si>
    <t>BANI</t>
  </si>
  <si>
    <t>karora_be25</t>
  </si>
  <si>
    <t>MANAN KANSAL</t>
  </si>
  <si>
    <t>karora_be25@thapar.edu</t>
  </si>
  <si>
    <t>1025030013</t>
  </si>
  <si>
    <t>AKHIL AGARWAL</t>
  </si>
  <si>
    <t>aanavi_be25@thapar.edu</t>
  </si>
  <si>
    <t>aagarwal4_be25</t>
  </si>
  <si>
    <t>GANIKA</t>
  </si>
  <si>
    <t>Anavi</t>
  </si>
  <si>
    <t>SAMEER VERMA</t>
  </si>
  <si>
    <t>1025030388</t>
  </si>
  <si>
    <t>HARSHIT JAIN</t>
  </si>
  <si>
    <t>hjain_be25</t>
  </si>
  <si>
    <t>hjain_be25@thapar.edu</t>
  </si>
  <si>
    <t>1025030019</t>
  </si>
  <si>
    <t>anvisangwan9@gmail.com</t>
  </si>
  <si>
    <t>MANSHA BANSAL</t>
  </si>
  <si>
    <t>Mrigank Sharma</t>
  </si>
  <si>
    <t>msharma7_be25</t>
  </si>
  <si>
    <t>msharma7_be25@thapar.edu</t>
  </si>
  <si>
    <t>PRANAY MATHUR</t>
  </si>
  <si>
    <t>1025030007</t>
  </si>
  <si>
    <t>SHRIYA NADDA</t>
  </si>
  <si>
    <t>SIFAT KAUR BEDI</t>
  </si>
  <si>
    <t>sbedi1_be25</t>
  </si>
  <si>
    <t>sbedi1_be25@thapar.edu</t>
  </si>
  <si>
    <t>1025031078</t>
  </si>
  <si>
    <t>Aanchal_be25@thapar.edu</t>
  </si>
  <si>
    <t>NAMAN SINGHAL</t>
  </si>
  <si>
    <t>TAMANNA BATRA</t>
  </si>
  <si>
    <t>ARCHITA SINGLA</t>
  </si>
  <si>
    <t>Anchal</t>
  </si>
  <si>
    <t>asingla6_be25</t>
  </si>
  <si>
    <t>asingla6_be25@thapar.edu</t>
  </si>
  <si>
    <t>1025030004</t>
  </si>
  <si>
    <t>1025170264</t>
  </si>
  <si>
    <t>Anchal301206@gmail.com</t>
  </si>
  <si>
    <t>AKANKSHA YADAV</t>
  </si>
  <si>
    <t>HEMAKSHI GROVER</t>
  </si>
  <si>
    <t>ayadav1_be25</t>
  </si>
  <si>
    <t>ayadav1_be25@thapar.edu</t>
  </si>
  <si>
    <t>UTKARSH BAJAJ</t>
  </si>
  <si>
    <t>1025030009</t>
  </si>
  <si>
    <t>GULNAAZ KAUR DHILLON</t>
  </si>
  <si>
    <t>gdhillon_be25</t>
  </si>
  <si>
    <t>gdhillon_be25@thapar.edu</t>
  </si>
  <si>
    <t>1025030022</t>
  </si>
  <si>
    <t>AYUSH SINGLA</t>
  </si>
  <si>
    <t>aanirudh_be25@thapar.edu</t>
  </si>
  <si>
    <t>KARAMVIR KAUR</t>
  </si>
  <si>
    <t>HARSHMITHA</t>
  </si>
  <si>
    <t>kkaur_be25</t>
  </si>
  <si>
    <t>kkaur_be25@thapar.edu</t>
  </si>
  <si>
    <t>1025030025</t>
  </si>
  <si>
    <t>Anirudh</t>
  </si>
  <si>
    <t>DHAIRYA ARORA</t>
  </si>
  <si>
    <t>ABHYUDAY SAXENA</t>
  </si>
  <si>
    <t>1025030855</t>
  </si>
  <si>
    <t>asaxena_be25</t>
  </si>
  <si>
    <t>asaxena_be25@thapar.edu</t>
  </si>
  <si>
    <t>1025030016</t>
  </si>
  <si>
    <t>anirudhgargwww@gmail.com</t>
  </si>
  <si>
    <t>RISHIT SHARMA</t>
  </si>
  <si>
    <t>ANMOLDEEP SINGH SANDHU</t>
  </si>
  <si>
    <t>2C63</t>
  </si>
  <si>
    <t>DHAIRYA BANSAL</t>
  </si>
  <si>
    <t>dbansal1_be25</t>
  </si>
  <si>
    <t>dbansal1_be25@thapar.edu</t>
  </si>
  <si>
    <t>1025030011</t>
  </si>
  <si>
    <t>BAVIKA</t>
  </si>
  <si>
    <t>SIDDIKSHA</t>
  </si>
  <si>
    <t>ssiddiksha_be2</t>
  </si>
  <si>
    <t>ssiddiksha_be25@thapar.edu</t>
  </si>
  <si>
    <t>1025030145</t>
  </si>
  <si>
    <t>aankur_be25@thapar.edu</t>
  </si>
  <si>
    <t>RIDHIMA CHOPRA</t>
  </si>
  <si>
    <t>Ankur</t>
  </si>
  <si>
    <t>MADHAV GUPTA</t>
  </si>
  <si>
    <t>SWASTIK AGARWAL</t>
  </si>
  <si>
    <t>mgupta7_be25</t>
  </si>
  <si>
    <t>mgupta7_be25@thapar.edu</t>
  </si>
  <si>
    <t>1025031044</t>
  </si>
  <si>
    <t>1025030285</t>
  </si>
  <si>
    <t>ankursehrawat868@gmail.com</t>
  </si>
  <si>
    <t>TEGKIRAT KAUR</t>
  </si>
  <si>
    <t>tkaur5_be25</t>
  </si>
  <si>
    <t>BHAVYA GOYAL</t>
  </si>
  <si>
    <t>tkaur5_be25@thapar.edu</t>
  </si>
  <si>
    <t>1025030026</t>
  </si>
  <si>
    <t>YASHIKA</t>
  </si>
  <si>
    <t>PRABHNOOR KAUR</t>
  </si>
  <si>
    <t>pkaur7_be25</t>
  </si>
  <si>
    <t>SAKSHAM MAHAJAN</t>
  </si>
  <si>
    <t>pkaur7_be25@thapar.edu</t>
  </si>
  <si>
    <t>1025030027</t>
  </si>
  <si>
    <t>aanshi_be25@thapar.edu</t>
  </si>
  <si>
    <t>YASHICA KALRA</t>
  </si>
  <si>
    <t>AMITI VERMA</t>
  </si>
  <si>
    <t>Anshi</t>
  </si>
  <si>
    <t>averma5_be25</t>
  </si>
  <si>
    <t>averma5_be25@thapar.edu</t>
  </si>
  <si>
    <t>1025030005</t>
  </si>
  <si>
    <t>ADIL RALHAN</t>
  </si>
  <si>
    <t>1025030424</t>
  </si>
  <si>
    <t>YASH KUMAR SINGH</t>
  </si>
  <si>
    <t>anshigarg27@gmail.com</t>
  </si>
  <si>
    <t>PEERZADA FAHEEM UL BEHAR</t>
  </si>
  <si>
    <t>pbehar_be25</t>
  </si>
  <si>
    <t>pbehar_be25@thapar.edu</t>
  </si>
  <si>
    <t>1025030028</t>
  </si>
  <si>
    <t>ADITI RATHI</t>
  </si>
  <si>
    <t>AISHKIRAN</t>
  </si>
  <si>
    <t>gaeuser_11</t>
  </si>
  <si>
    <t>MANVEE GARG</t>
  </si>
  <si>
    <t>AARYAN</t>
  </si>
  <si>
    <t>aanshika_be25@thapar.edu</t>
  </si>
  <si>
    <t>MADHUPRIYA DE</t>
  </si>
  <si>
    <t>mmadhupriya_be</t>
  </si>
  <si>
    <t>mmadhupriya_be25@thapar.edu</t>
  </si>
  <si>
    <t>1025030008</t>
  </si>
  <si>
    <t>Anshika</t>
  </si>
  <si>
    <t>ANANYA AGGARWAL</t>
  </si>
  <si>
    <t>1025030883</t>
  </si>
  <si>
    <t>BHAVIK KOHLI</t>
  </si>
  <si>
    <t>bkohli_be25</t>
  </si>
  <si>
    <t>BHAVIK GARG</t>
  </si>
  <si>
    <t>bkohli_be25@thapar.edu</t>
  </si>
  <si>
    <t>anshikakansal07@gmail.com</t>
  </si>
  <si>
    <t>1015030015</t>
  </si>
  <si>
    <t>BHUVI KUMAR</t>
  </si>
  <si>
    <t>ANUSHKA SATI</t>
  </si>
  <si>
    <t>asati_be25</t>
  </si>
  <si>
    <t>asati_be25@thapar.edu</t>
  </si>
  <si>
    <t>1025030049</t>
  </si>
  <si>
    <t>JIYA MAGO</t>
  </si>
  <si>
    <t>HIMANSHU KUMAR CHOUDHARY</t>
  </si>
  <si>
    <t>RUDRA PRATAP SINGH</t>
  </si>
  <si>
    <t>rsingh1_be25</t>
  </si>
  <si>
    <t>aanshuman_be25@thapar.edu</t>
  </si>
  <si>
    <t>rsingh1_be25@thapar.edu</t>
  </si>
  <si>
    <t>1025030054</t>
  </si>
  <si>
    <t>Anshuman</t>
  </si>
  <si>
    <t>ADITYA SHAHI</t>
  </si>
  <si>
    <t>BANDHUL JAURA</t>
  </si>
  <si>
    <t>VANSH GARG</t>
  </si>
  <si>
    <t>ashahi_be25</t>
  </si>
  <si>
    <t>1025170286</t>
  </si>
  <si>
    <t>ashahi_be25@thapar.edu</t>
  </si>
  <si>
    <t>1025030031</t>
  </si>
  <si>
    <t>bhallaanshuman2007@gmail.com</t>
  </si>
  <si>
    <t>DHAIRYA YASH</t>
  </si>
  <si>
    <t>dyash_be25</t>
  </si>
  <si>
    <t>KAPISH GUPTA</t>
  </si>
  <si>
    <t>dyash_be25@thapar.edu</t>
  </si>
  <si>
    <t>1025030035</t>
  </si>
  <si>
    <t>SAMEER SAINI</t>
  </si>
  <si>
    <t>JASMEET SINGH SRA</t>
  </si>
  <si>
    <t>SHRIYA PATIAL</t>
  </si>
  <si>
    <t>spatial_be25</t>
  </si>
  <si>
    <t>spatial_be25@thapar.edu</t>
  </si>
  <si>
    <t>aanswal_be25@thapar.edu</t>
  </si>
  <si>
    <t>1025030052</t>
  </si>
  <si>
    <t>DANISH DHANJAL</t>
  </si>
  <si>
    <t>Ankita Answal</t>
  </si>
  <si>
    <t>AKASHDEEP SINGH BHANKHAR</t>
  </si>
  <si>
    <t>ANVI PAINTOLA</t>
  </si>
  <si>
    <t>abhankhar_be25</t>
  </si>
  <si>
    <t>abhankhar_be25@thapar.edu</t>
  </si>
  <si>
    <t>1025030034</t>
  </si>
  <si>
    <t>1025170123</t>
  </si>
  <si>
    <t>ABHIMANYU GOYAL</t>
  </si>
  <si>
    <t>ankitaanswal7@gmail.com</t>
  </si>
  <si>
    <t>KANISHKA JASUJA</t>
  </si>
  <si>
    <t>kjasuja_be25</t>
  </si>
  <si>
    <t>SWARNASHREE GHOSH</t>
  </si>
  <si>
    <t>kjasuja_be25@thapar.edu</t>
  </si>
  <si>
    <t>1025030044</t>
  </si>
  <si>
    <t>2Q15</t>
  </si>
  <si>
    <t>UTKARSH JHA</t>
  </si>
  <si>
    <t>ujha_be25</t>
  </si>
  <si>
    <t>ujha_be25@thapar.edu</t>
  </si>
  <si>
    <t>DANEESH PHULLAY</t>
  </si>
  <si>
    <t>1025030037</t>
  </si>
  <si>
    <t>PREETINDER SINGH</t>
  </si>
  <si>
    <t>aarayana_be25@thapar.edu</t>
  </si>
  <si>
    <t>MAHI MITTAL</t>
  </si>
  <si>
    <t>mmittal_be25</t>
  </si>
  <si>
    <t>mmittal_be25@thapar.edu</t>
  </si>
  <si>
    <t>1025030051</t>
  </si>
  <si>
    <t>Arayana</t>
  </si>
  <si>
    <t>SIDAKPREET KAUR</t>
  </si>
  <si>
    <t>DHRUV DANG</t>
  </si>
  <si>
    <t>1025030842</t>
  </si>
  <si>
    <t>SAKET SHARMA</t>
  </si>
  <si>
    <t>ssharma5_be25</t>
  </si>
  <si>
    <t>ssharma5_be25@thapar.edu</t>
  </si>
  <si>
    <t>1025030038</t>
  </si>
  <si>
    <t>arayanagoyal257@gmail.com</t>
  </si>
  <si>
    <t>SHIVAM YADAV</t>
  </si>
  <si>
    <t>NAMAN YADAV</t>
  </si>
  <si>
    <t>AJIT YADAV</t>
  </si>
  <si>
    <t>ayadav_be25</t>
  </si>
  <si>
    <t>ayadav_be25@thapar.edu</t>
  </si>
  <si>
    <t>1025030046</t>
  </si>
  <si>
    <t>HANSUJAA</t>
  </si>
  <si>
    <t>ALISH</t>
  </si>
  <si>
    <t>aalish_be25</t>
  </si>
  <si>
    <t>MISHTHI</t>
  </si>
  <si>
    <t>aarjun_be25@thapar.edu</t>
  </si>
  <si>
    <t>Arjun</t>
  </si>
  <si>
    <t>TUSHAR BANSAL</t>
  </si>
  <si>
    <t>1025030861</t>
  </si>
  <si>
    <t>tbansal1_be25</t>
  </si>
  <si>
    <t>MANMEET KAUR</t>
  </si>
  <si>
    <t>tbansal1_be25@thapar.edu</t>
  </si>
  <si>
    <t>1025030059</t>
  </si>
  <si>
    <t>arjunthegagneja@gmail.com</t>
  </si>
  <si>
    <t>VEDANT LATAWA</t>
  </si>
  <si>
    <t>ARSHVEER SINGH</t>
  </si>
  <si>
    <t>LEISHA</t>
  </si>
  <si>
    <t>asingh40_be25</t>
  </si>
  <si>
    <t>asingh40_be25@thapar.edu</t>
  </si>
  <si>
    <t>1025030032</t>
  </si>
  <si>
    <t>VIBHUM BAHUGUNA</t>
  </si>
  <si>
    <t>UDDHAV SINGH</t>
  </si>
  <si>
    <t>usingh2_be25</t>
  </si>
  <si>
    <t>aarora_be25@thapar.edu</t>
  </si>
  <si>
    <t>HARSHMEET KAUR</t>
  </si>
  <si>
    <t>usingh2_be25@thapar.edu</t>
  </si>
  <si>
    <t>1025030030</t>
  </si>
  <si>
    <t>Agrim Arora</t>
  </si>
  <si>
    <t>GAGAN JINDAL</t>
  </si>
  <si>
    <t>1025031088</t>
  </si>
  <si>
    <t>gjindal_be25</t>
  </si>
  <si>
    <t>NITIN KUMAR</t>
  </si>
  <si>
    <t>gjindal_be25@thapar.edu</t>
  </si>
  <si>
    <t>SAKSHAM GULATI</t>
  </si>
  <si>
    <t>1025030055</t>
  </si>
  <si>
    <t>a.agrim313@gmail.com</t>
  </si>
  <si>
    <t>2C65</t>
  </si>
  <si>
    <t>TANVEER SINGH JETHRA</t>
  </si>
  <si>
    <t>tjethra_be25</t>
  </si>
  <si>
    <t>tjethra_be25@thapar.edu</t>
  </si>
  <si>
    <t>KARTIK SINGH RATHORE</t>
  </si>
  <si>
    <t>1025030036</t>
  </si>
  <si>
    <t>SANJEEV SINGH</t>
  </si>
  <si>
    <t>2C73</t>
  </si>
  <si>
    <t>AYATI TRIPATHI</t>
  </si>
  <si>
    <t>atripathi_be25</t>
  </si>
  <si>
    <t>atripathi_be25@thapar.edu</t>
  </si>
  <si>
    <t>1025030053</t>
  </si>
  <si>
    <t>PUSHP GARG</t>
  </si>
  <si>
    <t>aarora1_be25@thapar.edu</t>
  </si>
  <si>
    <t>Aarush Arora</t>
  </si>
  <si>
    <t>VANSH KHURANA</t>
  </si>
  <si>
    <t>ABHI BANSAL</t>
  </si>
  <si>
    <t>abansal1_be25</t>
  </si>
  <si>
    <t>abansal1_be25@thapar.edu</t>
  </si>
  <si>
    <t>1025030043</t>
  </si>
  <si>
    <t>1025030862</t>
  </si>
  <si>
    <t>AKRITI SINHA</t>
  </si>
  <si>
    <t>aarusharora731@gmail.com</t>
  </si>
  <si>
    <t>PRISHA</t>
  </si>
  <si>
    <t>pprisha_be25</t>
  </si>
  <si>
    <t>pprisha_be25@thapar.edu</t>
  </si>
  <si>
    <t>1025030047</t>
  </si>
  <si>
    <t>KARTIK CHHABRA</t>
  </si>
  <si>
    <t>SAMRIDH MAHAJAN</t>
  </si>
  <si>
    <t>AARNAV</t>
  </si>
  <si>
    <t>aaarnav_be25</t>
  </si>
  <si>
    <t>APOORVA ARORA</t>
  </si>
  <si>
    <t>aarora4_be25@thapar.edu</t>
  </si>
  <si>
    <t>AVANI</t>
  </si>
  <si>
    <t>aavani_be25</t>
  </si>
  <si>
    <t>Apoorva Arora</t>
  </si>
  <si>
    <t>aavani_be25@thapar.edu</t>
  </si>
  <si>
    <t>1025030042</t>
  </si>
  <si>
    <t>1025030545</t>
  </si>
  <si>
    <t>SPARSH AGARWAL</t>
  </si>
  <si>
    <t>aapoorva588@gmail.com</t>
  </si>
  <si>
    <t>sagarwal6_be25</t>
  </si>
  <si>
    <t>ARYAN GARG</t>
  </si>
  <si>
    <t>sagarwal6_be25@thapar.edu</t>
  </si>
  <si>
    <t>ENAYATA VERMA</t>
  </si>
  <si>
    <t>1025031067</t>
  </si>
  <si>
    <t>SWASTIK GARG</t>
  </si>
  <si>
    <t>sgarg11_be25</t>
  </si>
  <si>
    <t>sgarg11_be25@thapar.edu</t>
  </si>
  <si>
    <t>1025030056</t>
  </si>
  <si>
    <t>AKSHIT MONGA</t>
  </si>
  <si>
    <t>NOURA ARORA</t>
  </si>
  <si>
    <t>SHAVETA</t>
  </si>
  <si>
    <t>narora3_be25</t>
  </si>
  <si>
    <t>aarora6_be25@thapar.edu</t>
  </si>
  <si>
    <t>narora3_be25@thapar.edu</t>
  </si>
  <si>
    <t>1025030029</t>
  </si>
  <si>
    <t>Aarav Arora</t>
  </si>
  <si>
    <t>HARSHA GUPTA</t>
  </si>
  <si>
    <t>TANISH GUPTA</t>
  </si>
  <si>
    <t>1025160104</t>
  </si>
  <si>
    <t>tgupta_be25</t>
  </si>
  <si>
    <t>tgupta_be25@thapar.edu</t>
  </si>
  <si>
    <t>1025030050</t>
  </si>
  <si>
    <t>aarav.aarav4011@gmail.com</t>
  </si>
  <si>
    <t>VANSHIKA BHAGAL</t>
  </si>
  <si>
    <t>ADITYA GOYAL</t>
  </si>
  <si>
    <t>PRITHVI RAJ SINGH</t>
  </si>
  <si>
    <t>psingh19_be25</t>
  </si>
  <si>
    <t>psingh19_be25@thapar.edu</t>
  </si>
  <si>
    <t>1025030039</t>
  </si>
  <si>
    <t>MANREET KAUR</t>
  </si>
  <si>
    <t>MUDIT GUPTA</t>
  </si>
  <si>
    <t>mkaur_be25</t>
  </si>
  <si>
    <t>mkaur_be25@thapar.edu</t>
  </si>
  <si>
    <t>1025030033</t>
  </si>
  <si>
    <t>aarora7_be25@thapar.edu</t>
  </si>
  <si>
    <t>DEVANSH AGARWAL</t>
  </si>
  <si>
    <t>AKSHIPTIKA</t>
  </si>
  <si>
    <t>DIVYANKA SONI</t>
  </si>
  <si>
    <t>dsoni1_be25</t>
  </si>
  <si>
    <t>PARTH SHARMA</t>
  </si>
  <si>
    <t>dsoni1_be25@thapar.edu</t>
  </si>
  <si>
    <t>1025170169</t>
  </si>
  <si>
    <t>1025030071</t>
  </si>
  <si>
    <t>2C13</t>
  </si>
  <si>
    <t>akshiptika1103@gmail.com</t>
  </si>
  <si>
    <t>VISHNU KUMAR</t>
  </si>
  <si>
    <t>MRIDUL</t>
  </si>
  <si>
    <t>mmridul_be25</t>
  </si>
  <si>
    <t>mmridul_be25@thapar.edu</t>
  </si>
  <si>
    <t>PAHULPREET SINGH GAGGAR</t>
  </si>
  <si>
    <t>1025030058</t>
  </si>
  <si>
    <t>ANUKRITI SRIVASTAVA</t>
  </si>
  <si>
    <t>asrivastava1_b</t>
  </si>
  <si>
    <t>asrivastava1_be25@thapar.edu</t>
  </si>
  <si>
    <t>RAJAT MANRO</t>
  </si>
  <si>
    <t>1025030079</t>
  </si>
  <si>
    <t>CHAKSHU GARG</t>
  </si>
  <si>
    <t>aarora8_be25@thapar.edu</t>
  </si>
  <si>
    <t>SAANVI</t>
  </si>
  <si>
    <t>sgarg2_be25</t>
  </si>
  <si>
    <t>Abhaas Arora</t>
  </si>
  <si>
    <t>sgarg2_be25@thapar.edu</t>
  </si>
  <si>
    <t>1025030061</t>
  </si>
  <si>
    <t>KARTIK</t>
  </si>
  <si>
    <t>1025030819</t>
  </si>
  <si>
    <t>DAKSH KAILA</t>
  </si>
  <si>
    <t>DRISHTI</t>
  </si>
  <si>
    <t>abhaasarora07@gmail.com</t>
  </si>
  <si>
    <t>ddrishti1_be25</t>
  </si>
  <si>
    <t>ddrishti1_be25@thapar.edu</t>
  </si>
  <si>
    <t>1025030073</t>
  </si>
  <si>
    <t>HANSIKA GARG</t>
  </si>
  <si>
    <t>VAIBHAV CHAKRAVARTY</t>
  </si>
  <si>
    <t>vchakravarty_b</t>
  </si>
  <si>
    <t>vchakravarty_be25@thapar.edu</t>
  </si>
  <si>
    <t>1025030065</t>
  </si>
  <si>
    <t>HETAL PRIYA</t>
  </si>
  <si>
    <t>SHUBHAM KARWAL</t>
  </si>
  <si>
    <t>aarshia_be25@thapar.edu</t>
  </si>
  <si>
    <t>ISHAAN KHURANA</t>
  </si>
  <si>
    <t>ikhurana_be25</t>
  </si>
  <si>
    <t>ikhurana_be25@thapar.edu</t>
  </si>
  <si>
    <t>1025031135</t>
  </si>
  <si>
    <t>Arshia</t>
  </si>
  <si>
    <t>CHIRAG</t>
  </si>
  <si>
    <t>1025030456</t>
  </si>
  <si>
    <t>DAKSH CHAUHAN</t>
  </si>
  <si>
    <t>NAVIKA GUPTA</t>
  </si>
  <si>
    <t>ngupta4_be25</t>
  </si>
  <si>
    <t>ngupta4_be25@thapar.edu</t>
  </si>
  <si>
    <t>arshiaanand7@gmail.com</t>
  </si>
  <si>
    <t>1025030077</t>
  </si>
  <si>
    <t>SKANDH GARG</t>
  </si>
  <si>
    <t>PRISHA VERMA</t>
  </si>
  <si>
    <t>pverma1_be25</t>
  </si>
  <si>
    <t>pverma1_be25@thapar.edu</t>
  </si>
  <si>
    <t>1025031079</t>
  </si>
  <si>
    <t>HARSIMRAT KAUR UPPAL</t>
  </si>
  <si>
    <t>BHAVIKA</t>
  </si>
  <si>
    <t>DIYA HANDA</t>
  </si>
  <si>
    <t>bbhavika_be25</t>
  </si>
  <si>
    <t>bbhavika_be25@thapar.edu</t>
  </si>
  <si>
    <t>aarshit_be25@thapar.edu</t>
  </si>
  <si>
    <t>1025030074</t>
  </si>
  <si>
    <t>Arshit</t>
  </si>
  <si>
    <t>AKSHAY GOENKA</t>
  </si>
  <si>
    <t>BHARAT SUNIL SHARMA</t>
  </si>
  <si>
    <t>bsharma2_be25</t>
  </si>
  <si>
    <t>bsharma2_be25@thapar.edu</t>
  </si>
  <si>
    <t>1025170271</t>
  </si>
  <si>
    <t>1025030068</t>
  </si>
  <si>
    <t>Arshit.clg@gmail.com</t>
  </si>
  <si>
    <t>PARKHI</t>
  </si>
  <si>
    <t>MEHUL SINGLA</t>
  </si>
  <si>
    <t>ABHIJEET SINGH</t>
  </si>
  <si>
    <t>msingla1_be25</t>
  </si>
  <si>
    <t>msingla1_be25@thapar.edu</t>
  </si>
  <si>
    <t>1025030078</t>
  </si>
  <si>
    <t>VANSH GOYAL</t>
  </si>
  <si>
    <t>AARUSH TYAGI</t>
  </si>
  <si>
    <t>atyagi_be25</t>
  </si>
  <si>
    <t>atyagi_be25@thapar.edu</t>
  </si>
  <si>
    <t>1025030069</t>
  </si>
  <si>
    <t>aaryaman_be25@thapar.edu</t>
  </si>
  <si>
    <t>VAIBHAV CHARAN</t>
  </si>
  <si>
    <t>VANSHIKA MEHRA</t>
  </si>
  <si>
    <t>vcharan_be25</t>
  </si>
  <si>
    <t>vcharan_be25@thapar.edu</t>
  </si>
  <si>
    <t>1025030060</t>
  </si>
  <si>
    <t>Aryaman</t>
  </si>
  <si>
    <t>1025170016</t>
  </si>
  <si>
    <t>NAMAN MANGLA</t>
  </si>
  <si>
    <t>kgarg4_be25</t>
  </si>
  <si>
    <t>HARISHREE TRIVEDI</t>
  </si>
  <si>
    <t>kgarg4_be25@thapar.edu</t>
  </si>
  <si>
    <t>aryamanburia159@gmail.com</t>
  </si>
  <si>
    <t>1025030063</t>
  </si>
  <si>
    <t>2Q11</t>
  </si>
  <si>
    <t>ARYAMAN SAINI</t>
  </si>
  <si>
    <t>asaini2_be25</t>
  </si>
  <si>
    <t>asaini2_be25@thapar.edu</t>
  </si>
  <si>
    <t>KRISHNA GARG</t>
  </si>
  <si>
    <t>1025030070</t>
  </si>
  <si>
    <t>RISHITA JAIN</t>
  </si>
  <si>
    <t>RIDHIMA</t>
  </si>
  <si>
    <t>rridhima_be25</t>
  </si>
  <si>
    <t>aasmit_be25@thapar.edu</t>
  </si>
  <si>
    <t>rridhima_be25@thapar.edu</t>
  </si>
  <si>
    <t>1025030062</t>
  </si>
  <si>
    <t>ARPIT MANAN</t>
  </si>
  <si>
    <t>Asmit</t>
  </si>
  <si>
    <t>VAANYA CHAWLA</t>
  </si>
  <si>
    <t>HAYMANVIR SINGH BIRRING</t>
  </si>
  <si>
    <t>1025170174</t>
  </si>
  <si>
    <t>hbirring_be25</t>
  </si>
  <si>
    <t>hbirring_be25@thapar.edu</t>
  </si>
  <si>
    <t>asmitkumargautam@gmail.com</t>
  </si>
  <si>
    <t>1025031043</t>
  </si>
  <si>
    <t>ARNAV BANSAL</t>
  </si>
  <si>
    <t>ANMOL KUSH</t>
  </si>
  <si>
    <t>akush_be25</t>
  </si>
  <si>
    <t>HIMANSHI GOYAL</t>
  </si>
  <si>
    <t>akush_be25@thapar.edu</t>
  </si>
  <si>
    <t>1025030067</t>
  </si>
  <si>
    <t>DIVYAM AGGARWAL</t>
  </si>
  <si>
    <t>ABHISHEK GUPTA</t>
  </si>
  <si>
    <t>agupta4_be25</t>
  </si>
  <si>
    <t>agupta4_be25@thapar.edu</t>
  </si>
  <si>
    <t>Avani</t>
  </si>
  <si>
    <t>1025030080</t>
  </si>
  <si>
    <t>SUMIT SHARMA</t>
  </si>
  <si>
    <t>CHAITANYA SHARMA</t>
  </si>
  <si>
    <t>NIKHIL CHOUDHARY</t>
  </si>
  <si>
    <t>avanijassiar@gmail.com</t>
  </si>
  <si>
    <t>nchoudhary_be2</t>
  </si>
  <si>
    <t>nchoudhary_be25@thapar.edu</t>
  </si>
  <si>
    <t>1025030057</t>
  </si>
  <si>
    <t>LUV SINGLA</t>
  </si>
  <si>
    <t>GAGANDEEP SINGH</t>
  </si>
  <si>
    <t>PIYUSH GARG</t>
  </si>
  <si>
    <t>pgarg4_be25</t>
  </si>
  <si>
    <t>pgarg4_be25@thapar.edu</t>
  </si>
  <si>
    <t>1025030066</t>
  </si>
  <si>
    <t>aavika_be25@thapar.edu</t>
  </si>
  <si>
    <t>TANISHQ MATHUR</t>
  </si>
  <si>
    <t>LAKSHITA</t>
  </si>
  <si>
    <t>llakshita_be25</t>
  </si>
  <si>
    <t>llakshita_be25@thapar.edu</t>
  </si>
  <si>
    <t>1025030083</t>
  </si>
  <si>
    <t>NAMAN BHUTANI</t>
  </si>
  <si>
    <t>Avika</t>
  </si>
  <si>
    <t>1025230132</t>
  </si>
  <si>
    <t>HARSHITA GARG</t>
  </si>
  <si>
    <t>KHUSHMANDEEP KAUR</t>
  </si>
  <si>
    <t>hgarg2_be25</t>
  </si>
  <si>
    <t>hgarg2_be25@thapar.edu</t>
  </si>
  <si>
    <t>1025030081</t>
  </si>
  <si>
    <t>2W14</t>
  </si>
  <si>
    <t>ADITYA JAIN</t>
  </si>
  <si>
    <t>BHAGWAT PARSHAD SHARMA</t>
  </si>
  <si>
    <t>ajain10_be25</t>
  </si>
  <si>
    <t>ajain10_be25@thapar.edu</t>
  </si>
  <si>
    <t>SHAURYA MALHOTRA</t>
  </si>
  <si>
    <t>1025030064</t>
  </si>
  <si>
    <t>SHASHWAT SINGHAL</t>
  </si>
  <si>
    <t>ssinghal2_be25</t>
  </si>
  <si>
    <t>abahl_be25@thapar.edu</t>
  </si>
  <si>
    <t>ssinghal2_be25@thapar.edu</t>
  </si>
  <si>
    <t>1025030101</t>
  </si>
  <si>
    <t>ADITYA KAURA</t>
  </si>
  <si>
    <t>PARINEET KAUR</t>
  </si>
  <si>
    <t>Arnav Bahl</t>
  </si>
  <si>
    <t>RIDHI GUPTA</t>
  </si>
  <si>
    <t>1025170380</t>
  </si>
  <si>
    <t>rgupta7_be25</t>
  </si>
  <si>
    <t>rgupta7_be25@thapar.edu</t>
  </si>
  <si>
    <t>1025030099</t>
  </si>
  <si>
    <t>arnav2061@gmail.com</t>
  </si>
  <si>
    <t>KAUSTUBH PRAKASH</t>
  </si>
  <si>
    <t>ABHISHEK GARG</t>
  </si>
  <si>
    <t>2Q33</t>
  </si>
  <si>
    <t>JASHANDEEP MULTANI</t>
  </si>
  <si>
    <t>jmultani_be25</t>
  </si>
  <si>
    <t>jmultani_be25@thapar.edu</t>
  </si>
  <si>
    <t>1025030109</t>
  </si>
  <si>
    <t>ARYAN VERMA</t>
  </si>
  <si>
    <t>LIVLEEN KAUR RANU</t>
  </si>
  <si>
    <t>VANSHAJ POONIA</t>
  </si>
  <si>
    <t>lranu_be25</t>
  </si>
  <si>
    <t>abajwa_be25@thapar.edu</t>
  </si>
  <si>
    <t>lranu_be25@thapar.edu</t>
  </si>
  <si>
    <t>1025030250</t>
  </si>
  <si>
    <t>Abhayraj Singh Bajwa</t>
  </si>
  <si>
    <t>DIVYANSH PANDEY</t>
  </si>
  <si>
    <t>ANGAD SINGH MATHARU</t>
  </si>
  <si>
    <t>1025030691</t>
  </si>
  <si>
    <t>amatharu1_be25</t>
  </si>
  <si>
    <t>amatharu1_be25@thapar.edu</t>
  </si>
  <si>
    <t>DAKSH KANWAR</t>
  </si>
  <si>
    <t>1025030252</t>
  </si>
  <si>
    <t>abhayyy.bajwa@gmail.com</t>
  </si>
  <si>
    <t>ARMAAN BHARDWAJ</t>
  </si>
  <si>
    <t>ANGAD SINGH</t>
  </si>
  <si>
    <t>asingh22_be25</t>
  </si>
  <si>
    <t>asingh22_be25@thapar.edu</t>
  </si>
  <si>
    <t>1025030251</t>
  </si>
  <si>
    <t>KANGANA SINGHAL</t>
  </si>
  <si>
    <t>DAKSHDEEP SINGH</t>
  </si>
  <si>
    <t>HARDIK TRIKHA</t>
  </si>
  <si>
    <t>dsingh1_be25</t>
  </si>
  <si>
    <t>dsingh1_be25@thapar.edu</t>
  </si>
  <si>
    <t>1025030089</t>
  </si>
  <si>
    <t>abansal_be25@thapar.edu</t>
  </si>
  <si>
    <t>SOMYA</t>
  </si>
  <si>
    <t>Aadik Bansal</t>
  </si>
  <si>
    <t>VARUN JOSHI</t>
  </si>
  <si>
    <t>vjoshi_be25</t>
  </si>
  <si>
    <t>vjoshi_be25@thapar.edu</t>
  </si>
  <si>
    <t>1025030085</t>
  </si>
  <si>
    <t>1025170040</t>
  </si>
  <si>
    <t>SAMRIDH SEMWAL</t>
  </si>
  <si>
    <t>aadikbansal@gmail.com</t>
  </si>
  <si>
    <t>MEDHANSH JAIN</t>
  </si>
  <si>
    <t>mjain1_be25</t>
  </si>
  <si>
    <t>mjain1_be25@thapar.edu</t>
  </si>
  <si>
    <t>1025030088</t>
  </si>
  <si>
    <t>RAGHAV MITTAL</t>
  </si>
  <si>
    <t>MANAS SINGH</t>
  </si>
  <si>
    <t>HEMANGI</t>
  </si>
  <si>
    <t>hhemangi_be25</t>
  </si>
  <si>
    <t>hhemangi_be25@thapar.edu</t>
  </si>
  <si>
    <t>1025030111</t>
  </si>
  <si>
    <t>SANVI TANEJA</t>
  </si>
  <si>
    <t>2C74</t>
  </si>
  <si>
    <t>DRISHTI MITTAL</t>
  </si>
  <si>
    <t>HARDIK GUPTA</t>
  </si>
  <si>
    <t>dmittal_be25</t>
  </si>
  <si>
    <t>dmittal_be25@thapar.edu</t>
  </si>
  <si>
    <t>1015030104</t>
  </si>
  <si>
    <t>abansal_btech25@thapar.edu</t>
  </si>
  <si>
    <t>Apoorvi Bansal</t>
  </si>
  <si>
    <t>BHAVYANSH GARG</t>
  </si>
  <si>
    <t>bgarg2_be25</t>
  </si>
  <si>
    <t>ARSHBIR SINGH</t>
  </si>
  <si>
    <t>KAVISHA SRIVASTAVA</t>
  </si>
  <si>
    <t>bgarg2_be25@thapar.edu</t>
  </si>
  <si>
    <t>1025030097</t>
  </si>
  <si>
    <t>1025230137</t>
  </si>
  <si>
    <t>apoo07ban@gmail.com</t>
  </si>
  <si>
    <t>HRIDAY KAPOOR</t>
  </si>
  <si>
    <t>hkapoor_be25</t>
  </si>
  <si>
    <t>hkapoor_be25@thapar.edu</t>
  </si>
  <si>
    <t>SANKALP KUMAR</t>
  </si>
  <si>
    <t>1025030087</t>
  </si>
  <si>
    <t>NAMAN GARG</t>
  </si>
  <si>
    <t>SANYAM PANSARI</t>
  </si>
  <si>
    <t>spansari_be25</t>
  </si>
  <si>
    <t>spansari_be25@thapar.edu</t>
  </si>
  <si>
    <t>1025030103</t>
  </si>
  <si>
    <t>RAGHAV SINGLA</t>
  </si>
  <si>
    <t>VAIBHAV ARORA</t>
  </si>
  <si>
    <t>varora6_be25</t>
  </si>
  <si>
    <t>varora6_be25@thapar.edu</t>
  </si>
  <si>
    <t>HARDIK KHARBANDA</t>
  </si>
  <si>
    <t>1025030094</t>
  </si>
  <si>
    <t>ANSH TIWARI</t>
  </si>
  <si>
    <t>REEWAJ TUTEJA</t>
  </si>
  <si>
    <t>abhaybansal267@gmail.com</t>
  </si>
  <si>
    <t>rtuteja_be25</t>
  </si>
  <si>
    <t>rtuteja_be25@thapar.edu</t>
  </si>
  <si>
    <t>1025030107</t>
  </si>
  <si>
    <t>RAUSHEEN KHURANA</t>
  </si>
  <si>
    <t>VERAIN MANAKTALA</t>
  </si>
  <si>
    <t>vmanaktala_be2</t>
  </si>
  <si>
    <t>THATIKONDA JAI DEEP SAI</t>
  </si>
  <si>
    <t>vmanaktala_be25@thapar.edu</t>
  </si>
  <si>
    <t>1025030105</t>
  </si>
  <si>
    <t>CHINMAY</t>
  </si>
  <si>
    <t>abansal12_be25@thapar.edu</t>
  </si>
  <si>
    <t>cchinmay_be25</t>
  </si>
  <si>
    <t>cchinmay_be25@thapar.edu</t>
  </si>
  <si>
    <t>1025030098</t>
  </si>
  <si>
    <t>Aditya Bansal</t>
  </si>
  <si>
    <t>HAMMAD ALI</t>
  </si>
  <si>
    <t>SAKSHI KANWAR</t>
  </si>
  <si>
    <t>1025030438</t>
  </si>
  <si>
    <t>PRABHMEET SINGH</t>
  </si>
  <si>
    <t>psingh17_be25</t>
  </si>
  <si>
    <t>psingh17_be25@thapar.edu</t>
  </si>
  <si>
    <t>1025030108</t>
  </si>
  <si>
    <t>adityaab2007@gmail.com</t>
  </si>
  <si>
    <t>ANUSHKA RATHORE</t>
  </si>
  <si>
    <t>RIDHAM</t>
  </si>
  <si>
    <t>rmangi_be25</t>
  </si>
  <si>
    <t>rmangi_be25@thapar.edu</t>
  </si>
  <si>
    <t>1025030090</t>
  </si>
  <si>
    <t>PRANAV SHARMA</t>
  </si>
  <si>
    <t>agoyal11_be25</t>
  </si>
  <si>
    <t>agoyal11_be25@thapar.edu</t>
  </si>
  <si>
    <t>1025030100</t>
  </si>
  <si>
    <t>abansal2_be25@thapar.edu</t>
  </si>
  <si>
    <t>ISHITA ARORA</t>
  </si>
  <si>
    <t>DAKSH TONNI</t>
  </si>
  <si>
    <t>dtonni_be25</t>
  </si>
  <si>
    <t>HIYA PANERI</t>
  </si>
  <si>
    <t>dtonni_be25@thapar.edu</t>
  </si>
  <si>
    <t>Akshit Bansal</t>
  </si>
  <si>
    <t>1025030091</t>
  </si>
  <si>
    <t>1025030743</t>
  </si>
  <si>
    <t>NITISH RAI</t>
  </si>
  <si>
    <t>nrai_be25</t>
  </si>
  <si>
    <t>nrai_be25@thapar.edu</t>
  </si>
  <si>
    <t>HARSH PREMCHANDANI</t>
  </si>
  <si>
    <t>1025030095</t>
  </si>
  <si>
    <t>akshbansal2005@gmail.com</t>
  </si>
  <si>
    <t>AAYUSH BISHT</t>
  </si>
  <si>
    <t>2C54</t>
  </si>
  <si>
    <t>JASMYRAH BHINDER</t>
  </si>
  <si>
    <t>jbhinder_be25</t>
  </si>
  <si>
    <t>jbhinder_be25@thapar.edu</t>
  </si>
  <si>
    <t>1025030112</t>
  </si>
  <si>
    <t>SAMAY GARG</t>
  </si>
  <si>
    <t>VARUN MAHAJAN</t>
  </si>
  <si>
    <t>vmahajan_be25</t>
  </si>
  <si>
    <t>vmahajan_be25@thapar.edu</t>
  </si>
  <si>
    <t>1025030117</t>
  </si>
  <si>
    <t>AKSHDEEP SINGH</t>
  </si>
  <si>
    <t>abansal4_be25@thapar.edu</t>
  </si>
  <si>
    <t>PRAGYANSH SRIVASTAVA</t>
  </si>
  <si>
    <t>Ansh bansal</t>
  </si>
  <si>
    <t>LAKSHAY BANSAL</t>
  </si>
  <si>
    <t>lbansal_be25</t>
  </si>
  <si>
    <t>lbansal_be25@thapar.edu</t>
  </si>
  <si>
    <t>1025030133</t>
  </si>
  <si>
    <t>1025030879</t>
  </si>
  <si>
    <t>SEJAL</t>
  </si>
  <si>
    <t>MANTAVYA DIXIT</t>
  </si>
  <si>
    <t>Anshb1549@gmail.com</t>
  </si>
  <si>
    <t>JATIN KATHORIA</t>
  </si>
  <si>
    <t>jkathoria_be25</t>
  </si>
  <si>
    <t>jkathoria_be25@thapar.edu</t>
  </si>
  <si>
    <t>1025030118</t>
  </si>
  <si>
    <t>DRISHTI GUPTA</t>
  </si>
  <si>
    <t>DIVYA MADAN</t>
  </si>
  <si>
    <t>JASIKA ARORA</t>
  </si>
  <si>
    <t>dgupta4_be25</t>
  </si>
  <si>
    <t>dgupta4_be25@thapar.edu</t>
  </si>
  <si>
    <t>1025030116</t>
  </si>
  <si>
    <t>abansal5_be25@thapar.edu</t>
  </si>
  <si>
    <t>HARSHIV GOYAL</t>
  </si>
  <si>
    <t>hgoyal1_be25</t>
  </si>
  <si>
    <t>ROHAN KUMAR GOGAR</t>
  </si>
  <si>
    <t>hgoyal1_be25@thapar.edu</t>
  </si>
  <si>
    <t>1025030121</t>
  </si>
  <si>
    <t>RAKSHIT YADAV</t>
  </si>
  <si>
    <t>Arnav Bansal</t>
  </si>
  <si>
    <t>ANSH JINDAL</t>
  </si>
  <si>
    <t>1025030573</t>
  </si>
  <si>
    <t>ajindal_be25</t>
  </si>
  <si>
    <t>ajindal_be25@thapar.edu</t>
  </si>
  <si>
    <t>RUHAN KALRA</t>
  </si>
  <si>
    <t>1025030128</t>
  </si>
  <si>
    <t>NAVI DADHWAL</t>
  </si>
  <si>
    <t>ndadhwal_be25</t>
  </si>
  <si>
    <t>ndadhwal_be25@thapar.edu</t>
  </si>
  <si>
    <t>1025030120</t>
  </si>
  <si>
    <t>ROSHNI</t>
  </si>
  <si>
    <t>KANIKA MAHENDRU</t>
  </si>
  <si>
    <t>SOMYA RALHAN</t>
  </si>
  <si>
    <t>sralhan_be25</t>
  </si>
  <si>
    <t>sralhan_be25@thapar.edu</t>
  </si>
  <si>
    <t>1025030122</t>
  </si>
  <si>
    <t>abansal8_be25@thapar.edu</t>
  </si>
  <si>
    <t>HITPRIYA MANGLA</t>
  </si>
  <si>
    <t>Aishani Bansal</t>
  </si>
  <si>
    <t>RAJBANT SINGH</t>
  </si>
  <si>
    <t>ADITE SHARMA</t>
  </si>
  <si>
    <t>asharma36_be25</t>
  </si>
  <si>
    <t>asharma36_be25@thapar.edu</t>
  </si>
  <si>
    <t>1025030123</t>
  </si>
  <si>
    <t>1025030350</t>
  </si>
  <si>
    <t>GARIMA NARULA</t>
  </si>
  <si>
    <t>SOHAM AGGARWAL</t>
  </si>
  <si>
    <t>saggarwal5_be2</t>
  </si>
  <si>
    <t>saggarwal5_be25@thapar.edu</t>
  </si>
  <si>
    <t>UDIT GUPTA</t>
  </si>
  <si>
    <t>1025030130</t>
  </si>
  <si>
    <t>DEEPALI AGGARWAL</t>
  </si>
  <si>
    <t>AKSHITA GUPTA</t>
  </si>
  <si>
    <t>agupta6_be25</t>
  </si>
  <si>
    <t>agupta6_be25@thapar.edu</t>
  </si>
  <si>
    <t>1025030165</t>
  </si>
  <si>
    <t>ARSH GUPTA</t>
  </si>
  <si>
    <t>abansal9_be25@thapar.edu</t>
  </si>
  <si>
    <t>SHUBH SAREEN</t>
  </si>
  <si>
    <t>GUNIK ABBI</t>
  </si>
  <si>
    <t>gabbi_be25</t>
  </si>
  <si>
    <t>gabbi_be25@thapar.edu</t>
  </si>
  <si>
    <t>1025030134</t>
  </si>
  <si>
    <t>VANSHIKA GUPTA</t>
  </si>
  <si>
    <t>KASHVI</t>
  </si>
  <si>
    <t>kkashvi_be25</t>
  </si>
  <si>
    <t>Akshat Bansal</t>
  </si>
  <si>
    <t>VANSH JAISWAL</t>
  </si>
  <si>
    <t>kkashvi_be25@thapar.edu</t>
  </si>
  <si>
    <t>1025030132</t>
  </si>
  <si>
    <t>ARYAN GUPTA</t>
  </si>
  <si>
    <t>1025170403</t>
  </si>
  <si>
    <t>ABEER NARANG</t>
  </si>
  <si>
    <t>anarang1_be25</t>
  </si>
  <si>
    <t>anarang1_be25@thapar.edu</t>
  </si>
  <si>
    <t>RAGHAV DUGGAL</t>
  </si>
  <si>
    <t>1025031050</t>
  </si>
  <si>
    <t>bansalakshat126@gmail.com</t>
  </si>
  <si>
    <t>HIMANSHU KUMAR</t>
  </si>
  <si>
    <t>2Q34</t>
  </si>
  <si>
    <t>CHASTE GOBIND SINGH MITTAL</t>
  </si>
  <si>
    <t>csingh2_be25</t>
  </si>
  <si>
    <t>csingh2_be25@thapar.edu</t>
  </si>
  <si>
    <t>1025030113</t>
  </si>
  <si>
    <t>DHRUV SHARDA</t>
  </si>
  <si>
    <t>KUNAL SINGLA</t>
  </si>
  <si>
    <t>ksingla2_be25</t>
  </si>
  <si>
    <t>ksingla2_be25@thapar.edu</t>
  </si>
  <si>
    <t>1025030115</t>
  </si>
  <si>
    <t>RUDRAKSHI AGGARWAL</t>
  </si>
  <si>
    <t>Abatra_be25@thapar.edu</t>
  </si>
  <si>
    <t>NETHRA LAWANIA</t>
  </si>
  <si>
    <t>nlawania_be25</t>
  </si>
  <si>
    <t>Aryan Batra</t>
  </si>
  <si>
    <t>nlawania_be25@thapar.edu</t>
  </si>
  <si>
    <t>1025031062</t>
  </si>
  <si>
    <t>1025230062</t>
  </si>
  <si>
    <t>NAYAN MANOCHA</t>
  </si>
  <si>
    <t>ABHIMANYU SINGH</t>
  </si>
  <si>
    <t>SATYAM VERMA</t>
  </si>
  <si>
    <t>asingh5_be25</t>
  </si>
  <si>
    <t>Aryanbatra277@gmail.com</t>
  </si>
  <si>
    <t>asingh5_be25@thapar.edu</t>
  </si>
  <si>
    <t>1025030129</t>
  </si>
  <si>
    <t>NAMAN SINGLA</t>
  </si>
  <si>
    <t>VINAMRA ARORA</t>
  </si>
  <si>
    <t>varora4_be25</t>
  </si>
  <si>
    <t>varora4_be25@thapar.edu</t>
  </si>
  <si>
    <t>1025031080</t>
  </si>
  <si>
    <t>DHUNN JAIN</t>
  </si>
  <si>
    <t>YASH BANSAL</t>
  </si>
  <si>
    <t>KOMAL GOYAL</t>
  </si>
  <si>
    <t>ybansal1_be25</t>
  </si>
  <si>
    <t>Abatth_be25@thapar.edu</t>
  </si>
  <si>
    <t>ybansal1_be25@thapar.edu</t>
  </si>
  <si>
    <t>1025030127</t>
  </si>
  <si>
    <t>Armaan Singh</t>
  </si>
  <si>
    <t>SARTHAK TAKIAR</t>
  </si>
  <si>
    <t>1025230023</t>
  </si>
  <si>
    <t>JANYA GARG</t>
  </si>
  <si>
    <t>stakiar_be25</t>
  </si>
  <si>
    <t>MANASWI GOYAL</t>
  </si>
  <si>
    <t>stakiar_be25@thapar.edu</t>
  </si>
  <si>
    <t>1025030124</t>
  </si>
  <si>
    <t>Battharmaan2622@gmail.com</t>
  </si>
  <si>
    <t>2W12</t>
  </si>
  <si>
    <t>UTKARSH MANGLIK</t>
  </si>
  <si>
    <t>im_utkarsh07</t>
  </si>
  <si>
    <t>umanglik_be25@thapar.edu</t>
  </si>
  <si>
    <t>PRATYUSH RAWAT</t>
  </si>
  <si>
    <t>1025030136</t>
  </si>
  <si>
    <t>KRITIKA</t>
  </si>
  <si>
    <t>RISHABH BISEN</t>
  </si>
  <si>
    <t>rbisen_be25</t>
  </si>
  <si>
    <t>rbisen_be25@thapar.edu</t>
  </si>
  <si>
    <t>1025030119</t>
  </si>
  <si>
    <t>abaweja1_be25@thapar.edu</t>
  </si>
  <si>
    <t>MANAN NARANG</t>
  </si>
  <si>
    <t>DHRUV GUPTA</t>
  </si>
  <si>
    <t>Akshath Baweja</t>
  </si>
  <si>
    <t>2C75</t>
  </si>
  <si>
    <t>CIZA NAGPAL</t>
  </si>
  <si>
    <t>cnagpal_be25</t>
  </si>
  <si>
    <t>cnagpal_be25@thapar.edu</t>
  </si>
  <si>
    <t>1025030137</t>
  </si>
  <si>
    <t>1025030416</t>
  </si>
  <si>
    <t>KUSHAGRA AGRAWAL</t>
  </si>
  <si>
    <t>akshathbaqeja27@gmail.com</t>
  </si>
  <si>
    <t>MOKSH GOEL</t>
  </si>
  <si>
    <t>mgoel_be25</t>
  </si>
  <si>
    <t>ANAVIL YADAV</t>
  </si>
  <si>
    <t>mgoel_be25@thapar.edu</t>
  </si>
  <si>
    <t>1025030135</t>
  </si>
  <si>
    <t>MADHAV SHARMA</t>
  </si>
  <si>
    <t>RAVNEET KAUR</t>
  </si>
  <si>
    <t>rkaur3_be25</t>
  </si>
  <si>
    <t>rkaur3_be25@thapar.edu</t>
  </si>
  <si>
    <t>1025030125</t>
  </si>
  <si>
    <t>MANYATA BAJAJ</t>
  </si>
  <si>
    <t>SUPRATIK CHANDRA</t>
  </si>
  <si>
    <t>DOROTHY</t>
  </si>
  <si>
    <t>dgoyal2_be25</t>
  </si>
  <si>
    <t>dgoyal2_be25@thapar.edu</t>
  </si>
  <si>
    <t>1025030170</t>
  </si>
  <si>
    <t>Akashdeep Singh Bhankhar</t>
  </si>
  <si>
    <t>JASMANPREET SINGH</t>
  </si>
  <si>
    <t>ISHAN AGGARWAL</t>
  </si>
  <si>
    <t>jsingh21_be25</t>
  </si>
  <si>
    <t>jsingh21_be25@thapar.edu</t>
  </si>
  <si>
    <t>1025030158</t>
  </si>
  <si>
    <t>KRISHNA KATYAL</t>
  </si>
  <si>
    <t>2C16</t>
  </si>
  <si>
    <t>akashdsb39@gmail.com</t>
  </si>
  <si>
    <t>SHAURYA SINGH SAMBYAL</t>
  </si>
  <si>
    <t>ssambyal_be25</t>
  </si>
  <si>
    <t>TANISHA</t>
  </si>
  <si>
    <t>ssambyal_be25@thapar.edu</t>
  </si>
  <si>
    <t>1025030139</t>
  </si>
  <si>
    <t>NIYATI SHARMA</t>
  </si>
  <si>
    <t>HARMANVEER SINGH</t>
  </si>
  <si>
    <t>DIBYAJYOTI DAS</t>
  </si>
  <si>
    <t>nsharma_be25</t>
  </si>
  <si>
    <t>nsharma_be25@thapar.edu</t>
  </si>
  <si>
    <t>abhardwaj1_be25@thapar.edu</t>
  </si>
  <si>
    <t>1025030155</t>
  </si>
  <si>
    <t>Aarav Bhardwaj</t>
  </si>
  <si>
    <t>KANAV CHAWLA</t>
  </si>
  <si>
    <t>kchawla1_be25</t>
  </si>
  <si>
    <t>kchawla1_be25@thapar.edu</t>
  </si>
  <si>
    <t>1025090046</t>
  </si>
  <si>
    <t>1025030148</t>
  </si>
  <si>
    <t>PRACHI RANA</t>
  </si>
  <si>
    <t>bhardwajaarav13@gmail.com</t>
  </si>
  <si>
    <t>ARNAV GUPTA</t>
  </si>
  <si>
    <t>ONIR CHANANA</t>
  </si>
  <si>
    <t>ochanana_be25</t>
  </si>
  <si>
    <t>ochanana_be25@thapar.edu</t>
  </si>
  <si>
    <t>1025030151</t>
  </si>
  <si>
    <t>RITVIK GUPTA</t>
  </si>
  <si>
    <t>DEVANSH VERMA</t>
  </si>
  <si>
    <t>MAYANK ADHIKARI</t>
  </si>
  <si>
    <t>madhikari_be25</t>
  </si>
  <si>
    <t>madhikari_be25@thapar.edu</t>
  </si>
  <si>
    <t>1025030161</t>
  </si>
  <si>
    <t>AISHWARYA GOYAL</t>
  </si>
  <si>
    <t>ARYAMAN TRIPATHI</t>
  </si>
  <si>
    <t>agoyal8_be25</t>
  </si>
  <si>
    <t>agoyal8_be25@thapar.edu</t>
  </si>
  <si>
    <t>1025030149</t>
  </si>
  <si>
    <t>SAHIL CHAWLA</t>
  </si>
  <si>
    <t>VAIDEHI SINGH</t>
  </si>
  <si>
    <t>anshulbhati575@gmail.com</t>
  </si>
  <si>
    <t>schawla1_be25</t>
  </si>
  <si>
    <t>AKSHAY KUMAR PANDEY</t>
  </si>
  <si>
    <t>schawla1_be25@thapar.edu</t>
  </si>
  <si>
    <t>1025030192</t>
  </si>
  <si>
    <t>AKSHAY KAPIL</t>
  </si>
  <si>
    <t>akapil_be25</t>
  </si>
  <si>
    <t>akapil_be25@thapar.edu</t>
  </si>
  <si>
    <t>1025030159</t>
  </si>
  <si>
    <t>SIMRAN SETHI</t>
  </si>
  <si>
    <t>AMRITPREET SINGH</t>
  </si>
  <si>
    <t>abhatia3_be25@thapar.edu</t>
  </si>
  <si>
    <t>asingh21_be25</t>
  </si>
  <si>
    <t>AADIT THAPAR</t>
  </si>
  <si>
    <t>asingh21_be25@thapar.edu</t>
  </si>
  <si>
    <t>1025030140</t>
  </si>
  <si>
    <t>Ashmita Bhatia</t>
  </si>
  <si>
    <t>AADIT KHERA</t>
  </si>
  <si>
    <t>1025030417</t>
  </si>
  <si>
    <t>PARIN GUPTA</t>
  </si>
  <si>
    <t>KRISHNUV TARUN KHATTAR</t>
  </si>
  <si>
    <t>pgupta_be25</t>
  </si>
  <si>
    <t>ashmitaabhatia@gmail.com</t>
  </si>
  <si>
    <t>pgupta_be25@thapar.edu</t>
  </si>
  <si>
    <t>1025031092</t>
  </si>
  <si>
    <t>BHUWAN</t>
  </si>
  <si>
    <t>SHAURYA SURYAWANSHI</t>
  </si>
  <si>
    <t>AKSHIT GUPTA</t>
  </si>
  <si>
    <t>agupta7_be25</t>
  </si>
  <si>
    <t>agupta7_be25@thapar.edu</t>
  </si>
  <si>
    <t>1025030154</t>
  </si>
  <si>
    <t>abist_be25@thapar.edu</t>
  </si>
  <si>
    <t>SOFIA</t>
  </si>
  <si>
    <t>Aryan Bist</t>
  </si>
  <si>
    <t>TANMAY KAPOOR</t>
  </si>
  <si>
    <t>SHEREEN</t>
  </si>
  <si>
    <t>tkapoor_be25</t>
  </si>
  <si>
    <t>tkapoor_be25@thapar.edu</t>
  </si>
  <si>
    <t>1025030712</t>
  </si>
  <si>
    <t>1025030166</t>
  </si>
  <si>
    <t>aryanbist6@gmail.com</t>
  </si>
  <si>
    <t>AYU AGARWAL</t>
  </si>
  <si>
    <t>PARAS SHARMA</t>
  </si>
  <si>
    <t>RIJUL ARORA</t>
  </si>
  <si>
    <t>2C53</t>
  </si>
  <si>
    <t>psharma1_be25</t>
  </si>
  <si>
    <t>psharma1_be25@thapar.edu</t>
  </si>
  <si>
    <t>1025030142</t>
  </si>
  <si>
    <t>DEEPIT KOUL</t>
  </si>
  <si>
    <t>dkoul_be25</t>
  </si>
  <si>
    <t>dkoul_be25@thapar.edu</t>
  </si>
  <si>
    <t>MADALSA SEHGAL</t>
  </si>
  <si>
    <t>1025030143</t>
  </si>
  <si>
    <t>GEETAGYA TYAGI</t>
  </si>
  <si>
    <t>abrar_be25@thapar.edu</t>
  </si>
  <si>
    <t>NAVJOT SINGH AULAKH</t>
  </si>
  <si>
    <t>Anantveer Singh Brar</t>
  </si>
  <si>
    <t>naulakh_be25</t>
  </si>
  <si>
    <t>naulakh_be25@thapar.edu</t>
  </si>
  <si>
    <t>1025030160</t>
  </si>
  <si>
    <t>ABHAY PARTAP KAMBOJ</t>
  </si>
  <si>
    <t>1025230097</t>
  </si>
  <si>
    <t>ARCHIT JHA</t>
  </si>
  <si>
    <t>anantveerbrar1@gmail.com</t>
  </si>
  <si>
    <t>AKARSH DIVYAM</t>
  </si>
  <si>
    <t>adivyam_be25</t>
  </si>
  <si>
    <t>PRISHA AHUJA</t>
  </si>
  <si>
    <t>adivyam_be25@thapar.edu</t>
  </si>
  <si>
    <t>1025030144</t>
  </si>
  <si>
    <t/>
  </si>
  <si>
    <t>SHIVANG SRIVASTAVA</t>
  </si>
  <si>
    <t>ssrivastava1_b</t>
  </si>
  <si>
    <t>ssrivastava1_be25@thapar.edu</t>
  </si>
  <si>
    <t>1025030150</t>
  </si>
  <si>
    <t>achakrabarti_be25@thapar.edu</t>
  </si>
  <si>
    <t>Arnesh Chakrabarti</t>
  </si>
  <si>
    <t>JAYANT MAHAJAN</t>
  </si>
  <si>
    <t>SHIVANSH SINGH RAJPUT</t>
  </si>
  <si>
    <t>srajput_be25</t>
  </si>
  <si>
    <t>srajput_be25@thapar.edu</t>
  </si>
  <si>
    <t>1025030146</t>
  </si>
  <si>
    <t>1025030779</t>
  </si>
  <si>
    <t>VYOM KHANNA</t>
  </si>
  <si>
    <t>puparnesh2461@gmail.com</t>
  </si>
  <si>
    <t>vkhanna_be25</t>
  </si>
  <si>
    <t>vkhanna_be25@thapar.edu</t>
  </si>
  <si>
    <t>SHRESHTH NIJHAWAN</t>
  </si>
  <si>
    <t>1025030156</t>
  </si>
  <si>
    <t>GARIMA</t>
  </si>
  <si>
    <t>ggarima_be25</t>
  </si>
  <si>
    <t>ggarima_be25@thapar.edu</t>
  </si>
  <si>
    <t>1025030153</t>
  </si>
  <si>
    <t>JATIN DALAL</t>
  </si>
  <si>
    <t>TWINKLE</t>
  </si>
  <si>
    <t>ttwinkle_be25</t>
  </si>
  <si>
    <t>ttwinkle_be25@thapar.edu</t>
  </si>
  <si>
    <t>1025030781</t>
  </si>
  <si>
    <t>achaturvedi_be25@thapar.edu</t>
  </si>
  <si>
    <t>Aditya Chaturvedi</t>
  </si>
  <si>
    <t>1025230013</t>
  </si>
  <si>
    <t>AMITOJ SINGH DHALIWAL</t>
  </si>
  <si>
    <t>adityachaturvedi6042@gmail.com</t>
  </si>
  <si>
    <t>MANAN KUMAR</t>
  </si>
  <si>
    <t>GAURI GOYAL</t>
  </si>
  <si>
    <t>mkumar2_be25</t>
  </si>
  <si>
    <t>mkumar2_be25@thapar.edu</t>
  </si>
  <si>
    <t>1025030167</t>
  </si>
  <si>
    <t>Achaudhary_be25@thapar.edu</t>
  </si>
  <si>
    <t>PATCHIMALLA RAVINDRANATH</t>
  </si>
  <si>
    <t>Ankit Chaudhary</t>
  </si>
  <si>
    <t>vgarg1_be25</t>
  </si>
  <si>
    <t>vgarg1_be25@thapar.edu</t>
  </si>
  <si>
    <t>1025030147</t>
  </si>
  <si>
    <t>1025170038</t>
  </si>
  <si>
    <t>ankit15092006@gmail.com</t>
  </si>
  <si>
    <t>DIVISHA KUMARI</t>
  </si>
  <si>
    <t>PRAATIK SRIVASTAVA</t>
  </si>
  <si>
    <t>psrivastava_be</t>
  </si>
  <si>
    <t>psrivastava_be25@thapar.edu</t>
  </si>
  <si>
    <t>1025030162</t>
  </si>
  <si>
    <t>VAIBHAV NAGPAL</t>
  </si>
  <si>
    <t>SAHARSH MUKHERJEE</t>
  </si>
  <si>
    <t>smukherjee_be2</t>
  </si>
  <si>
    <t>achauhan1_be25@thapar.edu</t>
  </si>
  <si>
    <t>smukherjee_be25@thapar.edu</t>
  </si>
  <si>
    <t>1025030141</t>
  </si>
  <si>
    <t>Akshun Chauhan</t>
  </si>
  <si>
    <t>PRIYANSHU JINDAL</t>
  </si>
  <si>
    <t>1025170008</t>
  </si>
  <si>
    <t>HARSHITA</t>
  </si>
  <si>
    <t>hharshita_be25</t>
  </si>
  <si>
    <t>akshunchauhan9500@gmail.com</t>
  </si>
  <si>
    <t>hharshita_be25@thapar.edu</t>
  </si>
  <si>
    <t>1025030164</t>
  </si>
  <si>
    <t>PRANAV BHARDWAJ</t>
  </si>
  <si>
    <t>RUHANI ARORA</t>
  </si>
  <si>
    <t>rarora1_be25</t>
  </si>
  <si>
    <t>rarora1_be25@thapar.edu</t>
  </si>
  <si>
    <t>1025030992</t>
  </si>
  <si>
    <t>SNEHA</t>
  </si>
  <si>
    <t>achaurasia_be25@thapar.edu</t>
  </si>
  <si>
    <t>SANYAM AHUJA</t>
  </si>
  <si>
    <t>ATHARAV SHARMA</t>
  </si>
  <si>
    <t>sahuja2_be25</t>
  </si>
  <si>
    <t>sahuja2_be25@thapar.edu</t>
  </si>
  <si>
    <t>1025030178</t>
  </si>
  <si>
    <t>HITUL GARG</t>
  </si>
  <si>
    <t>Ashwani Chaurasia</t>
  </si>
  <si>
    <t>hgarg5_be25</t>
  </si>
  <si>
    <t>hgarg5_be25@thapar.edu</t>
  </si>
  <si>
    <t>1025030193</t>
  </si>
  <si>
    <t>1025030654</t>
  </si>
  <si>
    <t>DEEP DIVYANSH UPADHYAY</t>
  </si>
  <si>
    <t>dupadhyay_be25</t>
  </si>
  <si>
    <t>dupadhyay_be25@thapar.edu</t>
  </si>
  <si>
    <t>1025030190</t>
  </si>
  <si>
    <t>BHAVYA</t>
  </si>
  <si>
    <t>bbhavya_be25</t>
  </si>
  <si>
    <t>bbhavya_be25@thapar.edu</t>
  </si>
  <si>
    <t>1025030189</t>
  </si>
  <si>
    <t>achawla_be25@thapar.edu</t>
  </si>
  <si>
    <t>Aakarsh Chawla</t>
  </si>
  <si>
    <t>HARSHITA CHANANA</t>
  </si>
  <si>
    <t>hchanana_be25</t>
  </si>
  <si>
    <t>1025030376</t>
  </si>
  <si>
    <t>hchanana_be25@thapar.edu</t>
  </si>
  <si>
    <t>1025030191</t>
  </si>
  <si>
    <t>aakarshchawla8@gmail.com</t>
  </si>
  <si>
    <t>HARSHIT JINDAL</t>
  </si>
  <si>
    <t>hjindal1_be25</t>
  </si>
  <si>
    <t>hjindal1_be25@thapar.edu</t>
  </si>
  <si>
    <t>achawla2_be25@thapar.edu</t>
  </si>
  <si>
    <t>1025030175</t>
  </si>
  <si>
    <t>Ankur Chawla</t>
  </si>
  <si>
    <t>BAIDURJYA MAZUMDAR DAS</t>
  </si>
  <si>
    <t>bdas_be25</t>
  </si>
  <si>
    <t>1025030265</t>
  </si>
  <si>
    <t>bdas_be25@thapar.edu</t>
  </si>
  <si>
    <t>1025030169</t>
  </si>
  <si>
    <t>chawla0306ankur@gmail.com</t>
  </si>
  <si>
    <t>2C22</t>
  </si>
  <si>
    <t>ANKIT DHALI</t>
  </si>
  <si>
    <t>adhali_be25</t>
  </si>
  <si>
    <t>adhali_be25@thapar.edu</t>
  </si>
  <si>
    <t>1025030185</t>
  </si>
  <si>
    <t>KARTIKEYA GUPTA</t>
  </si>
  <si>
    <t>achawla3_be25@thapar.edu</t>
  </si>
  <si>
    <t>kgupta5_be25</t>
  </si>
  <si>
    <t>kgupta5_be25@thapar.edu</t>
  </si>
  <si>
    <t>1025030174</t>
  </si>
  <si>
    <t>MANAN</t>
  </si>
  <si>
    <t>Addhyan Chawla</t>
  </si>
  <si>
    <t>beastcodz</t>
  </si>
  <si>
    <t>mmanan_be25@thapar.edu</t>
  </si>
  <si>
    <t>1025031061</t>
  </si>
  <si>
    <t>1025030403</t>
  </si>
  <si>
    <t>Chawlaaddhyan@gmail.com</t>
  </si>
  <si>
    <t>AVIRAL KHARIWAR</t>
  </si>
  <si>
    <t>akhariwar_be25</t>
  </si>
  <si>
    <t>akhariwar_be25@thapar.edu</t>
  </si>
  <si>
    <t>1025030177</t>
  </si>
  <si>
    <t>KIJAL</t>
  </si>
  <si>
    <t>kkijal_be25</t>
  </si>
  <si>
    <t>kkijal_be25@thapar.edu</t>
  </si>
  <si>
    <t>1025030187</t>
  </si>
  <si>
    <t>achetia_be25@thapar.edu</t>
  </si>
  <si>
    <t>Anushka Chetia</t>
  </si>
  <si>
    <t>PRANAY JAIN</t>
  </si>
  <si>
    <t>pranayyyyyy7</t>
  </si>
  <si>
    <t>1025030726</t>
  </si>
  <si>
    <t>pjain1_be25@thapar.edu</t>
  </si>
  <si>
    <t>1025030168</t>
  </si>
  <si>
    <t>VEYDANT GUPTA</t>
  </si>
  <si>
    <t>vgupta11_be25</t>
  </si>
  <si>
    <t>vgupta11_be25@thapar.edu</t>
  </si>
  <si>
    <t>1025030172</t>
  </si>
  <si>
    <t>KRISH VIG</t>
  </si>
  <si>
    <t>kvig_be25</t>
  </si>
  <si>
    <t>achhabra_be25@thapar.edu</t>
  </si>
  <si>
    <t>kvig_be25@thapar.edu</t>
  </si>
  <si>
    <t>1025030173</t>
  </si>
  <si>
    <t>Adil Chhabra</t>
  </si>
  <si>
    <t>1025030849</t>
  </si>
  <si>
    <t>HITAKSHI SARWAL</t>
  </si>
  <si>
    <t>hsarwal_be25</t>
  </si>
  <si>
    <t>hsarwal_be25@thapar.edu</t>
  </si>
  <si>
    <t>adilchhabra1603@gmail.com</t>
  </si>
  <si>
    <t>1025030194</t>
  </si>
  <si>
    <t>KRISH SINGLA</t>
  </si>
  <si>
    <t>ksingla4_be25</t>
  </si>
  <si>
    <t>ksingla4_be25@thapar.edu</t>
  </si>
  <si>
    <t>1025030184</t>
  </si>
  <si>
    <t>achhabra1_be25@thapar.edu</t>
  </si>
  <si>
    <t>DEEPANSHI SAHNI</t>
  </si>
  <si>
    <t>dsahni_be25</t>
  </si>
  <si>
    <t>Aryan Chhabra</t>
  </si>
  <si>
    <t>dsahni_be25@thapar.edu</t>
  </si>
  <si>
    <t>1025030188</t>
  </si>
  <si>
    <t>1025170504</t>
  </si>
  <si>
    <t>aryanchhabra653@gmail.com</t>
  </si>
  <si>
    <t>BHAVYA GARG</t>
  </si>
  <si>
    <t>bgarg_be25</t>
  </si>
  <si>
    <t>bgarg_be25@thapar.edu</t>
  </si>
  <si>
    <t>1025030179</t>
  </si>
  <si>
    <t>achopra_be25@thapar.edu</t>
  </si>
  <si>
    <t>HUNAR BHARDWAJ</t>
  </si>
  <si>
    <t>hbhardwaj_be25</t>
  </si>
  <si>
    <t>Aprajita Chopra</t>
  </si>
  <si>
    <t>hbhardwaj_be25@thapar.edu</t>
  </si>
  <si>
    <t>1025030176</t>
  </si>
  <si>
    <t>1025170304</t>
  </si>
  <si>
    <t>aruchopra2007@gmail.com</t>
  </si>
  <si>
    <t>VANDAN GUPTA</t>
  </si>
  <si>
    <t>2Q31</t>
  </si>
  <si>
    <t>vgupta2_be25</t>
  </si>
  <si>
    <t>vgupta2_be25@thapar.edu</t>
  </si>
  <si>
    <t>1025030171</t>
  </si>
  <si>
    <t>GAARV KHAJANCHI</t>
  </si>
  <si>
    <t>ggaarv_be25</t>
  </si>
  <si>
    <t>ggaarv_be25@thapar.edu</t>
  </si>
  <si>
    <t>achopra1_be25@thapar.edu</t>
  </si>
  <si>
    <t>1025030180</t>
  </si>
  <si>
    <t>Aanya Chopra</t>
  </si>
  <si>
    <t>1025030661</t>
  </si>
  <si>
    <t>MAHIKA GARG</t>
  </si>
  <si>
    <t>mgarg2_be25</t>
  </si>
  <si>
    <t>mgarg2_be25@thapar.edu</t>
  </si>
  <si>
    <t>iamaanyachopra@gmail.com</t>
  </si>
  <si>
    <t>1025030195</t>
  </si>
  <si>
    <t>VRITI GARG</t>
  </si>
  <si>
    <t>vgarg2_be25</t>
  </si>
  <si>
    <t>vgarg2_be25@thapar.edu</t>
  </si>
  <si>
    <t>1025030183</t>
  </si>
  <si>
    <t>achoudhary_be25@thapar.edu</t>
  </si>
  <si>
    <t>KHUSHI</t>
  </si>
  <si>
    <t>kkhushi2_be25</t>
  </si>
  <si>
    <t>kkhushi2_be25@thapar.edu</t>
  </si>
  <si>
    <t>Aryan Choudhary</t>
  </si>
  <si>
    <t>1025030196</t>
  </si>
  <si>
    <t>1025170307</t>
  </si>
  <si>
    <t>aryanchoudhary9719961475@gmail.com</t>
  </si>
  <si>
    <t>JASPREET SINGH</t>
  </si>
  <si>
    <t>jsingh16_be25</t>
  </si>
  <si>
    <t>jsingh16_be25@thapar.edu</t>
  </si>
  <si>
    <t>1025030203</t>
  </si>
  <si>
    <t>EKAM WALIA</t>
  </si>
  <si>
    <t>ewalia_be25</t>
  </si>
  <si>
    <t>ewalia_be25@thapar.edu</t>
  </si>
  <si>
    <t>1025030221</t>
  </si>
  <si>
    <t>adeshdeep_be25@thapar.edu</t>
  </si>
  <si>
    <t>Arunesh Deshdeep</t>
  </si>
  <si>
    <t>AGAM KOCHAR</t>
  </si>
  <si>
    <t>akochar_be25</t>
  </si>
  <si>
    <t>akochar_be25@thapar.edu</t>
  </si>
  <si>
    <t>1025170364</t>
  </si>
  <si>
    <t>1025030216</t>
  </si>
  <si>
    <t>aruneshdeshdeep@gmail.com</t>
  </si>
  <si>
    <t>JASKANWAR SINGH KHANNA</t>
  </si>
  <si>
    <t>jkhanna_be25</t>
  </si>
  <si>
    <t>jkhanna_be25@thapar.edu</t>
  </si>
  <si>
    <t>1025030245</t>
  </si>
  <si>
    <t>BALKAR SINGH KHAROUD</t>
  </si>
  <si>
    <t>bkharoud_be25</t>
  </si>
  <si>
    <t>bkharoud_be25@thapar.edu</t>
  </si>
  <si>
    <t>1025030215</t>
  </si>
  <si>
    <t>SHAKSHYAM BEHERA</t>
  </si>
  <si>
    <t>sbehera_be25</t>
  </si>
  <si>
    <t>sbehera_be25@thapar.edu</t>
  </si>
  <si>
    <t>Ankit Dhali</t>
  </si>
  <si>
    <t>1025030813</t>
  </si>
  <si>
    <t>PRABHLEEN KAUR</t>
  </si>
  <si>
    <t>pkaur10_be25</t>
  </si>
  <si>
    <t>pkaur10_be25@thapar.edu</t>
  </si>
  <si>
    <t>ankitdhali2006@gmail.com</t>
  </si>
  <si>
    <t>1025030222</t>
  </si>
  <si>
    <t>ANGAD DHILLON</t>
  </si>
  <si>
    <t>adhillon_be25</t>
  </si>
  <si>
    <t>adhillon_be25@thapar.edu</t>
  </si>
  <si>
    <t>1025030206</t>
  </si>
  <si>
    <t>GUNRAJ SINGH</t>
  </si>
  <si>
    <t>gsingh21_be25</t>
  </si>
  <si>
    <t>gsingh21_be25@thapar.edu</t>
  </si>
  <si>
    <t>1025030208</t>
  </si>
  <si>
    <t>adhaliwal_be25@thapar.edu</t>
  </si>
  <si>
    <t>RAVNEET SINGH</t>
  </si>
  <si>
    <t>rsingh11_be25</t>
  </si>
  <si>
    <t>rsingh11_be25@thapar.edu</t>
  </si>
  <si>
    <t>1025030202</t>
  </si>
  <si>
    <t>Amitoj Dhaliwal</t>
  </si>
  <si>
    <t>PRANJAL</t>
  </si>
  <si>
    <t>1025031034</t>
  </si>
  <si>
    <t>ppranjal_be25</t>
  </si>
  <si>
    <t>ppranjal_be25@thapar.edu</t>
  </si>
  <si>
    <t>1025030211</t>
  </si>
  <si>
    <t>amitoj1680@gmail.com</t>
  </si>
  <si>
    <t>AGRIM ARORA</t>
  </si>
  <si>
    <t>aarora_be25</t>
  </si>
  <si>
    <t>CHHANPREET SINGH</t>
  </si>
  <si>
    <t>csingh1_be25</t>
  </si>
  <si>
    <t>csingh1_be25@thapar.edu</t>
  </si>
  <si>
    <t>adhawan_be25@thapar.edu</t>
  </si>
  <si>
    <t>1025030219</t>
  </si>
  <si>
    <t>Arnav dhawan</t>
  </si>
  <si>
    <t>1025170466</t>
  </si>
  <si>
    <t>HARSEERAT KAUR</t>
  </si>
  <si>
    <t>hkaur15_be25</t>
  </si>
  <si>
    <t>hkaur15_be25@thapar.edu</t>
  </si>
  <si>
    <t>1025030201</t>
  </si>
  <si>
    <t>dhawan.arnav05@gmail.com</t>
  </si>
  <si>
    <t>JASKARAN SINGH</t>
  </si>
  <si>
    <t>jsingh12_be25</t>
  </si>
  <si>
    <t>jsingh12_be25@thapar.edu</t>
  </si>
  <si>
    <t>1025030198</t>
  </si>
  <si>
    <t>Angad Dhillon</t>
  </si>
  <si>
    <t>GURMANTAJ SINGH SIDHU</t>
  </si>
  <si>
    <t>gsidhu1_be25</t>
  </si>
  <si>
    <t>gsidhu1_be25@thapar.edu</t>
  </si>
  <si>
    <t>1025030209</t>
  </si>
  <si>
    <t>dhillon.anz@gmail.com</t>
  </si>
  <si>
    <t>KARANPARTAP SINGH CHOUHAN</t>
  </si>
  <si>
    <t>kchouhan_be25</t>
  </si>
  <si>
    <t>kchouhan_be25@thapar.edu</t>
  </si>
  <si>
    <t>1025030213</t>
  </si>
  <si>
    <t>adhyani_be25@thapar.edu</t>
  </si>
  <si>
    <t>ASEESDEEP SINGH</t>
  </si>
  <si>
    <t>asingh30_be25</t>
  </si>
  <si>
    <t>asingh30_be25@thapar.edu</t>
  </si>
  <si>
    <t>Aarav Dhyani</t>
  </si>
  <si>
    <t>1025030204</t>
  </si>
  <si>
    <t>1025030684</t>
  </si>
  <si>
    <t>aaravdhyani2006@gmail.com</t>
  </si>
  <si>
    <t>BALRAJINDER SINGH CHAHAL</t>
  </si>
  <si>
    <t>bchahal_be25</t>
  </si>
  <si>
    <t>bchahal_be25@thapar.edu</t>
  </si>
  <si>
    <t>1025030200</t>
  </si>
  <si>
    <t>BIBEK PODDER</t>
  </si>
  <si>
    <t>bpodder_be25</t>
  </si>
  <si>
    <t>bpodder_be25@thapar.edu</t>
  </si>
  <si>
    <t>1015030212</t>
  </si>
  <si>
    <t>Akarsh Divyam</t>
  </si>
  <si>
    <t>SIMARPREET SINGH</t>
  </si>
  <si>
    <t>ssingh14_be25</t>
  </si>
  <si>
    <t>ssingh14_be25@thapar.edu</t>
  </si>
  <si>
    <t>1025030199</t>
  </si>
  <si>
    <t>divyamakarsh07@gmail.com</t>
  </si>
  <si>
    <t>RAHAT</t>
  </si>
  <si>
    <t>rrahat_be25</t>
  </si>
  <si>
    <t>rrahat_be25@thapar.edu</t>
  </si>
  <si>
    <t>1025030217</t>
  </si>
  <si>
    <t>adobhal_be25@thapar.edu</t>
  </si>
  <si>
    <t>PARNEET KAUR</t>
  </si>
  <si>
    <t>pkaur4_be25</t>
  </si>
  <si>
    <t>Avani Dobhal</t>
  </si>
  <si>
    <t>pkaur4_be25@thapar.edu</t>
  </si>
  <si>
    <t>1025030210</t>
  </si>
  <si>
    <t>1025030229</t>
  </si>
  <si>
    <t>DILPREET KAUR SONI</t>
  </si>
  <si>
    <t>avani.dobhal0411@gmail.com</t>
  </si>
  <si>
    <t>dsoni_be25</t>
  </si>
  <si>
    <t>dsoni_be25@thapar.edu</t>
  </si>
  <si>
    <t>1025030157</t>
  </si>
  <si>
    <t>JASNOOR SINGH</t>
  </si>
  <si>
    <t>jsingh4_be25</t>
  </si>
  <si>
    <t>jsingh4_be25@thapar.edu</t>
  </si>
  <si>
    <t>1025030220</t>
  </si>
  <si>
    <t>Adoomra_be25@thapar.edu</t>
  </si>
  <si>
    <t>PRABHLEEN KAUR BAINS</t>
  </si>
  <si>
    <t>Arshita Doomra</t>
  </si>
  <si>
    <t>pbains_be25</t>
  </si>
  <si>
    <t>pbains_be25@thapar.edu</t>
  </si>
  <si>
    <t>1025230123</t>
  </si>
  <si>
    <t>1025030197</t>
  </si>
  <si>
    <t>Arshitaaa2025@gmail.com</t>
  </si>
  <si>
    <t>HUSANPREET SINGH</t>
  </si>
  <si>
    <t>hsingh23_be25</t>
  </si>
  <si>
    <t>hsingh23_be25@thapar.edu</t>
  </si>
  <si>
    <t>1025030207</t>
  </si>
  <si>
    <t>HARNOOR KAUR GILL</t>
  </si>
  <si>
    <t>hgill_be25</t>
  </si>
  <si>
    <t>hgill_be25@thapar.edu</t>
  </si>
  <si>
    <t>03_08_2026_2C7</t>
  </si>
  <si>
    <t>1025030225</t>
  </si>
  <si>
    <t>31_07_2026_2C7</t>
  </si>
  <si>
    <t>06_08_2026_2C7</t>
  </si>
  <si>
    <t>07_08_2026_2C7</t>
  </si>
  <si>
    <t>MANNAT DHILLON</t>
  </si>
  <si>
    <t>NotFound/TotalSubmission</t>
  </si>
  <si>
    <t>mdhillon_be25</t>
  </si>
  <si>
    <t>mdhillon_be25@thapar.edu</t>
  </si>
  <si>
    <t>aduggal_be25@thapar.edu</t>
  </si>
  <si>
    <t>1025030233</t>
  </si>
  <si>
    <t>Abhay Duggal</t>
  </si>
  <si>
    <t>MAYANK ARORA</t>
  </si>
  <si>
    <t>marora1_be25</t>
  </si>
  <si>
    <t>1025030655</t>
  </si>
  <si>
    <t>marora1_be25@thapar.edu</t>
  </si>
  <si>
    <t>1025030096</t>
  </si>
  <si>
    <t>abhayduggal27@gmail.com</t>
  </si>
  <si>
    <t>KARNAAZ KAUR</t>
  </si>
  <si>
    <t>kkaur3_be25</t>
  </si>
  <si>
    <t>kkaur3_be25@thapar.edu</t>
  </si>
  <si>
    <t>1025030249</t>
  </si>
  <si>
    <t>MEHARNOOR SINGH</t>
  </si>
  <si>
    <t>msingh11_be25</t>
  </si>
  <si>
    <t>msingh11_be25@thapar.edu</t>
  </si>
  <si>
    <t>1025030247</t>
  </si>
  <si>
    <t>adutta_be25@thapar.edu</t>
  </si>
  <si>
    <t>Akkshita Dutta</t>
  </si>
  <si>
    <t>MAHEEP KAUR</t>
  </si>
  <si>
    <t>mkaur5_be25</t>
  </si>
  <si>
    <t>mkaur5_be25@thapar.edu</t>
  </si>
  <si>
    <t>1025030369</t>
  </si>
  <si>
    <t>1025030498</t>
  </si>
  <si>
    <t>akkshita.dutta23@gmail.com</t>
  </si>
  <si>
    <t>LOVISH SINGLA</t>
  </si>
  <si>
    <t>lsingla_be25</t>
  </si>
  <si>
    <t>lsingla_be25@thapar.edu</t>
  </si>
  <si>
    <t>1025030238</t>
  </si>
  <si>
    <t>MOHIT</t>
  </si>
  <si>
    <t>mmehta_be25</t>
  </si>
  <si>
    <t>agabbi_be25@thapar.edu</t>
  </si>
  <si>
    <t>mmehta_be25@thapar.edu</t>
  </si>
  <si>
    <t>1025030363</t>
  </si>
  <si>
    <t>Avkarandeep Singh Gabbi</t>
  </si>
  <si>
    <t>1025170072</t>
  </si>
  <si>
    <t>GURMAN GILL</t>
  </si>
  <si>
    <t>ggill_be25</t>
  </si>
  <si>
    <t>avkarangabbi@gmail.com</t>
  </si>
  <si>
    <t>ggill_be25@thapar.edu</t>
  </si>
  <si>
    <t>1025030244</t>
  </si>
  <si>
    <t>DIVYANSHU RAWAT</t>
  </si>
  <si>
    <t>drawat_be25</t>
  </si>
  <si>
    <t>drawat_be25@thapar.edu</t>
  </si>
  <si>
    <t>1025030240</t>
  </si>
  <si>
    <t>agakhar_be25@thapar.edu</t>
  </si>
  <si>
    <t>Akul Gakhar</t>
  </si>
  <si>
    <t>SHUBRAT SINGLA</t>
  </si>
  <si>
    <t>ssingla1_be25</t>
  </si>
  <si>
    <t>ssingla1_be25@thapar.edu</t>
  </si>
  <si>
    <t>1025030239</t>
  </si>
  <si>
    <t>1025030235</t>
  </si>
  <si>
    <t>akulgakhar11@gmail.com</t>
  </si>
  <si>
    <t>SAMARVEER SINGH</t>
  </si>
  <si>
    <t>ssingh12_be25</t>
  </si>
  <si>
    <t>ssingh12_be25@thapar.edu</t>
  </si>
  <si>
    <t>1025030241</t>
  </si>
  <si>
    <t>HARNOOR KAUR</t>
  </si>
  <si>
    <t>hkaur12_be25</t>
  </si>
  <si>
    <t>agandhi_be25@thapar.edu</t>
  </si>
  <si>
    <t>hkaur12_be25@thapar.edu</t>
  </si>
  <si>
    <t>1025030248</t>
  </si>
  <si>
    <t>SUKHMAN DHIMAN</t>
  </si>
  <si>
    <t>sdhiman_be25</t>
  </si>
  <si>
    <t>sdhiman_be25@thapar.edu</t>
  </si>
  <si>
    <t>1025030246</t>
  </si>
  <si>
    <t>1/1</t>
  </si>
  <si>
    <t>1/42</t>
  </si>
  <si>
    <t>Aditya Gandhi</t>
  </si>
  <si>
    <t>SALONI MANOHAR</t>
  </si>
  <si>
    <t>smanohar_be25</t>
  </si>
  <si>
    <t>smanohar_be25@thapar.edu</t>
  </si>
  <si>
    <t>1025030243</t>
  </si>
  <si>
    <t>1025170013</t>
  </si>
  <si>
    <t>AVANI DOBHAL</t>
  </si>
  <si>
    <t>adobhal_be25</t>
  </si>
  <si>
    <t>Aditya.merits@gmail.com</t>
  </si>
  <si>
    <t>1025030913</t>
  </si>
  <si>
    <t>JASKEERAT KAUR</t>
  </si>
  <si>
    <t>jkaur2_be25</t>
  </si>
  <si>
    <t>jkaur2_be25@thapar.edu</t>
  </si>
  <si>
    <t>1025030223</t>
  </si>
  <si>
    <t>SHUBH JAIN</t>
  </si>
  <si>
    <t>Agarg_be25@thapar.edu</t>
  </si>
  <si>
    <t>sjain_be25</t>
  </si>
  <si>
    <t>sjain_be25@thapar.edu</t>
  </si>
  <si>
    <t>1025030231</t>
  </si>
  <si>
    <t>Abhishek Garg</t>
  </si>
  <si>
    <t>1025031038</t>
  </si>
  <si>
    <t>DEV MAHAVAR</t>
  </si>
  <si>
    <t>dmahavar_be25</t>
  </si>
  <si>
    <t>dmahavar_be25@thapar.edu</t>
  </si>
  <si>
    <t>1025030228</t>
  </si>
  <si>
    <t>UDEEP CHAUDHARY</t>
  </si>
  <si>
    <t>uchaudhary_be2</t>
  </si>
  <si>
    <t>uchaudhary_be25@thapar.edu</t>
  </si>
  <si>
    <t>1025030224</t>
  </si>
  <si>
    <t>1025030920</t>
  </si>
  <si>
    <t>agarg1_be25@thapar.edu</t>
  </si>
  <si>
    <t>Adeesh Garg</t>
  </si>
  <si>
    <t>kkhushi3_be25</t>
  </si>
  <si>
    <t>kkhushi3_be25@thapar.edu</t>
  </si>
  <si>
    <t>1025031045</t>
  </si>
  <si>
    <t>1025230057</t>
  </si>
  <si>
    <t>1025030926</t>
  </si>
  <si>
    <t>adeesh.g47@gmail.com</t>
  </si>
  <si>
    <t>PANAV GUPTA</t>
  </si>
  <si>
    <t>pgupta4_be25</t>
  </si>
  <si>
    <t>pgupta4_be25@thapar.edu</t>
  </si>
  <si>
    <t>1025030227</t>
  </si>
  <si>
    <t>1025030914</t>
  </si>
  <si>
    <t>VANSH DUVEDI</t>
  </si>
  <si>
    <t>vduvedi_be25</t>
  </si>
  <si>
    <t>vduvedi_be25@thapar.edu</t>
  </si>
  <si>
    <t>agarg11_be25@thapar.edu</t>
  </si>
  <si>
    <t>1025030242</t>
  </si>
  <si>
    <t>Amish Garg</t>
  </si>
  <si>
    <t>1025030440</t>
  </si>
  <si>
    <t>NISHANT BEDI</t>
  </si>
  <si>
    <t>nbedi_be25</t>
  </si>
  <si>
    <t>nbedi_be25@thapar.edu</t>
  </si>
  <si>
    <t>aarg11_be25@thapar.om</t>
  </si>
  <si>
    <t>1025030226</t>
  </si>
  <si>
    <t>AKUL GAKHAR</t>
  </si>
  <si>
    <t>agakhar_be25</t>
  </si>
  <si>
    <t>agarg12_be25@thapar.edu</t>
  </si>
  <si>
    <t>AARYAN KHATTER</t>
  </si>
  <si>
    <t>Aarush Garg</t>
  </si>
  <si>
    <t>1025030923</t>
  </si>
  <si>
    <t>akhatter_be25</t>
  </si>
  <si>
    <t>1025030335</t>
  </si>
  <si>
    <t>akhatter_be25@thapar.edu</t>
  </si>
  <si>
    <t>1025030230</t>
  </si>
  <si>
    <t>gargaarush6@gmail.com</t>
  </si>
  <si>
    <t>1025031048</t>
  </si>
  <si>
    <t>SACHLEEN KAUR</t>
  </si>
  <si>
    <t>skaur6_be25</t>
  </si>
  <si>
    <t>skaur6_be25@thapar.edu</t>
  </si>
  <si>
    <t>1025030232</t>
  </si>
  <si>
    <t>AKSHIT JINDAL</t>
  </si>
  <si>
    <t>1025030911</t>
  </si>
  <si>
    <t>ajindal1_be25</t>
  </si>
  <si>
    <t>ajindal1_be25@thapar.edu</t>
  </si>
  <si>
    <t>1025030236</t>
  </si>
  <si>
    <t>RHYTHM KAPOOR</t>
  </si>
  <si>
    <t>1025030918</t>
  </si>
  <si>
    <t>rkapoor2_be25</t>
  </si>
  <si>
    <t>rkapoor2_be25@thapar.edu</t>
  </si>
  <si>
    <t>abhinavgarg536@gmail.com</t>
  </si>
  <si>
    <t>1025030268</t>
  </si>
  <si>
    <t>1025030925</t>
  </si>
  <si>
    <t>KANHA SHEEL</t>
  </si>
  <si>
    <t>agarg16_be25@thapar.edu</t>
  </si>
  <si>
    <t>ksheel_be25</t>
  </si>
  <si>
    <t>1025030988</t>
  </si>
  <si>
    <t>ksheel_be25@thapar.edu</t>
  </si>
  <si>
    <t>1025030256</t>
  </si>
  <si>
    <t>1025031127</t>
  </si>
  <si>
    <t>GOURIKA</t>
  </si>
  <si>
    <t>gargabhinav455@gmail.com</t>
  </si>
  <si>
    <t>1025030922</t>
  </si>
  <si>
    <t>ggourika_be25</t>
  </si>
  <si>
    <t>ggourika_be25@thapar.edu</t>
  </si>
  <si>
    <t>1025030277</t>
  </si>
  <si>
    <t>DHRUV ARORA</t>
  </si>
  <si>
    <t>1025030921</t>
  </si>
  <si>
    <t>darora2_be25</t>
  </si>
  <si>
    <t>darora2_be25@thapar.edu</t>
  </si>
  <si>
    <t>1025030274</t>
  </si>
  <si>
    <t>agarg2_be25@thapar.edu</t>
  </si>
  <si>
    <t>Aditya Garg</t>
  </si>
  <si>
    <t>1025030915</t>
  </si>
  <si>
    <t>PUSHKAR GUPTA</t>
  </si>
  <si>
    <t>pgupta11_be25</t>
  </si>
  <si>
    <t>1025230103</t>
  </si>
  <si>
    <t>pgupta11_be25@thapar.edu</t>
  </si>
  <si>
    <t>1025030260</t>
  </si>
  <si>
    <t>adityagarg0045@gmail.com</t>
  </si>
  <si>
    <t>1025030916</t>
  </si>
  <si>
    <t>KABIR THAPAR</t>
  </si>
  <si>
    <t>kthapar_be25</t>
  </si>
  <si>
    <t>kthapar_be25@thapar.edu</t>
  </si>
  <si>
    <t>1025030276</t>
  </si>
  <si>
    <t>1025030917</t>
  </si>
  <si>
    <t>agarg4_be25@thapar.edu</t>
  </si>
  <si>
    <t>SEHAJPREET SINGH</t>
  </si>
  <si>
    <t>ssingh20_be25</t>
  </si>
  <si>
    <t>ssingh20_be25@thapar.edu</t>
  </si>
  <si>
    <t>1025030255</t>
  </si>
  <si>
    <t>Arnav Garg</t>
  </si>
  <si>
    <t>1025170047</t>
  </si>
  <si>
    <t>1025030929</t>
  </si>
  <si>
    <t>YASHIKA SACHER</t>
  </si>
  <si>
    <t>arnavgarg212@gmail.com</t>
  </si>
  <si>
    <t>yyashika1_be25</t>
  </si>
  <si>
    <t>yyashika1_be25@thapar.edu</t>
  </si>
  <si>
    <t>1025030269</t>
  </si>
  <si>
    <t>1025030919</t>
  </si>
  <si>
    <t>RISHIT VIJ</t>
  </si>
  <si>
    <t>rvij_be25</t>
  </si>
  <si>
    <t>rvij_be25@thapar.edu</t>
  </si>
  <si>
    <t>1025030272</t>
  </si>
  <si>
    <t>agarg6_be25@thapar.edu</t>
  </si>
  <si>
    <t>1025030924</t>
  </si>
  <si>
    <t>Aryan Garg</t>
  </si>
  <si>
    <t>ANKUR CHAWLA</t>
  </si>
  <si>
    <t>achawla2_be25</t>
  </si>
  <si>
    <t>1025030975</t>
  </si>
  <si>
    <t>1025030912</t>
  </si>
  <si>
    <t>NISHITA THAKUR</t>
  </si>
  <si>
    <t>nthakur_be25</t>
  </si>
  <si>
    <t>nthakur_be25@thapar.edu</t>
  </si>
  <si>
    <t>1025030930</t>
  </si>
  <si>
    <t>1025030271</t>
  </si>
  <si>
    <t>agarg7_be25@thapar.edu</t>
  </si>
  <si>
    <t>VINAYAK BANSAL</t>
  </si>
  <si>
    <t>vbansal3_be25</t>
  </si>
  <si>
    <t>1025030927</t>
  </si>
  <si>
    <t>vbansal3_be25@thapar.edu</t>
  </si>
  <si>
    <t>1025030264</t>
  </si>
  <si>
    <t>Ayushi Garg</t>
  </si>
  <si>
    <t>1025030441</t>
  </si>
  <si>
    <t>SEJAL GUPTA</t>
  </si>
  <si>
    <t>ayushigarg1108@gmail.com</t>
  </si>
  <si>
    <t>sgupta5_be25</t>
  </si>
  <si>
    <t>1025030928</t>
  </si>
  <si>
    <t>sgupta5_be25@thapar.edu</t>
  </si>
  <si>
    <t>1025030278</t>
  </si>
  <si>
    <t>GURASEES SINGH RANDHAWA</t>
  </si>
  <si>
    <t>1025030951</t>
  </si>
  <si>
    <t>grandhawa_be25</t>
  </si>
  <si>
    <t>grandhawa_be25@thapar.edu</t>
  </si>
  <si>
    <t>1025030254</t>
  </si>
  <si>
    <t>1025030946</t>
  </si>
  <si>
    <t>ISHAN GOYAL</t>
  </si>
  <si>
    <t>igoyal_be25</t>
  </si>
  <si>
    <t>igoyal_be25@thapar.edu</t>
  </si>
  <si>
    <t>1025030357</t>
  </si>
  <si>
    <t>1025030963</t>
  </si>
  <si>
    <t>SAKSHAM GROVER</t>
  </si>
  <si>
    <t>sgrover_be25</t>
  </si>
  <si>
    <t>sgrover_be25@thapar.edu</t>
  </si>
  <si>
    <t>1026030267</t>
  </si>
  <si>
    <t>agarg9_be25@thapar.edu</t>
  </si>
  <si>
    <t>1025030950</t>
  </si>
  <si>
    <t>ABHIVEER GOINDI</t>
  </si>
  <si>
    <t>Arsh Garg</t>
  </si>
  <si>
    <t>agoindi_be25</t>
  </si>
  <si>
    <t>agoindi_be25@thapar.edu</t>
  </si>
  <si>
    <t>1025030263</t>
  </si>
  <si>
    <t>1025170066</t>
  </si>
  <si>
    <t>1025030944</t>
  </si>
  <si>
    <t>gargarsh1234@gmail.com</t>
  </si>
  <si>
    <t>SIMERLEEN KAUR</t>
  </si>
  <si>
    <t>skaur7_be25</t>
  </si>
  <si>
    <t>skaur7_be25@thapar.edu</t>
  </si>
  <si>
    <t>1025030258</t>
  </si>
  <si>
    <t>1025030932</t>
  </si>
  <si>
    <t>YATIN SALUJA</t>
  </si>
  <si>
    <t>ysaluja_be25</t>
  </si>
  <si>
    <t>ysaluja_be25@thapar.edu</t>
  </si>
  <si>
    <t>agauba_be25@thapar.edu</t>
  </si>
  <si>
    <t>1025030259</t>
  </si>
  <si>
    <t>1025030948</t>
  </si>
  <si>
    <t>Abhimanyu Gauba</t>
  </si>
  <si>
    <t>1025170309</t>
  </si>
  <si>
    <t>AMISH SACHDEVA</t>
  </si>
  <si>
    <t>asachdeva_be25</t>
  </si>
  <si>
    <t>asachdeva_be25@thapar.edu</t>
  </si>
  <si>
    <t>gaubaabhimanyu@gmail.com</t>
  </si>
  <si>
    <t>1025030261</t>
  </si>
  <si>
    <t>1025030953</t>
  </si>
  <si>
    <t>NIKET KUMAR</t>
  </si>
  <si>
    <t>nkumar_be25</t>
  </si>
  <si>
    <t>nkumar_be25@thapar.edu</t>
  </si>
  <si>
    <t>1025030934</t>
  </si>
  <si>
    <t>1025030262</t>
  </si>
  <si>
    <t>agaur_be25@gmail.com</t>
  </si>
  <si>
    <t>ARNAV SHARMA</t>
  </si>
  <si>
    <t>Agrim Gaur</t>
  </si>
  <si>
    <t>asharma13_be25</t>
  </si>
  <si>
    <t>1025030959</t>
  </si>
  <si>
    <t>asharma13_be25@thapar.edu</t>
  </si>
  <si>
    <t>1025030273</t>
  </si>
  <si>
    <t>1025030894</t>
  </si>
  <si>
    <t>agrimgaur04@gmail.com</t>
  </si>
  <si>
    <t>TANISHKA SINGH</t>
  </si>
  <si>
    <t>1025030937</t>
  </si>
  <si>
    <t>tsingh3_be25</t>
  </si>
  <si>
    <t>tsingh3_be25@thapar.edu</t>
  </si>
  <si>
    <t>1025030270</t>
  </si>
  <si>
    <t>1025030947</t>
  </si>
  <si>
    <t>GARIMA GAUTAM</t>
  </si>
  <si>
    <t>agill_be25@thapar.edu</t>
  </si>
  <si>
    <t>Aneez Gill</t>
  </si>
  <si>
    <t>1025030905</t>
  </si>
  <si>
    <t>aneezgill6@gmail.com</t>
  </si>
  <si>
    <t>ggautam_be25</t>
  </si>
  <si>
    <t>1025030949</t>
  </si>
  <si>
    <t>ggautam_be25@thapar.edu</t>
  </si>
  <si>
    <t>1025030266</t>
  </si>
  <si>
    <t>BHAVJOT SINGH</t>
  </si>
  <si>
    <t>1025030940</t>
  </si>
  <si>
    <t>bsingh6_be25</t>
  </si>
  <si>
    <t>agill1_be25@thapar.edu</t>
  </si>
  <si>
    <t>bsingh6_be25@thapar.edu</t>
  </si>
  <si>
    <t>1025030253</t>
  </si>
  <si>
    <t>Ashmeen kaur gill</t>
  </si>
  <si>
    <t>1025170235</t>
  </si>
  <si>
    <t>1025030936</t>
  </si>
  <si>
    <t>VIDHITA</t>
  </si>
  <si>
    <t>vvidhita_be25</t>
  </si>
  <si>
    <t>vvidhita_be25@thapar.edu</t>
  </si>
  <si>
    <t>1025030282</t>
  </si>
  <si>
    <t>1025030935</t>
  </si>
  <si>
    <t>VIPUL JINDAL</t>
  </si>
  <si>
    <t>vjindal_be25</t>
  </si>
  <si>
    <t>vjindal_be25@thapar.edu</t>
  </si>
  <si>
    <t>agirdhar_be25@thapar.edu</t>
  </si>
  <si>
    <t>1025030284</t>
  </si>
  <si>
    <t>1025030938</t>
  </si>
  <si>
    <t>Aakashdeep Girdhar</t>
  </si>
  <si>
    <t>1025230002</t>
  </si>
  <si>
    <t>ARPAN SHARMA</t>
  </si>
  <si>
    <t>asharma14_be25</t>
  </si>
  <si>
    <t>girdharaakash16@gmail.com</t>
  </si>
  <si>
    <t>asharma14_be25@thapar.edu</t>
  </si>
  <si>
    <t>1025030286</t>
  </si>
  <si>
    <t>1025030945</t>
  </si>
  <si>
    <t>AGAAZ AGGARWAL</t>
  </si>
  <si>
    <t>aaggarwal1_be2</t>
  </si>
  <si>
    <t>1025030960</t>
  </si>
  <si>
    <t>agoel2_be25@thapar.edu</t>
  </si>
  <si>
    <t>Ansh Goel</t>
  </si>
  <si>
    <t>MOULI SETHI</t>
  </si>
  <si>
    <t>1025030581</t>
  </si>
  <si>
    <t>msethi1_be25</t>
  </si>
  <si>
    <t>1025030640</t>
  </si>
  <si>
    <t>msethi1_be25@thapar.edu</t>
  </si>
  <si>
    <t>1025040298</t>
  </si>
  <si>
    <t>anshgoel238@gmail.com</t>
  </si>
  <si>
    <t>1025030942</t>
  </si>
  <si>
    <t>VAIBHAV KATARIA</t>
  </si>
  <si>
    <t>vkataria_be25</t>
  </si>
  <si>
    <t>vkataria_be25@thapar.edu</t>
  </si>
  <si>
    <t>1025030307</t>
  </si>
  <si>
    <t>1025030957</t>
  </si>
  <si>
    <t>agoenka_be25@thapar.edu</t>
  </si>
  <si>
    <t>NISHAD GARG</t>
  </si>
  <si>
    <t>ngarg_be25</t>
  </si>
  <si>
    <t>Akshay Goenka</t>
  </si>
  <si>
    <t>ngarg_be25@thapar.edu</t>
  </si>
  <si>
    <t>1025030306</t>
  </si>
  <si>
    <t>1025030969</t>
  </si>
  <si>
    <t>1025030939</t>
  </si>
  <si>
    <t>akshaygo848@gmail.com</t>
  </si>
  <si>
    <t>AMITOJ SINGH MANN</t>
  </si>
  <si>
    <t>amann_be25</t>
  </si>
  <si>
    <t>amann_be25@thapar.edu</t>
  </si>
  <si>
    <t>1025030289</t>
  </si>
  <si>
    <t>1025030955</t>
  </si>
  <si>
    <t>JOGENDER</t>
  </si>
  <si>
    <t>jjogender_be25</t>
  </si>
  <si>
    <t>jjogender_be25@thapar.edu</t>
  </si>
  <si>
    <t>1025030280</t>
  </si>
  <si>
    <t>1025030958</t>
  </si>
  <si>
    <t>SHASHWAT SINGH</t>
  </si>
  <si>
    <t>ssingh30_be25</t>
  </si>
  <si>
    <t>Abhiveer Goindi</t>
  </si>
  <si>
    <t>ssingh30_be25@thapar.edu</t>
  </si>
  <si>
    <t>1025030300</t>
  </si>
  <si>
    <t>1025030985</t>
  </si>
  <si>
    <t>YASH MANGLA</t>
  </si>
  <si>
    <t>ymangla_be25</t>
  </si>
  <si>
    <t>ymangla_be25@thapar.edu</t>
  </si>
  <si>
    <t>abhiveergoindi1@gmail.com</t>
  </si>
  <si>
    <t>1025030297</t>
  </si>
  <si>
    <t>1025030977</t>
  </si>
  <si>
    <t>JAPMANJOT</t>
  </si>
  <si>
    <t>jjapmanjot_be2</t>
  </si>
  <si>
    <t>jjapmanjot_be25@thapar.edu</t>
  </si>
  <si>
    <t>1025030301</t>
  </si>
  <si>
    <t>VANSHIKA SEHJI</t>
  </si>
  <si>
    <t>1025030982</t>
  </si>
  <si>
    <t>vsehji_be25</t>
  </si>
  <si>
    <t>vsehji_be25@thapar.edu</t>
  </si>
  <si>
    <t>1025030299</t>
  </si>
  <si>
    <t>agoria_be25@thapar.edu</t>
  </si>
  <si>
    <t>TANISHK GUPTA</t>
  </si>
  <si>
    <t>tgupta5_be25</t>
  </si>
  <si>
    <t>tgupta5_be25@thapar.edu</t>
  </si>
  <si>
    <t>1025030304</t>
  </si>
  <si>
    <t>Akshit Goria</t>
  </si>
  <si>
    <t>1025030952</t>
  </si>
  <si>
    <t>PRANVI SHARMA</t>
  </si>
  <si>
    <t>psharma17_be25</t>
  </si>
  <si>
    <t>psharma17_be25@thapar.edu</t>
  </si>
  <si>
    <t>1025030279</t>
  </si>
  <si>
    <t>goriaakshit@gmail.com</t>
  </si>
  <si>
    <t>1025030973</t>
  </si>
  <si>
    <t>2UNSW</t>
  </si>
  <si>
    <t>JASLEEN KAUR</t>
  </si>
  <si>
    <t>jkaur4_be25</t>
  </si>
  <si>
    <t>jkaur4_be25@thapar.edu</t>
  </si>
  <si>
    <t>1025030290</t>
  </si>
  <si>
    <t>1025030968</t>
  </si>
  <si>
    <t>KHUSHKARAN</t>
  </si>
  <si>
    <t>kkumar_be25</t>
  </si>
  <si>
    <t>kkumar_be25@thapar.edu</t>
  </si>
  <si>
    <t>1025030281</t>
  </si>
  <si>
    <t>Agoyal_be25@thapar.edu</t>
  </si>
  <si>
    <t>MAYANK</t>
  </si>
  <si>
    <t>1025030981</t>
  </si>
  <si>
    <t>Aditya Goyal</t>
  </si>
  <si>
    <t>mbukna_be25</t>
  </si>
  <si>
    <t>mbukna_be25@thapar.edu</t>
  </si>
  <si>
    <t>1025030294</t>
  </si>
  <si>
    <t>1025030569</t>
  </si>
  <si>
    <t>PRATHAM GOYAL</t>
  </si>
  <si>
    <t>adityaarushi2@gmail.com</t>
  </si>
  <si>
    <t>pgoyal8_be25</t>
  </si>
  <si>
    <t>pgoyal8_be25@thapar.edu</t>
  </si>
  <si>
    <t>1025030303</t>
  </si>
  <si>
    <t>1025030956</t>
  </si>
  <si>
    <t>JASHANJEET SINGH</t>
  </si>
  <si>
    <t>jsingh10_be25</t>
  </si>
  <si>
    <t>jsingh10_be25@thapar.edu</t>
  </si>
  <si>
    <t>1025030214</t>
  </si>
  <si>
    <t>1025030976</t>
  </si>
  <si>
    <t>KRITIKA GUPTA</t>
  </si>
  <si>
    <t>kgupta11_be25</t>
  </si>
  <si>
    <t>kgupta11_be25@thapar.edu</t>
  </si>
  <si>
    <t>1025030288</t>
  </si>
  <si>
    <t>1025030983</t>
  </si>
  <si>
    <t>KARANBIR SINGH</t>
  </si>
  <si>
    <t>ksingh22_be25</t>
  </si>
  <si>
    <t>agoyal10_be25@thapar.edu</t>
  </si>
  <si>
    <t>ksingh22_be25@thapar.edu</t>
  </si>
  <si>
    <t>1025030291</t>
  </si>
  <si>
    <t>Abhimanyu Goyal</t>
  </si>
  <si>
    <t>ANKUR</t>
  </si>
  <si>
    <t>aankur_be25</t>
  </si>
  <si>
    <t>mr.goyal231206@gmail.com</t>
  </si>
  <si>
    <t>1025030971</t>
  </si>
  <si>
    <t>HIMANYA GARG</t>
  </si>
  <si>
    <t>hgarg4_be25</t>
  </si>
  <si>
    <t>hgarg4_be25@thapar.edu</t>
  </si>
  <si>
    <t>1025030305</t>
  </si>
  <si>
    <t>GIRISHA</t>
  </si>
  <si>
    <t>1025030965</t>
  </si>
  <si>
    <t>ggirisha_be25</t>
  </si>
  <si>
    <t>ggirisha_be25@thapar.edu</t>
  </si>
  <si>
    <t>1025030283</t>
  </si>
  <si>
    <t>ASHIMA GOYAL</t>
  </si>
  <si>
    <t>agoyal3_be25</t>
  </si>
  <si>
    <t>agoyal3_be25@thapar.edu</t>
  </si>
  <si>
    <t>adityagoyal1507@gmail.com</t>
  </si>
  <si>
    <t>1025030967</t>
  </si>
  <si>
    <t>1025030296</t>
  </si>
  <si>
    <t>SHREYAL SARAF</t>
  </si>
  <si>
    <t>ssaraf_be25</t>
  </si>
  <si>
    <t>ssaraf_be25@thapar.edu</t>
  </si>
  <si>
    <t>1025030302</t>
  </si>
  <si>
    <t>YUVRAJ KALRA</t>
  </si>
  <si>
    <t>ykalra1_be25</t>
  </si>
  <si>
    <t>ykalra1_be25@thapar.edu</t>
  </si>
  <si>
    <t>1025030317</t>
  </si>
  <si>
    <t>agoyal12_be25@thapar.edu</t>
  </si>
  <si>
    <t>CHIRNOOR KAUR</t>
  </si>
  <si>
    <t>ckaur_be25</t>
  </si>
  <si>
    <t>ckaur_be25@thapar.edu</t>
  </si>
  <si>
    <t>Ananya Goyal</t>
  </si>
  <si>
    <t>1025030331</t>
  </si>
  <si>
    <t>1025030964</t>
  </si>
  <si>
    <t>1025030717</t>
  </si>
  <si>
    <t>ABHINAV SHARMA</t>
  </si>
  <si>
    <t>asharma31_be25</t>
  </si>
  <si>
    <t>asharma31_be25@thapar.edu</t>
  </si>
  <si>
    <t>1025030326</t>
  </si>
  <si>
    <t>goyalananya2411@gmail.com</t>
  </si>
  <si>
    <t>PARTH HORA</t>
  </si>
  <si>
    <t>phora_be25</t>
  </si>
  <si>
    <t>1025031077</t>
  </si>
  <si>
    <t>phora_be25@thapar.edu</t>
  </si>
  <si>
    <t>1025030314</t>
  </si>
  <si>
    <t>BHAWANI SINGH RATHORE</t>
  </si>
  <si>
    <t>brathore_be25</t>
  </si>
  <si>
    <t>brathore_be25@thapar.edu</t>
  </si>
  <si>
    <t>agoyal14_be25@thapar.edu</t>
  </si>
  <si>
    <t>1025030319</t>
  </si>
  <si>
    <t>1025030984</t>
  </si>
  <si>
    <t>Aarushi Goyal</t>
  </si>
  <si>
    <t>HAR KAUR</t>
  </si>
  <si>
    <t>hkaur9_be25</t>
  </si>
  <si>
    <t>hkaur9_be25@thapar.edu</t>
  </si>
  <si>
    <t>1025030330</t>
  </si>
  <si>
    <t>1025030869</t>
  </si>
  <si>
    <t>HARSHIT KHATRI</t>
  </si>
  <si>
    <t>goyalaarushi685@gmail.com</t>
  </si>
  <si>
    <t>hkhatri_be25</t>
  </si>
  <si>
    <t>hkhatri_be25@thapar.edu</t>
  </si>
  <si>
    <t>1025031090</t>
  </si>
  <si>
    <t>1025030293</t>
  </si>
  <si>
    <t>GURSHWINDER SINGH BALA</t>
  </si>
  <si>
    <t>gbala_be25</t>
  </si>
  <si>
    <t>gbala_be25@thapar.edu</t>
  </si>
  <si>
    <t>1025030312</t>
  </si>
  <si>
    <t>1025030970</t>
  </si>
  <si>
    <t>PAVNEET KAUR</t>
  </si>
  <si>
    <t>pkaur6_be25</t>
  </si>
  <si>
    <t>pkaur6_be25@thapar.edu</t>
  </si>
  <si>
    <t>1025030310</t>
  </si>
  <si>
    <t>Ashima Goyal</t>
  </si>
  <si>
    <t>1025030986</t>
  </si>
  <si>
    <t>ARSHIYA KANSAL</t>
  </si>
  <si>
    <t>akansal1_be25</t>
  </si>
  <si>
    <t>akansal1_be25@thapar.edu</t>
  </si>
  <si>
    <t>1025030336</t>
  </si>
  <si>
    <t>ashimagoel922@gmail.com</t>
  </si>
  <si>
    <t>JIYA AGGARWAL</t>
  </si>
  <si>
    <t>jaggarwal_be25</t>
  </si>
  <si>
    <t>1025030962</t>
  </si>
  <si>
    <t>jaggarwal_be25@thapar.edu</t>
  </si>
  <si>
    <t>1025030313</t>
  </si>
  <si>
    <t>YASHMEET KAUR</t>
  </si>
  <si>
    <t>ykaur1_be25</t>
  </si>
  <si>
    <t>ykaur1_be25@thapar.edu</t>
  </si>
  <si>
    <t>1025030311</t>
  </si>
  <si>
    <t>1025030728</t>
  </si>
  <si>
    <t>Agoyal4_be25@thapar.edu</t>
  </si>
  <si>
    <t>MAITREYA PRAVIN MORE</t>
  </si>
  <si>
    <t>Ayush Goyal</t>
  </si>
  <si>
    <t>mmore_be25</t>
  </si>
  <si>
    <t>mmore_be25@thapar.edu</t>
  </si>
  <si>
    <t>1025030315</t>
  </si>
  <si>
    <t>1025030987</t>
  </si>
  <si>
    <t>Ayush.goyal0023@gmail.com</t>
  </si>
  <si>
    <t>JAYESH PRATAP</t>
  </si>
  <si>
    <t>jpratap_be25</t>
  </si>
  <si>
    <t>jpratap_be25@thapar.edu</t>
  </si>
  <si>
    <t>1025030327</t>
  </si>
  <si>
    <t>1025030980</t>
  </si>
  <si>
    <t>PALKI CHAWLA</t>
  </si>
  <si>
    <t>pchawla_be25</t>
  </si>
  <si>
    <t>pchawla_be25@thapar.edu</t>
  </si>
  <si>
    <t>1025030933</t>
  </si>
  <si>
    <t>RAVALJOT KAUR</t>
  </si>
  <si>
    <t>rkaur2_be25</t>
  </si>
  <si>
    <t>rkaur2_be25@thapar.edu</t>
  </si>
  <si>
    <t>1025030323</t>
  </si>
  <si>
    <t>Aishwarya Goyal</t>
  </si>
  <si>
    <t>SAKSHAM BAKSHI</t>
  </si>
  <si>
    <t>sbakshi_be25</t>
  </si>
  <si>
    <t>sbakshi_be25@thapar.edu</t>
  </si>
  <si>
    <t>1025031065</t>
  </si>
  <si>
    <t>1025030961</t>
  </si>
  <si>
    <t>aishwaryaaggoyal@gmail.com</t>
  </si>
  <si>
    <t>ARYAN SHARMA</t>
  </si>
  <si>
    <t>asharma33_be25</t>
  </si>
  <si>
    <t>asharma33_be25@thapar.edu</t>
  </si>
  <si>
    <t>1025030328</t>
  </si>
  <si>
    <t>1025030978</t>
  </si>
  <si>
    <t>PRIYA SINGH</t>
  </si>
  <si>
    <t>psingh20_be25</t>
  </si>
  <si>
    <t>psingh20_be25@thapar.edu</t>
  </si>
  <si>
    <t>1025030338</t>
  </si>
  <si>
    <t>agoyal9_be25@thapar.edu</t>
  </si>
  <si>
    <t>AYUSH KATHAIT</t>
  </si>
  <si>
    <t>Aarav Goyal</t>
  </si>
  <si>
    <t>akathait_be25</t>
  </si>
  <si>
    <t>akathait_be25@thapar.edu</t>
  </si>
  <si>
    <t>1025031054</t>
  </si>
  <si>
    <t>1025170318</t>
  </si>
  <si>
    <t>1025030979</t>
  </si>
  <si>
    <t>JANAK KADIAN</t>
  </si>
  <si>
    <t>aaravgoyal2507@gmail.com</t>
  </si>
  <si>
    <t>jkadian_be25</t>
  </si>
  <si>
    <t>jkadian_be25@thapar.edu</t>
  </si>
  <si>
    <t>1025030329</t>
  </si>
  <si>
    <t>1025031066</t>
  </si>
  <si>
    <t>HARSHANDEEP KAUR SIDHU</t>
  </si>
  <si>
    <t>hsidhu1_be25</t>
  </si>
  <si>
    <t>hsidhu1_be25@thapar.edu</t>
  </si>
  <si>
    <t>1025030322</t>
  </si>
  <si>
    <t>agrover1_be25@thapar.edu</t>
  </si>
  <si>
    <t>SHAKSHAM GARG</t>
  </si>
  <si>
    <t>sgarg8_be25</t>
  </si>
  <si>
    <t>sgarg8_be25@thapar.edu</t>
  </si>
  <si>
    <t>1025030308</t>
  </si>
  <si>
    <t>Aditya Grover</t>
  </si>
  <si>
    <t>1025030972</t>
  </si>
  <si>
    <t>AASMI</t>
  </si>
  <si>
    <t>aaasmi_be25</t>
  </si>
  <si>
    <t>1025170427</t>
  </si>
  <si>
    <t>adityagrover0077@gmail.com</t>
  </si>
  <si>
    <t>RAYAN SHAALY</t>
  </si>
  <si>
    <t>rshaaly_be25</t>
  </si>
  <si>
    <t>rshaaly_be25@thapar.edu</t>
  </si>
  <si>
    <t>1025020325</t>
  </si>
  <si>
    <t>1025031010</t>
  </si>
  <si>
    <t>ARSHPREET SRA</t>
  </si>
  <si>
    <t>asra_be25</t>
  </si>
  <si>
    <t>asra_be25@thapar.edu</t>
  </si>
  <si>
    <t>1025030320</t>
  </si>
  <si>
    <t>HIRANSH SAINI</t>
  </si>
  <si>
    <t>agrover2_be25@thapar.edu</t>
  </si>
  <si>
    <t>hsaini_be25</t>
  </si>
  <si>
    <t>hsaini_be25@thapar.edu</t>
  </si>
  <si>
    <t>1025030334</t>
  </si>
  <si>
    <t>1025031093</t>
  </si>
  <si>
    <t>Ayaan Grover</t>
  </si>
  <si>
    <t>TARUN TEKCHANDANI</t>
  </si>
  <si>
    <t>ttekchandani_b</t>
  </si>
  <si>
    <t>ttekchandani_be25@thapar.edu</t>
  </si>
  <si>
    <t>1025031021</t>
  </si>
  <si>
    <t>1025170377</t>
  </si>
  <si>
    <t>Ayaangrover@icloud.com</t>
  </si>
  <si>
    <t>GURLEEN KAUR</t>
  </si>
  <si>
    <t>gkaur1_be25</t>
  </si>
  <si>
    <t>gkaur1_be25@thapar.edu</t>
  </si>
  <si>
    <t>1025030321</t>
  </si>
  <si>
    <t>1025031013</t>
  </si>
  <si>
    <t>RAGHAV GOYAL</t>
  </si>
  <si>
    <t>rgoyal3_be25</t>
  </si>
  <si>
    <t>rgoyal3_be25@thapar.edu</t>
  </si>
  <si>
    <t>1025030355</t>
  </si>
  <si>
    <t>Agupta_be25@thapar.edu</t>
  </si>
  <si>
    <t>AISHANI BANSAL</t>
  </si>
  <si>
    <t>abansal8_be25</t>
  </si>
  <si>
    <t>1025031015</t>
  </si>
  <si>
    <t>Angel Gupta</t>
  </si>
  <si>
    <t>1025030966</t>
  </si>
  <si>
    <t>RAM GUPTA</t>
  </si>
  <si>
    <t>rgupta1_be25</t>
  </si>
  <si>
    <t>rgupta1_be25@thapar.edu</t>
  </si>
  <si>
    <t>1025030356</t>
  </si>
  <si>
    <t>a62105338@gmail.com</t>
  </si>
  <si>
    <t>ABHINAV SINGLA</t>
  </si>
  <si>
    <t>asingla_be25</t>
  </si>
  <si>
    <t>1025030998</t>
  </si>
  <si>
    <t>asingla_be25@thapar.edu</t>
  </si>
  <si>
    <t>1025030362</t>
  </si>
  <si>
    <t>AARUSH GARG</t>
  </si>
  <si>
    <t>agarg12_be25</t>
  </si>
  <si>
    <t>1025030994</t>
  </si>
  <si>
    <t>agupta1_be25@thapar.edu</t>
  </si>
  <si>
    <t>ARMAAN AGGARWAL</t>
  </si>
  <si>
    <t>aaggarwal6_be2</t>
  </si>
  <si>
    <t>Aadi Gupta</t>
  </si>
  <si>
    <t>PRATHAM JINDAL</t>
  </si>
  <si>
    <t>1025170129</t>
  </si>
  <si>
    <t>pjindal1_be25</t>
  </si>
  <si>
    <t>pjindal1_be25@thapar.edu</t>
  </si>
  <si>
    <t>1025031011</t>
  </si>
  <si>
    <t>1025030342</t>
  </si>
  <si>
    <t>aadigupta1712@gmail.com</t>
  </si>
  <si>
    <t>VIPUL KALIA</t>
  </si>
  <si>
    <t>vkalia_be25</t>
  </si>
  <si>
    <t>vkalia_be25@thapar.edu</t>
  </si>
  <si>
    <t>1025030360</t>
  </si>
  <si>
    <t>1025030182</t>
  </si>
  <si>
    <t>KANISHK KUMAR</t>
  </si>
  <si>
    <t>kkumar1_be25</t>
  </si>
  <si>
    <t>kkumar1_be25@thapar.edu</t>
  </si>
  <si>
    <t>1025030346</t>
  </si>
  <si>
    <t>agupta10_be25@thapar.edu</t>
  </si>
  <si>
    <t>GURAANSH RAI DEWETT</t>
  </si>
  <si>
    <t>gdewett_be25</t>
  </si>
  <si>
    <t>gdewett_be25@thapar.edu</t>
  </si>
  <si>
    <t>1025030351</t>
  </si>
  <si>
    <t>1025030993</t>
  </si>
  <si>
    <t>Armaan Gupta</t>
  </si>
  <si>
    <t>KANISHK SABOO</t>
  </si>
  <si>
    <t>ksaboo_be25</t>
  </si>
  <si>
    <t>ksaboo_be25@thapar.edu</t>
  </si>
  <si>
    <t>1025031081</t>
  </si>
  <si>
    <t>1025090050</t>
  </si>
  <si>
    <t>ARNAV</t>
  </si>
  <si>
    <t>1025030997</t>
  </si>
  <si>
    <t>arnavv32</t>
  </si>
  <si>
    <t>agupta24_be25@thapar.edu</t>
  </si>
  <si>
    <t>1025030361</t>
  </si>
  <si>
    <t>NAMAN GOEL</t>
  </si>
  <si>
    <t>ngoel_be25</t>
  </si>
  <si>
    <t>ngoel_be25@thapar.edu</t>
  </si>
  <si>
    <t>1025030345</t>
  </si>
  <si>
    <t>agupta13_be25@thapar.edu</t>
  </si>
  <si>
    <t>JASON STEVE MADAN</t>
  </si>
  <si>
    <t>1025031012</t>
  </si>
  <si>
    <t>jmadan_be25</t>
  </si>
  <si>
    <t>jmadan_be25@thapar.edu</t>
  </si>
  <si>
    <t>1025030340</t>
  </si>
  <si>
    <t>Aryan Gupta</t>
  </si>
  <si>
    <t>DHRUV</t>
  </si>
  <si>
    <t>1025030996</t>
  </si>
  <si>
    <t>ddhruv_be25</t>
  </si>
  <si>
    <t>ddhruv_be25@thapar.edu</t>
  </si>
  <si>
    <t>1025030344</t>
  </si>
  <si>
    <t>aryangupta1608@gmail.com</t>
  </si>
  <si>
    <t>1025031005</t>
  </si>
  <si>
    <t>KUVAM</t>
  </si>
  <si>
    <t>kkuvam_be25</t>
  </si>
  <si>
    <t>kkuvam_be25@thapar.edu</t>
  </si>
  <si>
    <t>1025030347</t>
  </si>
  <si>
    <t>DEVANSH GARG</t>
  </si>
  <si>
    <t>dgarg7_be25</t>
  </si>
  <si>
    <t>dgarg7_be25@thapar.edu</t>
  </si>
  <si>
    <t>1025030874</t>
  </si>
  <si>
    <t>1025030364</t>
  </si>
  <si>
    <t>SAGAR SONI</t>
  </si>
  <si>
    <t>ssoni_be25</t>
  </si>
  <si>
    <t>ssoni_be25@thapar.edu</t>
  </si>
  <si>
    <t>1025030358</t>
  </si>
  <si>
    <t>agupta17_be25@thapar.edu</t>
  </si>
  <si>
    <t>1025030991</t>
  </si>
  <si>
    <t>Akshat Gupta</t>
  </si>
  <si>
    <t>SAKSHAM GAUTAM</t>
  </si>
  <si>
    <t>sgautam_be25</t>
  </si>
  <si>
    <t>sgautam_be25@thapar.edu</t>
  </si>
  <si>
    <t>1025030343</t>
  </si>
  <si>
    <t>1025170217</t>
  </si>
  <si>
    <t>ADRIJA SEN</t>
  </si>
  <si>
    <t>asen_be25</t>
  </si>
  <si>
    <t>asen_be25@thapar.edu</t>
  </si>
  <si>
    <t>1025031006</t>
  </si>
  <si>
    <t>1025030354</t>
  </si>
  <si>
    <t>gakshat387@gmail.com</t>
  </si>
  <si>
    <t>NANDIKA SOI</t>
  </si>
  <si>
    <t>1025030999</t>
  </si>
  <si>
    <t>nsoi_be25</t>
  </si>
  <si>
    <t>nsoi_be25@thapar.edu</t>
  </si>
  <si>
    <t>1025030337</t>
  </si>
  <si>
    <t>AYUSH KUMAR</t>
  </si>
  <si>
    <t>akumar10_be25</t>
  </si>
  <si>
    <t>1025031014</t>
  </si>
  <si>
    <t>akumar10_be25@thapar.edu</t>
  </si>
  <si>
    <t>1025030352</t>
  </si>
  <si>
    <t>VARSHA AGRAWAL</t>
  </si>
  <si>
    <t>vagrawal2_be25</t>
  </si>
  <si>
    <t>vagrawal2_be25@thapar.edu</t>
  </si>
  <si>
    <t>1025030341</t>
  </si>
  <si>
    <t>aasthasubod@gmail.com</t>
  </si>
  <si>
    <t>PRAVIT ROR</t>
  </si>
  <si>
    <t>pror_be25</t>
  </si>
  <si>
    <t>pror_be25@thapar.edu</t>
  </si>
  <si>
    <t>1025030333</t>
  </si>
  <si>
    <t>1025031003</t>
  </si>
  <si>
    <t>AABIR SHARMA</t>
  </si>
  <si>
    <t>asharma32_be25</t>
  </si>
  <si>
    <t>asharma32_be25@thapar.edu</t>
  </si>
  <si>
    <t>1025030367</t>
  </si>
  <si>
    <t>TARANDEEP KAUR RATHORE</t>
  </si>
  <si>
    <t>Arnav gupta</t>
  </si>
  <si>
    <t>trathore_be25</t>
  </si>
  <si>
    <t>1025031008</t>
  </si>
  <si>
    <t>trathore_be25@thapar.edu</t>
  </si>
  <si>
    <t>1025031047</t>
  </si>
  <si>
    <t>Raj Nandini Saini</t>
  </si>
  <si>
    <t>rsaini_be25</t>
  </si>
  <si>
    <t>rsaini_be25@thapar.edu</t>
  </si>
  <si>
    <t>1025030365</t>
  </si>
  <si>
    <t>1025030990</t>
  </si>
  <si>
    <t>SAKSHAM</t>
  </si>
  <si>
    <t>ssaksham1_be25</t>
  </si>
  <si>
    <t>ssaksham1_be25@thapar.edu</t>
  </si>
  <si>
    <t>1025030381</t>
  </si>
  <si>
    <t>1025031001</t>
  </si>
  <si>
    <t>agupta25_be25@thapar.edu</t>
  </si>
  <si>
    <t>SUKHMANPREET KAUR</t>
  </si>
  <si>
    <t>skaur13_be25</t>
  </si>
  <si>
    <t>skaur13_be25@thapar.edu</t>
  </si>
  <si>
    <t>1025030386</t>
  </si>
  <si>
    <t>Arnav Gupta</t>
  </si>
  <si>
    <t>1025030617</t>
  </si>
  <si>
    <t>SACHIN</t>
  </si>
  <si>
    <t>1025030736</t>
  </si>
  <si>
    <t>ssachin_be25</t>
  </si>
  <si>
    <t>arnav.officialmail.in@gmail.com</t>
  </si>
  <si>
    <t>ssachin_be25@thapar.edu</t>
  </si>
  <si>
    <t>1025030377</t>
  </si>
  <si>
    <t>KUNSH TYAGI</t>
  </si>
  <si>
    <t>ktyagi_be25</t>
  </si>
  <si>
    <t>ktyagi_be25@thapar.edu</t>
  </si>
  <si>
    <t>1025030368</t>
  </si>
  <si>
    <t>1025031007</t>
  </si>
  <si>
    <t>SAMRIDHI</t>
  </si>
  <si>
    <t>ssamridhi_be25</t>
  </si>
  <si>
    <t>ssamridhi_be25@thapar.edu</t>
  </si>
  <si>
    <t>1025030378</t>
  </si>
  <si>
    <t>Abhishek Gupta</t>
  </si>
  <si>
    <t>1025031019</t>
  </si>
  <si>
    <t>GURNEER KAUR</t>
  </si>
  <si>
    <t>gurneer_kaur</t>
  </si>
  <si>
    <t>gkaur5_be25@thapar.edu</t>
  </si>
  <si>
    <t>1025030370</t>
  </si>
  <si>
    <t>abhishek.gupta42009@gmail.com</t>
  </si>
  <si>
    <t>SHIVANSH MEHTA</t>
  </si>
  <si>
    <t>smehta_be25</t>
  </si>
  <si>
    <t>1025031033</t>
  </si>
  <si>
    <t>smehta_be25@thapar.edu</t>
  </si>
  <si>
    <t>1025030380</t>
  </si>
  <si>
    <t>ANUSHVI SHARMA</t>
  </si>
  <si>
    <t>asharma11_be25</t>
  </si>
  <si>
    <t>asharma11_be25@thapar.edu</t>
  </si>
  <si>
    <t>1025030372</t>
  </si>
  <si>
    <t>1025031039</t>
  </si>
  <si>
    <t>AAKARSH CHAWLA</t>
  </si>
  <si>
    <t>achawla_be25</t>
  </si>
  <si>
    <t>YASH</t>
  </si>
  <si>
    <t>yyash1_be25</t>
  </si>
  <si>
    <t>yyash1_be25@thapar.edu</t>
  </si>
  <si>
    <t>1025030366</t>
  </si>
  <si>
    <t>1025031059</t>
  </si>
  <si>
    <t>Akshita gupta</t>
  </si>
  <si>
    <t>SARGAMPREET KAUR</t>
  </si>
  <si>
    <t>skaur1_be25</t>
  </si>
  <si>
    <t>skaur1_be25@thapar.edu</t>
  </si>
  <si>
    <t>1025030374</t>
  </si>
  <si>
    <t>akshita272007@gmail.com</t>
  </si>
  <si>
    <t>1025030339</t>
  </si>
  <si>
    <t>PUSHPPREET SINGH</t>
  </si>
  <si>
    <t>pushp_singh</t>
  </si>
  <si>
    <t>psingh5_be25@thapar.edu</t>
  </si>
  <si>
    <t>1025030371</t>
  </si>
  <si>
    <t>1025031016</t>
  </si>
  <si>
    <t>VANSH MANI SINGH</t>
  </si>
  <si>
    <t>Akshit Gupta</t>
  </si>
  <si>
    <t>vsingh7_be25</t>
  </si>
  <si>
    <t>vsingh7_be25@thapar.edu</t>
  </si>
  <si>
    <t>1025030373</t>
  </si>
  <si>
    <t>akshitgupta2303@gmail.com</t>
  </si>
  <si>
    <t>1025031022</t>
  </si>
  <si>
    <t>NAVKIRAN SINGH</t>
  </si>
  <si>
    <t>nsingh5_be25</t>
  </si>
  <si>
    <t>nsingh5_be25@thapar.edu</t>
  </si>
  <si>
    <t>1025030385</t>
  </si>
  <si>
    <t>agupta8_be25@thapar.edu</t>
  </si>
  <si>
    <t>MANAL KAURA</t>
  </si>
  <si>
    <t>mkaura_be25</t>
  </si>
  <si>
    <t>mkaura_be25@thapar.edu</t>
  </si>
  <si>
    <t>1025031035</t>
  </si>
  <si>
    <t>Anay Gupta</t>
  </si>
  <si>
    <t>1025031060</t>
  </si>
  <si>
    <t>1025170200</t>
  </si>
  <si>
    <t>anaysumeet@gmail.com</t>
  </si>
  <si>
    <t>DEV JAIN</t>
  </si>
  <si>
    <t>djain1_be25</t>
  </si>
  <si>
    <t>djain1_be25@thapar.edu</t>
  </si>
  <si>
    <t>2Q22</t>
  </si>
  <si>
    <t>1025030379</t>
  </si>
  <si>
    <t>1025031091</t>
  </si>
  <si>
    <t>ANUSHKAA ANUPAM SINGHAL</t>
  </si>
  <si>
    <t>asinghal2_be25</t>
  </si>
  <si>
    <t>agupta9_be25@thapar.edu</t>
  </si>
  <si>
    <t>asinghal2_be25@thapar.edu</t>
  </si>
  <si>
    <t>1025030384</t>
  </si>
  <si>
    <t>Arsh Gupta</t>
  </si>
  <si>
    <t>1025031032</t>
  </si>
  <si>
    <t>ANAVI</t>
  </si>
  <si>
    <t>argupta355@gmail.com</t>
  </si>
  <si>
    <t>aanavi_be25</t>
  </si>
  <si>
    <t>PARTH DOGRA</t>
  </si>
  <si>
    <t>pdogra_be25</t>
  </si>
  <si>
    <t>pdogra_be25@thapar.edu</t>
  </si>
  <si>
    <t>1025030375</t>
  </si>
  <si>
    <t>KARTIKEY SHARMA</t>
  </si>
  <si>
    <t>ksharma_be25</t>
  </si>
  <si>
    <t>ksharma_be25@thapar.edu</t>
  </si>
  <si>
    <t>1025030382</t>
  </si>
  <si>
    <t>Aguram_be25@thapar.edu</t>
  </si>
  <si>
    <t>1025031040</t>
  </si>
  <si>
    <t>ASEESPREET KAUR</t>
  </si>
  <si>
    <t>akaur1_be25</t>
  </si>
  <si>
    <t>akaur1_be25@thapar.edu</t>
  </si>
  <si>
    <t>Agam singh guram</t>
  </si>
  <si>
    <t>1025030399</t>
  </si>
  <si>
    <t>1025090009</t>
  </si>
  <si>
    <t>ASHMEET SINGH</t>
  </si>
  <si>
    <t>Agamsinghguram@gmail.com</t>
  </si>
  <si>
    <t>asingh31_be25</t>
  </si>
  <si>
    <t>asingh31_be25@thapar.edu</t>
  </si>
  <si>
    <t>1025030163</t>
  </si>
  <si>
    <t>1025031042</t>
  </si>
  <si>
    <t>GARV TOMAR</t>
  </si>
  <si>
    <t>gtomar_be25</t>
  </si>
  <si>
    <t>gtomar_be25@thapar.edu</t>
  </si>
  <si>
    <t>1025030392</t>
  </si>
  <si>
    <t>BHOOMIKA</t>
  </si>
  <si>
    <t>1025031023</t>
  </si>
  <si>
    <t>ajain_be25@thapar.edu</t>
  </si>
  <si>
    <t>bbhoomika_be25</t>
  </si>
  <si>
    <t>bbhoomika_be25@thapar.edu</t>
  </si>
  <si>
    <t>1025030409</t>
  </si>
  <si>
    <t>Aagam Jain</t>
  </si>
  <si>
    <t>1025030757</t>
  </si>
  <si>
    <t>GEETIKA GUPTA</t>
  </si>
  <si>
    <t>ggupta2_be25</t>
  </si>
  <si>
    <t>ggupta2_be25@thapar.edu</t>
  </si>
  <si>
    <t>1025031029</t>
  </si>
  <si>
    <t>aagamjain2052006@gmail.com</t>
  </si>
  <si>
    <t>1025030413</t>
  </si>
  <si>
    <t>SHIVANSH</t>
  </si>
  <si>
    <t>sgarg10_be25</t>
  </si>
  <si>
    <t>sgarg10_be25@thapar.edu</t>
  </si>
  <si>
    <t>1025030407</t>
  </si>
  <si>
    <t>1025031028</t>
  </si>
  <si>
    <t>HARSHIT GARG</t>
  </si>
  <si>
    <t>hgarg_be25</t>
  </si>
  <si>
    <t>hgarg_be25@thapar.edu</t>
  </si>
  <si>
    <t>1025030408</t>
  </si>
  <si>
    <t>1025031025</t>
  </si>
  <si>
    <t>Aditya Jain</t>
  </si>
  <si>
    <t>GURSHAN SINGH SHERGILL</t>
  </si>
  <si>
    <t>gshergill_be25</t>
  </si>
  <si>
    <t>gshergill_be25@thapar.edu</t>
  </si>
  <si>
    <t>1025030395</t>
  </si>
  <si>
    <t>jain71416@gmail.com</t>
  </si>
  <si>
    <t>1025031041</t>
  </si>
  <si>
    <t>RAGHAV</t>
  </si>
  <si>
    <t>rraghav1_be25</t>
  </si>
  <si>
    <t>rraghav1_be25@thapar.edu</t>
  </si>
  <si>
    <t>1025030415</t>
  </si>
  <si>
    <t>1025031036</t>
  </si>
  <si>
    <t>ADDHYAN CHAWLA</t>
  </si>
  <si>
    <t>achawla3_be25</t>
  </si>
  <si>
    <t>ajain13_be25@thapar.edu</t>
  </si>
  <si>
    <t>1025031020</t>
  </si>
  <si>
    <t>Aaditya Jain</t>
  </si>
  <si>
    <t>KHWAISH KAUR SOOD</t>
  </si>
  <si>
    <t>ksood_be25</t>
  </si>
  <si>
    <t>ksood_be25@thapar.edu</t>
  </si>
  <si>
    <t>1025170168</t>
  </si>
  <si>
    <t>1025030402</t>
  </si>
  <si>
    <t>Heyitsaadityajain@gmail.com</t>
  </si>
  <si>
    <t>SHIVAM GUPTA</t>
  </si>
  <si>
    <t>sgupta15_be25</t>
  </si>
  <si>
    <t>sgupta15_be25@thapar.edu</t>
  </si>
  <si>
    <t>1025030396</t>
  </si>
  <si>
    <t>1025031031</t>
  </si>
  <si>
    <t>ajain18_be25@thapar.edu</t>
  </si>
  <si>
    <t>1025031024</t>
  </si>
  <si>
    <t>KANISHQ VINAIK</t>
  </si>
  <si>
    <t>kvinaik_be25</t>
  </si>
  <si>
    <t>kvinaik_be25@thapar.edu</t>
  </si>
  <si>
    <t>1025030394</t>
  </si>
  <si>
    <t>1025170470</t>
  </si>
  <si>
    <t>1025031026</t>
  </si>
  <si>
    <t>adityajain.code@gmail.com</t>
  </si>
  <si>
    <t>SUKRISH</t>
  </si>
  <si>
    <t>ssukrish_be25</t>
  </si>
  <si>
    <t>1025031037</t>
  </si>
  <si>
    <t>ssukrish_be25@thapar.edu</t>
  </si>
  <si>
    <t>1025031018</t>
  </si>
  <si>
    <t>1025030411</t>
  </si>
  <si>
    <t>1025031095</t>
  </si>
  <si>
    <t>ajain3_be25@thapar.edu</t>
  </si>
  <si>
    <t>YAJAS LAKHANPAL</t>
  </si>
  <si>
    <t>Agrim Jain</t>
  </si>
  <si>
    <t>1025031030</t>
  </si>
  <si>
    <t>ylakhanpal_be2</t>
  </si>
  <si>
    <t>ylakhanpal_be25@thapar.edu</t>
  </si>
  <si>
    <t>1025030406</t>
  </si>
  <si>
    <t>1025170231</t>
  </si>
  <si>
    <t>agrim2203@gmail.com</t>
  </si>
  <si>
    <t>1025031017</t>
  </si>
  <si>
    <t>TANMAY SARAF</t>
  </si>
  <si>
    <t>tsaraf_be25</t>
  </si>
  <si>
    <t>tsaraf_be25@thapar.edu</t>
  </si>
  <si>
    <t>1025030391</t>
  </si>
  <si>
    <t>UJJWALDEEP KAUR</t>
  </si>
  <si>
    <t>ajain4_be25@thapar.edu</t>
  </si>
  <si>
    <t>ukaur_be25</t>
  </si>
  <si>
    <t>ukaur_be25@thapar.edu</t>
  </si>
  <si>
    <t>1025030401</t>
  </si>
  <si>
    <t>Avishi Jain</t>
  </si>
  <si>
    <t>1025230058</t>
  </si>
  <si>
    <t>ANHAR SINGH</t>
  </si>
  <si>
    <t>asingh46_be25</t>
  </si>
  <si>
    <t>asingh46_be25@thapar.edu</t>
  </si>
  <si>
    <t>1025030398</t>
  </si>
  <si>
    <t>HITESH KUMAR</t>
  </si>
  <si>
    <t>hkumar3_be25</t>
  </si>
  <si>
    <t>hkumar3_be25@thapar.edu</t>
  </si>
  <si>
    <t>1025030389</t>
  </si>
  <si>
    <t>ajain5_be25@thapar.edu</t>
  </si>
  <si>
    <t>Arham Jain</t>
  </si>
  <si>
    <t>TANVEER JOT KAUR</t>
  </si>
  <si>
    <t>tkaur_be25</t>
  </si>
  <si>
    <t>tkaur_be25@thapar.edu</t>
  </si>
  <si>
    <t>1025030400</t>
  </si>
  <si>
    <t>1025230084</t>
  </si>
  <si>
    <t>arhamjain31@gmail.co.</t>
  </si>
  <si>
    <t>RAJVANSH</t>
  </si>
  <si>
    <t>rrajvansh_be25</t>
  </si>
  <si>
    <t>rrajvansh_be25@thapar.edu</t>
  </si>
  <si>
    <t>1025030405</t>
  </si>
  <si>
    <t>2W15</t>
  </si>
  <si>
    <t>HIMANK BANSAL</t>
  </si>
  <si>
    <t>hbansal_be25</t>
  </si>
  <si>
    <t>hbansal_be25@thapar.edu</t>
  </si>
  <si>
    <t>1025030410</t>
  </si>
  <si>
    <t>Ajakhar_be25@thapar.edu</t>
  </si>
  <si>
    <t>RISHIT JHORAR</t>
  </si>
  <si>
    <t>rjhorar_be25</t>
  </si>
  <si>
    <t>rjhorar_be25@thapar.edu</t>
  </si>
  <si>
    <t>Ayush Jakhar</t>
  </si>
  <si>
    <t>1025030414</t>
  </si>
  <si>
    <t>1025160015</t>
  </si>
  <si>
    <t>ARAINA MULTANI</t>
  </si>
  <si>
    <t>amultani_be25</t>
  </si>
  <si>
    <t>Ayush317.jakhar@gmail.com</t>
  </si>
  <si>
    <t>amultani_be25@thapar.edu</t>
  </si>
  <si>
    <t>1025030390</t>
  </si>
  <si>
    <t>ANURAAG MARYA</t>
  </si>
  <si>
    <t>amarya_be25</t>
  </si>
  <si>
    <t>amarya_be25@thapar.edu</t>
  </si>
  <si>
    <t>1025030404</t>
  </si>
  <si>
    <t>ajha1_be25@thapar.edu</t>
  </si>
  <si>
    <t>lucifer0710</t>
  </si>
  <si>
    <t>ksingla3_be25@thapar.edu</t>
  </si>
  <si>
    <t>Archit Jha</t>
  </si>
  <si>
    <t>1025030393</t>
  </si>
  <si>
    <t>1025030613</t>
  </si>
  <si>
    <t>agarg11_be25</t>
  </si>
  <si>
    <t>architjha4356.aj@gmail.com</t>
  </si>
  <si>
    <t>JANISHA GOYAL</t>
  </si>
  <si>
    <t>jgoyal1_be25</t>
  </si>
  <si>
    <t>jgoyal1_be25@thapar.edu</t>
  </si>
  <si>
    <t>1025030435</t>
  </si>
  <si>
    <t>RAGHAV GOUR</t>
  </si>
  <si>
    <t>rgour_be25</t>
  </si>
  <si>
    <t>rgour_be25@thapar.edu</t>
  </si>
  <si>
    <t>1025030422</t>
  </si>
  <si>
    <t>Ansh Jindal</t>
  </si>
  <si>
    <t>SHUBHAM ARORA</t>
  </si>
  <si>
    <t>sarora1_be25</t>
  </si>
  <si>
    <t>sarora1_be25@thapar.edu</t>
  </si>
  <si>
    <t>1025030434</t>
  </si>
  <si>
    <t>pgxlaptop@gmail.com</t>
  </si>
  <si>
    <t>ARSHIYA SINGLA</t>
  </si>
  <si>
    <t>asingla8_be25</t>
  </si>
  <si>
    <t>asingla8_be25@thapar.edu</t>
  </si>
  <si>
    <t>1025030423</t>
  </si>
  <si>
    <t>RAJPREET GHOSHAL</t>
  </si>
  <si>
    <t>rghoshal_be25</t>
  </si>
  <si>
    <t>rghoshal_be25@thapar.edu</t>
  </si>
  <si>
    <t>1025030442</t>
  </si>
  <si>
    <t>Akshit Jindal</t>
  </si>
  <si>
    <t>IPSA GUPTA</t>
  </si>
  <si>
    <t>igupta_be25</t>
  </si>
  <si>
    <t>igupta_be25@thapar.edu</t>
  </si>
  <si>
    <t>1025030443</t>
  </si>
  <si>
    <t>akshitjindal20060911@gmail.com</t>
  </si>
  <si>
    <t>ARYAN MALIK</t>
  </si>
  <si>
    <t>amalik2_be25</t>
  </si>
  <si>
    <t>amalik2_be25@thapar.edu</t>
  </si>
  <si>
    <t>1025030419</t>
  </si>
  <si>
    <t>VAANYA SHARMA</t>
  </si>
  <si>
    <t>vsharma2_be25</t>
  </si>
  <si>
    <t>vsharma2_be25@thapar.edu</t>
  </si>
  <si>
    <t>1025030420</t>
  </si>
  <si>
    <t>ajindal3_be25@thapar.edu</t>
  </si>
  <si>
    <t>LAKSHYA SEHGAL</t>
  </si>
  <si>
    <t>lsehgal_be25</t>
  </si>
  <si>
    <t>Ananya Jindal</t>
  </si>
  <si>
    <t>lsehgal_be25@thapar.edu</t>
  </si>
  <si>
    <t>1025030437</t>
  </si>
  <si>
    <t>1025030449</t>
  </si>
  <si>
    <t>ADITYA BANSAL</t>
  </si>
  <si>
    <t>jindalananya.10@gmail.com</t>
  </si>
  <si>
    <t>abansal12_be25</t>
  </si>
  <si>
    <t>SATVIK MITTAL</t>
  </si>
  <si>
    <t>smittal1_be25</t>
  </si>
  <si>
    <t>smittal1_be25@thapar.edu</t>
  </si>
  <si>
    <t>1025030430</t>
  </si>
  <si>
    <t>ajindal4_be25@thapar.edu</t>
  </si>
  <si>
    <t>AKSHATH BAWEJA</t>
  </si>
  <si>
    <t>Abhishek Jindal</t>
  </si>
  <si>
    <t>abaweja1_be25</t>
  </si>
  <si>
    <t>1025030668</t>
  </si>
  <si>
    <t>abhishekjindalaj93@gmail.com</t>
  </si>
  <si>
    <t>VASU GUPTA</t>
  </si>
  <si>
    <t>vgupta10_be25</t>
  </si>
  <si>
    <t>vgupta10_be25@thapar.edu</t>
  </si>
  <si>
    <t>1025030418</t>
  </si>
  <si>
    <t>GAUTAM GOYAL</t>
  </si>
  <si>
    <t>ggoyal1_be25</t>
  </si>
  <si>
    <t>ggoyal1_be25@thapar.edu</t>
  </si>
  <si>
    <t>akaler_be25@thapar.edu</t>
  </si>
  <si>
    <t>1025031083</t>
  </si>
  <si>
    <t>Armanbir Singh Kaler</t>
  </si>
  <si>
    <t>ANSHI</t>
  </si>
  <si>
    <t>1025230049</t>
  </si>
  <si>
    <t>aanshi_be25</t>
  </si>
  <si>
    <t>Armanbirkaler@gmail.com</t>
  </si>
  <si>
    <t>SARANSH SONI</t>
  </si>
  <si>
    <t>ssoni1_be25</t>
  </si>
  <si>
    <t>ssoni1_be25@thapar.edu</t>
  </si>
  <si>
    <t>1025030427</t>
  </si>
  <si>
    <t>AYUSHI GARG</t>
  </si>
  <si>
    <t>agarg7_be25</t>
  </si>
  <si>
    <t>akalia_be25@thapar.edu</t>
  </si>
  <si>
    <t>Archit Kalia</t>
  </si>
  <si>
    <t>NAINA SHARMA</t>
  </si>
  <si>
    <t>nsharma2_be25</t>
  </si>
  <si>
    <t>nsharma2_be25@thapar.edu</t>
  </si>
  <si>
    <t>1025230006</t>
  </si>
  <si>
    <t>1025030425</t>
  </si>
  <si>
    <t>architkalia134@gmail.com</t>
  </si>
  <si>
    <t>KHUSHI GANDHI</t>
  </si>
  <si>
    <t>kgandhi_be25</t>
  </si>
  <si>
    <t>kgandhi_be25@thapar.edu</t>
  </si>
  <si>
    <t>1025030439</t>
  </si>
  <si>
    <t>TURVI GUPTA</t>
  </si>
  <si>
    <t>tgupta3_be25</t>
  </si>
  <si>
    <t>tgupta3_be25@thapar.edu</t>
  </si>
  <si>
    <t>1025030433</t>
  </si>
  <si>
    <t>akamboj_be25@thapar.edu</t>
  </si>
  <si>
    <t>ASHMITA BHATIA</t>
  </si>
  <si>
    <t>abhatia3_be25</t>
  </si>
  <si>
    <t>Abhay Partap Kamboj</t>
  </si>
  <si>
    <t>NAIZA JAIN</t>
  </si>
  <si>
    <t>njain1_be25</t>
  </si>
  <si>
    <t>njain1_be25@thapar.edu</t>
  </si>
  <si>
    <t>1025030426</t>
  </si>
  <si>
    <t>ANIKET VATS</t>
  </si>
  <si>
    <t>avats_be25</t>
  </si>
  <si>
    <t>avats_be25@thapar.edu</t>
  </si>
  <si>
    <t>1025030421</t>
  </si>
  <si>
    <t>BHAVNEET INDER SINGH</t>
  </si>
  <si>
    <t>bsingh7_be25</t>
  </si>
  <si>
    <t>bsingh7_be25@thapar.edu</t>
  </si>
  <si>
    <t>1025030465</t>
  </si>
  <si>
    <t>Arshiya Kansal</t>
  </si>
  <si>
    <t>ANANYA JINDAL</t>
  </si>
  <si>
    <t>kansalarshiya@gmail.com</t>
  </si>
  <si>
    <t>ajindal3_be25</t>
  </si>
  <si>
    <t>TEJAS BAL</t>
  </si>
  <si>
    <t>tbal_be25</t>
  </si>
  <si>
    <t>tbal_be25@thapar.edu</t>
  </si>
  <si>
    <t>1025030463</t>
  </si>
  <si>
    <t>akansal3_be25@thapar.edu</t>
  </si>
  <si>
    <t>ANSHVEER SINGH</t>
  </si>
  <si>
    <t>asingh25_be25</t>
  </si>
  <si>
    <t>asingh25_be25@thapar.edu</t>
  </si>
  <si>
    <t>1025030461</t>
  </si>
  <si>
    <t>Ananya Kansal</t>
  </si>
  <si>
    <t>1025030885</t>
  </si>
  <si>
    <t>ARSHIA</t>
  </si>
  <si>
    <t>aarshia_be25</t>
  </si>
  <si>
    <t>ananyakansal0402@gmail.com</t>
  </si>
  <si>
    <t>UDIT CHUGH</t>
  </si>
  <si>
    <t>uchugh_be25</t>
  </si>
  <si>
    <t>uchugh_be25@thapar.edu</t>
  </si>
  <si>
    <t>1025030467</t>
  </si>
  <si>
    <t>SEJAL BAHRI</t>
  </si>
  <si>
    <t>sbahri_be25</t>
  </si>
  <si>
    <t>Akapil_be25@thapar.edu</t>
  </si>
  <si>
    <t>sbahri_be25@thapar.edu</t>
  </si>
  <si>
    <t>1025030459</t>
  </si>
  <si>
    <t>Akshay Kapil</t>
  </si>
  <si>
    <t>REHMAT KAUR MANN</t>
  </si>
  <si>
    <t>rmann_be25</t>
  </si>
  <si>
    <t>rmann_be25@thapar.edu</t>
  </si>
  <si>
    <t>1025030466</t>
  </si>
  <si>
    <t>Akshay01491@gmail.com</t>
  </si>
  <si>
    <t>MANYA</t>
  </si>
  <si>
    <t>mmanya_be25</t>
  </si>
  <si>
    <t>mmanya_be25@thapar.edu</t>
  </si>
  <si>
    <t>1025030445</t>
  </si>
  <si>
    <t>akapoor_be25@thapar.edu</t>
  </si>
  <si>
    <t>VAISHNAVI</t>
  </si>
  <si>
    <t>vvaishnavi_be2</t>
  </si>
  <si>
    <t>Ashim Kapoor</t>
  </si>
  <si>
    <t>vvaishnavi_be25@thapar.edu</t>
  </si>
  <si>
    <t>1025030451</t>
  </si>
  <si>
    <t>1025031053</t>
  </si>
  <si>
    <t>NACHIKET DHIMAN</t>
  </si>
  <si>
    <t>ndhiman_be25</t>
  </si>
  <si>
    <t>ndhiman_be25@thapar.edu</t>
  </si>
  <si>
    <t>ashim171009@gmail.com</t>
  </si>
  <si>
    <t>1025030471</t>
  </si>
  <si>
    <t>HARSHMAN KAUR</t>
  </si>
  <si>
    <t>hkaur10_be25</t>
  </si>
  <si>
    <t>hkaur10_be25@thapar.edu</t>
  </si>
  <si>
    <t>1025030469</t>
  </si>
  <si>
    <t>KRISH MITTAL</t>
  </si>
  <si>
    <t>kmittal2_be25</t>
  </si>
  <si>
    <t>kmittal2_be25@thapar.edu</t>
  </si>
  <si>
    <t>1025030450</t>
  </si>
  <si>
    <t>Ayush Kathait</t>
  </si>
  <si>
    <t>SHREYANSH BAJPAI</t>
  </si>
  <si>
    <t>sbajpai_be25</t>
  </si>
  <si>
    <t>sbajpai_be25@thapar.edu</t>
  </si>
  <si>
    <t>1025030457</t>
  </si>
  <si>
    <t>ayushkathait6@gmail.com</t>
  </si>
  <si>
    <t>JIVESH KUMAR</t>
  </si>
  <si>
    <t>jkumar_be25</t>
  </si>
  <si>
    <t>jkumar_be25@thapar.edu</t>
  </si>
  <si>
    <t>1025030452</t>
  </si>
  <si>
    <t>RAGHUNANDAN</t>
  </si>
  <si>
    <t>rraghunandan_b</t>
  </si>
  <si>
    <t>rraghunandan_be25@thapar.edu</t>
  </si>
  <si>
    <t>1025030464</t>
  </si>
  <si>
    <t>akathuria1_be25@thapar.edu</t>
  </si>
  <si>
    <t>SIDDHARTH BALIYAN</t>
  </si>
  <si>
    <t>Anandini Kathuria</t>
  </si>
  <si>
    <t>sbaliyan_be25</t>
  </si>
  <si>
    <t>sbaliyan_be25@thapar.edu</t>
  </si>
  <si>
    <t>1025030470</t>
  </si>
  <si>
    <t>1025030537</t>
  </si>
  <si>
    <t>NISHCHAY SAREEN</t>
  </si>
  <si>
    <t>kathuriaanandini1@gmail.com</t>
  </si>
  <si>
    <t>nsareen1_be25</t>
  </si>
  <si>
    <t>nsareen1_be25@thapar.edu</t>
  </si>
  <si>
    <t>1025030453</t>
  </si>
  <si>
    <t>JINISHA JINDAL</t>
  </si>
  <si>
    <t>jjindal_be25</t>
  </si>
  <si>
    <t>jjindal_be25@thapar.edu</t>
  </si>
  <si>
    <t>1025030448</t>
  </si>
  <si>
    <t>akaundal_be25@thapar.edu</t>
  </si>
  <si>
    <t>BHVYA THAPPA</t>
  </si>
  <si>
    <t>bthappa_be25</t>
  </si>
  <si>
    <t>bthappa_be25@thapar.edu</t>
  </si>
  <si>
    <t>1025030462</t>
  </si>
  <si>
    <t>Ankush Kaundal</t>
  </si>
  <si>
    <t>1025170176</t>
  </si>
  <si>
    <t>MANDEEP KAUR</t>
  </si>
  <si>
    <t>mkaur6_be25</t>
  </si>
  <si>
    <t>mkaur6_be25@thapar.edu</t>
  </si>
  <si>
    <t>ankushkaundal2007@gmail.com</t>
  </si>
  <si>
    <t>1025030468</t>
  </si>
  <si>
    <t>DITYA JINDAL</t>
  </si>
  <si>
    <t>djindal1_be25</t>
  </si>
  <si>
    <t>djindal1_be25@thapar.edu</t>
  </si>
  <si>
    <t>1025030447</t>
  </si>
  <si>
    <t>Aseespreet Kaur</t>
  </si>
  <si>
    <t>Krishiv Gupta</t>
  </si>
  <si>
    <t>kgupta_be25</t>
  </si>
  <si>
    <t>kgupta_be25@thapar.edu</t>
  </si>
  <si>
    <t>1025030444</t>
  </si>
  <si>
    <t>aseespreet1602@gmail.com</t>
  </si>
  <si>
    <t>AKSHAT RAI</t>
  </si>
  <si>
    <t>arai_be25</t>
  </si>
  <si>
    <t>arai_be25@thapar.edu</t>
  </si>
  <si>
    <t>1025030454</t>
  </si>
  <si>
    <t>HARSH ANAND</t>
  </si>
  <si>
    <t>hanand_be25</t>
  </si>
  <si>
    <t>hanand_be25@thapar.edu</t>
  </si>
  <si>
    <t>1025030460</t>
  </si>
  <si>
    <t>Arshpreet kaur</t>
  </si>
  <si>
    <t>VASU KAPILA</t>
  </si>
  <si>
    <t>vkapila_be25</t>
  </si>
  <si>
    <t>vkapila_be25@thapar.edu</t>
  </si>
  <si>
    <t>1025030489</t>
  </si>
  <si>
    <t>DIVYANSH BAJPAI</t>
  </si>
  <si>
    <t>dbajpai_be25</t>
  </si>
  <si>
    <t>dbajpai_be25@thapar.edu</t>
  </si>
  <si>
    <t>1025030483</t>
  </si>
  <si>
    <t>PUSHKAR JAIN</t>
  </si>
  <si>
    <t>pjain3_be25</t>
  </si>
  <si>
    <t>pjain3_be25@thapar.edu</t>
  </si>
  <si>
    <t>akaur4_be25@thapar.edu</t>
  </si>
  <si>
    <t>1025030487</t>
  </si>
  <si>
    <t>Anshdeep Kaur</t>
  </si>
  <si>
    <t>TANISH SHARDA</t>
  </si>
  <si>
    <t>tsharda_be25</t>
  </si>
  <si>
    <t>tsharda_be25@thapar.edu</t>
  </si>
  <si>
    <t>1025030491</t>
  </si>
  <si>
    <t>1025170279</t>
  </si>
  <si>
    <t>JAINIL AGARWAL</t>
  </si>
  <si>
    <t>jagarwal_be25</t>
  </si>
  <si>
    <t>jagarwal_be25@thapar.edu</t>
  </si>
  <si>
    <t>1025030496</t>
  </si>
  <si>
    <t>sidhuansh882@gmail.com</t>
  </si>
  <si>
    <t>LAVANYA GOYAL</t>
  </si>
  <si>
    <t>lgoyal_be25</t>
  </si>
  <si>
    <t>lgoyal_be25@thapar.edu</t>
  </si>
  <si>
    <t>1025030479</t>
  </si>
  <si>
    <t>AKKSHITA DUTTA</t>
  </si>
  <si>
    <t>adutta_be25</t>
  </si>
  <si>
    <t>akaura_be25@thapar.edu</t>
  </si>
  <si>
    <t>ANGEL</t>
  </si>
  <si>
    <t>asingla5_be25</t>
  </si>
  <si>
    <t>asingla5_be25@thapar.edu</t>
  </si>
  <si>
    <t>Amitesh Kaura</t>
  </si>
  <si>
    <t>1025030482</t>
  </si>
  <si>
    <t>1025170153</t>
  </si>
  <si>
    <t>AARUSHI</t>
  </si>
  <si>
    <t>aaarushi_be25</t>
  </si>
  <si>
    <t>amiteshkaura@gmail.com</t>
  </si>
  <si>
    <t>HARSHITA SHARMA</t>
  </si>
  <si>
    <t>hsharma2_be25</t>
  </si>
  <si>
    <t>hsharma2_be25@thapar.edu</t>
  </si>
  <si>
    <t>1025030478</t>
  </si>
  <si>
    <t>NIMISHA</t>
  </si>
  <si>
    <t>nnimisha_be25</t>
  </si>
  <si>
    <t>akhan1_be25@thapar.edu</t>
  </si>
  <si>
    <t>nnimisha_be25@thapar.edu</t>
  </si>
  <si>
    <t>1025030473</t>
  </si>
  <si>
    <t>Ajwad Ahmad Khan</t>
  </si>
  <si>
    <t>KAVYA BANSAL</t>
  </si>
  <si>
    <t>1025031113</t>
  </si>
  <si>
    <t>kbansal1_be25</t>
  </si>
  <si>
    <t>ajwadhkhan@gmail.com</t>
  </si>
  <si>
    <t>kbansal1_be25@thapar.edu</t>
  </si>
  <si>
    <t>1025030497</t>
  </si>
  <si>
    <t>rgoyal2_be25</t>
  </si>
  <si>
    <t>rgoyal2_be25@thapar.edu</t>
  </si>
  <si>
    <t>1025030486</t>
  </si>
  <si>
    <t>akhandelwal_be25@thapar.edu</t>
  </si>
  <si>
    <t>Akarsh Khandelwal</t>
  </si>
  <si>
    <t>PARAM NARAYAN MEHROTRA</t>
  </si>
  <si>
    <t>1025030795</t>
  </si>
  <si>
    <t>pmehrotra_be25</t>
  </si>
  <si>
    <t>pmehrotra_be25@thapar.edu</t>
  </si>
  <si>
    <t>1025030502</t>
  </si>
  <si>
    <t>akarshkhandelwal10@gmail.com</t>
  </si>
  <si>
    <t>ASTHA MATHUR</t>
  </si>
  <si>
    <t>amathur1_be25</t>
  </si>
  <si>
    <t>amathur1_be25@thapar.edu</t>
  </si>
  <si>
    <t>1025030475</t>
  </si>
  <si>
    <t>DHRUV KAPOOR</t>
  </si>
  <si>
    <t>dkapoor1_be25</t>
  </si>
  <si>
    <t>dkapoor1_be25@thapar.edu</t>
  </si>
  <si>
    <t>1025031002</t>
  </si>
  <si>
    <t>Aviral Khariwar</t>
  </si>
  <si>
    <t>RIPUNJ BANSAL</t>
  </si>
  <si>
    <t>rbansal_be25</t>
  </si>
  <si>
    <t>rbansal_be25@thapar.edu</t>
  </si>
  <si>
    <t>1025030484</t>
  </si>
  <si>
    <t>Aviral.khariwar@gmail.com</t>
  </si>
  <si>
    <t>NISHI</t>
  </si>
  <si>
    <t>nnishi_be25</t>
  </si>
  <si>
    <t>nnishi_be25@thapar.edu</t>
  </si>
  <si>
    <t>1025030485</t>
  </si>
  <si>
    <t>SHOURYA GOYAL</t>
  </si>
  <si>
    <t>sgoyal4_be25</t>
  </si>
  <si>
    <t>sgoyal4_be25@thapar.edu</t>
  </si>
  <si>
    <t>1025030493</t>
  </si>
  <si>
    <t>Aaryan Khatter</t>
  </si>
  <si>
    <t>MISHTI JINDAL</t>
  </si>
  <si>
    <t>mjindal_be25</t>
  </si>
  <si>
    <t>mjindal_be25@thapar.edu</t>
  </si>
  <si>
    <t>1025030488</t>
  </si>
  <si>
    <t>Akhatter_be25@thapar.edu</t>
  </si>
  <si>
    <t>HARSHIL SINGH</t>
  </si>
  <si>
    <t>hsingh5_be25</t>
  </si>
  <si>
    <t>hsingh5_be25@thapar.edu</t>
  </si>
  <si>
    <t>1025030481</t>
  </si>
  <si>
    <t>FALAK MITTAL</t>
  </si>
  <si>
    <t>fmittal_be25</t>
  </si>
  <si>
    <t>fmittal_be25@thapar.edu</t>
  </si>
  <si>
    <t>1025030503</t>
  </si>
  <si>
    <t>akhera_be25@thapar.edu</t>
  </si>
  <si>
    <t>BHOOVI GUPTA</t>
  </si>
  <si>
    <t>bgupta_be25</t>
  </si>
  <si>
    <t>Aadit Khera</t>
  </si>
  <si>
    <t>bgupta_be25@thapar.edu</t>
  </si>
  <si>
    <t>1025031084</t>
  </si>
  <si>
    <t>PARV GOYAL</t>
  </si>
  <si>
    <t>aaditkhera4@gmail.com</t>
  </si>
  <si>
    <t>pgoyal6_be25</t>
  </si>
  <si>
    <t>pgoyal6_be25@thapar.edu</t>
  </si>
  <si>
    <t>1025030499</t>
  </si>
  <si>
    <t>sgurtu_be25</t>
  </si>
  <si>
    <t>sgurtu_be25@thapar.edu</t>
  </si>
  <si>
    <t>1025030513</t>
  </si>
  <si>
    <t>akhetan_be25@thapar.edu</t>
  </si>
  <si>
    <t>vkumar_be25</t>
  </si>
  <si>
    <t>vkumar_be25@thapar.edu</t>
  </si>
  <si>
    <t>1025030507</t>
  </si>
  <si>
    <t>Anchit Khetan</t>
  </si>
  <si>
    <t>1025230039</t>
  </si>
  <si>
    <t>vwalia_be25</t>
  </si>
  <si>
    <t>anchitkhetan40@gmail.com</t>
  </si>
  <si>
    <t>vwalia_be25@thapar.edu</t>
  </si>
  <si>
    <t>1025030527</t>
  </si>
  <si>
    <t>prastogi_be25</t>
  </si>
  <si>
    <t>prastogi_be25@thapar.edu</t>
  </si>
  <si>
    <t>1025031063</t>
  </si>
  <si>
    <t>mkansal_be25</t>
  </si>
  <si>
    <t>akhosla1_be25@thapar.edu</t>
  </si>
  <si>
    <t>mkansal_be25@thapar.edu</t>
  </si>
  <si>
    <t>1025030523</t>
  </si>
  <si>
    <t>Aryan khosla</t>
  </si>
  <si>
    <t>1025030884</t>
  </si>
  <si>
    <t>gganika_be25</t>
  </si>
  <si>
    <t>gganika_be25@thapar.edu</t>
  </si>
  <si>
    <t>1025030505</t>
  </si>
  <si>
    <t>0/19</t>
  </si>
  <si>
    <t>aryan khosla.coolperson@gmail.com</t>
  </si>
  <si>
    <t>mbansal_be25</t>
  </si>
  <si>
    <t>mbansal_be25@thapar.edu</t>
  </si>
  <si>
    <t>102503519</t>
  </si>
  <si>
    <t>snadda_be25</t>
  </si>
  <si>
    <t>snadda_be25@thapar.edu</t>
  </si>
  <si>
    <t>1025030524</t>
  </si>
  <si>
    <t>1025030508</t>
  </si>
  <si>
    <t>tbatra_be25</t>
  </si>
  <si>
    <t>tbatra_be25@thapar.edu</t>
  </si>
  <si>
    <t>1025030495</t>
  </si>
  <si>
    <t>darora1_be25</t>
  </si>
  <si>
    <t>darora1_be25@thapar.edu</t>
  </si>
  <si>
    <t>1025030931</t>
  </si>
  <si>
    <t>akhullar_be25@thapar.edu</t>
  </si>
  <si>
    <t>rsharma6_be25</t>
  </si>
  <si>
    <t>rsharma6_be25@thapar.edu</t>
  </si>
  <si>
    <t>1025030526</t>
  </si>
  <si>
    <t>Aditya Khullar</t>
  </si>
  <si>
    <t>bbavika_be25</t>
  </si>
  <si>
    <t>1025170393</t>
  </si>
  <si>
    <t>bbavika_be25@thapar.edu</t>
  </si>
  <si>
    <t>1025030510</t>
  </si>
  <si>
    <t>sagarwal1_be25</t>
  </si>
  <si>
    <t>sagarwal1_be25@thapar.edu</t>
  </si>
  <si>
    <t>1025030511</t>
  </si>
  <si>
    <t>1025030525</t>
  </si>
  <si>
    <t>1025030515</t>
  </si>
  <si>
    <t>bgoyal_be25</t>
  </si>
  <si>
    <t>bgoyal_be25@thapar.edu</t>
  </si>
  <si>
    <t>1025030521</t>
  </si>
  <si>
    <t>Agam kochar</t>
  </si>
  <si>
    <t>smahajan2_be25</t>
  </si>
  <si>
    <t>smahajan2_be25@thapar.edu</t>
  </si>
  <si>
    <t>1025030514</t>
  </si>
  <si>
    <t>agamkochar70@gmail.com</t>
  </si>
  <si>
    <t>hgupta8_be25</t>
  </si>
  <si>
    <t>1025030500</t>
  </si>
  <si>
    <t>hgupta8_be25@thapar.edu</t>
  </si>
  <si>
    <t>apandey4_be25</t>
  </si>
  <si>
    <t>1025030512</t>
  </si>
  <si>
    <t>apandey4_be25@thapar.edu</t>
  </si>
  <si>
    <t>akohli1_be25@thapar.edu</t>
  </si>
  <si>
    <t>Arjun Kohli</t>
  </si>
  <si>
    <t>ngupta6_be25</t>
  </si>
  <si>
    <t>1025030181</t>
  </si>
  <si>
    <t>ngupta6_be25@thapar.edu</t>
  </si>
  <si>
    <t>1025030518</t>
  </si>
  <si>
    <t>aakshata_be25</t>
  </si>
  <si>
    <t>1025030501</t>
  </si>
  <si>
    <t>1025030516</t>
  </si>
  <si>
    <t>pgupta3_be25</t>
  </si>
  <si>
    <t>pgupta3_be25@thapar.edu</t>
  </si>
  <si>
    <t>akohli2_be25@thapar.edu</t>
  </si>
  <si>
    <t>Aarshiya Kohli</t>
  </si>
  <si>
    <t>ubharara_be25</t>
  </si>
  <si>
    <t>1025030995</t>
  </si>
  <si>
    <t>ubharara_be25@thapar.edu</t>
  </si>
  <si>
    <t>aarshiyakohli657@gmail.com</t>
  </si>
  <si>
    <t>2NS1 (2UNSW)</t>
  </si>
  <si>
    <t>kagrawal_be25</t>
  </si>
  <si>
    <t>kagrawal_be25@thapar.edu</t>
  </si>
  <si>
    <t>1025030504</t>
  </si>
  <si>
    <t>skumar_be25</t>
  </si>
  <si>
    <t>skumar_be25@thapar.edu</t>
  </si>
  <si>
    <t>Ayush Kumar</t>
  </si>
  <si>
    <t>atiwari4_be25</t>
  </si>
  <si>
    <t>atiwari4_be25@thapar.edu</t>
  </si>
  <si>
    <t>aagarwal8_be25</t>
  </si>
  <si>
    <t>kumarayush01a@gmail.com</t>
  </si>
  <si>
    <t>vsingal1_be25</t>
  </si>
  <si>
    <t>vsingal1_be25@thapar.edu</t>
  </si>
  <si>
    <t>arathi_be25</t>
  </si>
  <si>
    <t>arathi_be25@thapar.edu</t>
  </si>
  <si>
    <t>1025030546</t>
  </si>
  <si>
    <t>akumar14_be25@thapar.edu</t>
  </si>
  <si>
    <t>Aman Kumar</t>
  </si>
  <si>
    <t>mgarg_be25</t>
  </si>
  <si>
    <t>mgarg_be25@thapar.edu</t>
  </si>
  <si>
    <t>1025030539</t>
  </si>
  <si>
    <t>akrai2409@gmail.com</t>
  </si>
  <si>
    <t>asinha_be25</t>
  </si>
  <si>
    <t>asinha_be25@thapar.edu</t>
  </si>
  <si>
    <t>1025030548</t>
  </si>
  <si>
    <t>1025030519</t>
  </si>
  <si>
    <t>pgarg6_be25</t>
  </si>
  <si>
    <t>pgarg6_be25@thapar.edu</t>
  </si>
  <si>
    <t>1025030535</t>
  </si>
  <si>
    <t>bkumar_be25</t>
  </si>
  <si>
    <t>bkumar_be25@thapar.edu</t>
  </si>
  <si>
    <t>1025030533</t>
  </si>
  <si>
    <t>krathore_be25</t>
  </si>
  <si>
    <t>krathore_be25@thapar.edu</t>
  </si>
  <si>
    <t>akshitkumargrover@gmail.com</t>
  </si>
  <si>
    <t>1025040531</t>
  </si>
  <si>
    <t>sghosh2_be25</t>
  </si>
  <si>
    <t>sghosh2_be25@thapar.edu</t>
  </si>
  <si>
    <t>1025030549</t>
  </si>
  <si>
    <t>hbhatia_be25</t>
  </si>
  <si>
    <t>hbhatia_be25@thapar.edu</t>
  </si>
  <si>
    <t>1025030550</t>
  </si>
  <si>
    <t>akumar3_be25@thapar.edu</t>
  </si>
  <si>
    <t>lleisha_be25</t>
  </si>
  <si>
    <t>Aditya Kumar</t>
  </si>
  <si>
    <t>lleisha_be25@thapar.edu</t>
  </si>
  <si>
    <t>1025030536</t>
  </si>
  <si>
    <t>1025170195</t>
  </si>
  <si>
    <t>apaintola_be25</t>
  </si>
  <si>
    <t>apaintola_be25@thapar.edu</t>
  </si>
  <si>
    <t>1025030541</t>
  </si>
  <si>
    <t>mkaur2_be25</t>
  </si>
  <si>
    <t>mkaur2_be25@thapar.edu</t>
  </si>
  <si>
    <t>1025030555</t>
  </si>
  <si>
    <t>jsra_be25</t>
  </si>
  <si>
    <t>jsra_be25@thapar.edu</t>
  </si>
  <si>
    <t>1025030553</t>
  </si>
  <si>
    <t>akumar4_be25@thapar.edu</t>
  </si>
  <si>
    <t>hhansujaa_be25</t>
  </si>
  <si>
    <t>hhansujaa_be25@thapar.edu</t>
  </si>
  <si>
    <t>1025030540</t>
  </si>
  <si>
    <t>Anamya Kumar</t>
  </si>
  <si>
    <t>1025170151</t>
  </si>
  <si>
    <t>syadav2_be25</t>
  </si>
  <si>
    <t>syadav2_be25@thapar.edu</t>
  </si>
  <si>
    <t>1025030528</t>
  </si>
  <si>
    <t>anamyakumar73@gmail.com</t>
  </si>
  <si>
    <t>aaggarwal3_be2</t>
  </si>
  <si>
    <t>1025030552</t>
  </si>
  <si>
    <t>kgupta4_be25</t>
  </si>
  <si>
    <t>kgupta4_be25@thapar.edu</t>
  </si>
  <si>
    <t>1025030538</t>
  </si>
  <si>
    <t>akumar5_be25@thapar.edu</t>
  </si>
  <si>
    <t>skaur5_be25</t>
  </si>
  <si>
    <t>skaur5_be25@thapar.edu</t>
  </si>
  <si>
    <t>1025170430</t>
  </si>
  <si>
    <t>1025030551</t>
  </si>
  <si>
    <t>akshitkumar0713@gmail.com</t>
  </si>
  <si>
    <t>psingh_be25</t>
  </si>
  <si>
    <t>psingh_be25@thapar.edu</t>
  </si>
  <si>
    <t>1025030554</t>
  </si>
  <si>
    <t>hchoudhary_be2</t>
  </si>
  <si>
    <t>hchoudhary_be25@thapar.edu</t>
  </si>
  <si>
    <t>1025030529</t>
  </si>
  <si>
    <t>akumar6_be25@thapar.edu</t>
  </si>
  <si>
    <t>Alok kumar</t>
  </si>
  <si>
    <t>aralhan_be25</t>
  </si>
  <si>
    <t>aralhan_be25@thapar.edu</t>
  </si>
  <si>
    <t>1025030793</t>
  </si>
  <si>
    <t>alokofficial112006@gmail.com</t>
  </si>
  <si>
    <t>aarora4_be25</t>
  </si>
  <si>
    <t>smahajan3_be25</t>
  </si>
  <si>
    <t>smahajan3_be25@thapar.edu</t>
  </si>
  <si>
    <t>1025030530</t>
  </si>
  <si>
    <t>akumari_be25@thapar.edu</t>
  </si>
  <si>
    <t>kkaur4_be25</t>
  </si>
  <si>
    <t>AKANKSHA KUMARI</t>
  </si>
  <si>
    <t>kkaur4_be25@thapar.edu</t>
  </si>
  <si>
    <t>1025030561</t>
  </si>
  <si>
    <t>1025031129</t>
  </si>
  <si>
    <t>uglyhalo06@gmail.com</t>
  </si>
  <si>
    <t>smalhotra_be25</t>
  </si>
  <si>
    <t>smalhotra_be25@thapar.edu</t>
  </si>
  <si>
    <t>1025030577</t>
  </si>
  <si>
    <t>amonga_be25</t>
  </si>
  <si>
    <t>amonga_be25@thapar.edu</t>
  </si>
  <si>
    <t>1025030564</t>
  </si>
  <si>
    <t>tmathur_be25</t>
  </si>
  <si>
    <t>tmathur_be25@thapar.edu</t>
  </si>
  <si>
    <t>1025030567</t>
  </si>
  <si>
    <t>Anmol kush</t>
  </si>
  <si>
    <t>gsingh22_be25</t>
  </si>
  <si>
    <t>gsingh22_be25@thapar.edu</t>
  </si>
  <si>
    <t>1025030557</t>
  </si>
  <si>
    <t>anmolkush012@gmail.com</t>
  </si>
  <si>
    <t>daggarwal2_be2</t>
  </si>
  <si>
    <t>daggarwal2_be25@thapar.edu</t>
  </si>
  <si>
    <t>1025030566</t>
  </si>
  <si>
    <t>abansal5_be25</t>
  </si>
  <si>
    <t>amanan_be25</t>
  </si>
  <si>
    <t>amanan_be25@thapar.edu</t>
  </si>
  <si>
    <t>1025030583</t>
  </si>
  <si>
    <t>arman.lubana30@gmail.com</t>
  </si>
  <si>
    <t>kgarg8_be25</t>
  </si>
  <si>
    <t>kgarg8_be25@thapar.edu</t>
  </si>
  <si>
    <t>1025030575</t>
  </si>
  <si>
    <t>htrivedi1_be25</t>
  </si>
  <si>
    <t>htrivedi1_be25@thapar.edu</t>
  </si>
  <si>
    <t>1025030582</t>
  </si>
  <si>
    <t>alunia_be25@thapar.edu</t>
  </si>
  <si>
    <t>Abhinav Lunia</t>
  </si>
  <si>
    <t>1025170406</t>
  </si>
  <si>
    <t>vmehra_be25</t>
  </si>
  <si>
    <t>vmehra_be25@thapar.edu</t>
  </si>
  <si>
    <t>1025030578</t>
  </si>
  <si>
    <t>luniaabhinav@gmail.com</t>
  </si>
  <si>
    <t>vgoyal1_be25</t>
  </si>
  <si>
    <t>1025030531</t>
  </si>
  <si>
    <t>vgoyal1_be25@thapar.edu</t>
  </si>
  <si>
    <t>1025030579</t>
  </si>
  <si>
    <t>pparkhi_be25</t>
  </si>
  <si>
    <t>pparkhi_be25@thapar.edu</t>
  </si>
  <si>
    <t>1025030572</t>
  </si>
  <si>
    <t>sgarg4_be25</t>
  </si>
  <si>
    <t>sgarg4_be25@thapar.edu</t>
  </si>
  <si>
    <t>1025030565</t>
  </si>
  <si>
    <t>amadaan_be25@thapar.edu</t>
  </si>
  <si>
    <t>cchirag_be25</t>
  </si>
  <si>
    <t>cchirag_be25@thapar.edu</t>
  </si>
  <si>
    <t>1025030571</t>
  </si>
  <si>
    <t>AAYUSH MADAAN</t>
  </si>
  <si>
    <t>1025030534</t>
  </si>
  <si>
    <t>skarwal_be25</t>
  </si>
  <si>
    <t>skarwal_be25@thapar.edu</t>
  </si>
  <si>
    <t>1025030559</t>
  </si>
  <si>
    <t>aayushmadaan77@gmail.com</t>
  </si>
  <si>
    <t>1025030563</t>
  </si>
  <si>
    <t>hgarg1_be25</t>
  </si>
  <si>
    <t>hgarg1_be25@thapar.edu</t>
  </si>
  <si>
    <t>1025030574</t>
  </si>
  <si>
    <t>kkartik_be25</t>
  </si>
  <si>
    <t>kkartik_be25@thapar.edu</t>
  </si>
  <si>
    <t>1025030741</t>
  </si>
  <si>
    <t>1025030570</t>
  </si>
  <si>
    <t>amahajan1_be25@thapar.edu</t>
  </si>
  <si>
    <t>cgarg_be25</t>
  </si>
  <si>
    <t>Aditya Mahajan</t>
  </si>
  <si>
    <t>cgarg_be25@thapar.edu</t>
  </si>
  <si>
    <t>1025030580</t>
  </si>
  <si>
    <t>1025170366</t>
  </si>
  <si>
    <t>pgaggar_be25</t>
  </si>
  <si>
    <t>pgaggar_be25@thapar.edu</t>
  </si>
  <si>
    <t>1025030576</t>
  </si>
  <si>
    <t>1025030556</t>
  </si>
  <si>
    <t>adityamhjn5@gmail.com</t>
  </si>
  <si>
    <t>psharma16_be25</t>
  </si>
  <si>
    <t>psharma16_be25@thapar.edu</t>
  </si>
  <si>
    <t>1025030568</t>
  </si>
  <si>
    <t>mgupta5_be25</t>
  </si>
  <si>
    <t>mgupta5_be25@thapar.edu</t>
  </si>
  <si>
    <t>agoyal_be25</t>
  </si>
  <si>
    <t>agoyal_be25@thapar.edu</t>
  </si>
  <si>
    <t>hgupta3_be25</t>
  </si>
  <si>
    <t>hgupta3_be25@thapar.edu</t>
  </si>
  <si>
    <t>akaura1_be25</t>
  </si>
  <si>
    <t>akaura1_be25@thapar.edu</t>
  </si>
  <si>
    <t>1025030562</t>
  </si>
  <si>
    <t>avi.abohar@gmail.com</t>
  </si>
  <si>
    <t>everma_be25</t>
  </si>
  <si>
    <t>everma_be25@thapar.edu</t>
  </si>
  <si>
    <t>kprakash_be25</t>
  </si>
  <si>
    <t>kprakash_be25@thapar.edu</t>
  </si>
  <si>
    <t>1025030604</t>
  </si>
  <si>
    <t>daggarwal4_be2</t>
  </si>
  <si>
    <t>daggarwal4_be25@thapar.edu</t>
  </si>
  <si>
    <t>amalhotra_be25@thapar.edu</t>
  </si>
  <si>
    <t>1025030593</t>
  </si>
  <si>
    <t>Aditya kumar malhotra</t>
  </si>
  <si>
    <t>dpandey1_be25</t>
  </si>
  <si>
    <t>dpandey1_be25@thapar.edu</t>
  </si>
  <si>
    <t>1025030086</t>
  </si>
  <si>
    <t>1025090023</t>
  </si>
  <si>
    <t>htrikha_be25</t>
  </si>
  <si>
    <t>htrikha_be25@thapar.edu</t>
  </si>
  <si>
    <t>1025030588</t>
  </si>
  <si>
    <t>adityamalhotra87990@gmail.com</t>
  </si>
  <si>
    <t>ssemwal_be25</t>
  </si>
  <si>
    <t>ssemwal_be25@thapar.edu</t>
  </si>
  <si>
    <t>1025030603</t>
  </si>
  <si>
    <t>msingh_be25</t>
  </si>
  <si>
    <t>msingh_be25@thapar.edu</t>
  </si>
  <si>
    <t>1025030586</t>
  </si>
  <si>
    <t>amalhotra2_be25@thapar.edu</t>
  </si>
  <si>
    <t>Aniket Malhotra</t>
  </si>
  <si>
    <t>hgupta1_be25</t>
  </si>
  <si>
    <t>hgupta1_be25@thapar.edu</t>
  </si>
  <si>
    <t>1025030865</t>
  </si>
  <si>
    <t>1025030650</t>
  </si>
  <si>
    <t>aniketmalhotra960@gmail.com</t>
  </si>
  <si>
    <t>asingh47_be25</t>
  </si>
  <si>
    <t>asingh47_be25@thapar.edu</t>
  </si>
  <si>
    <t>1025030600</t>
  </si>
  <si>
    <t>amalhotra3_be25@thapar.edu</t>
  </si>
  <si>
    <t>Arjun Malhotra</t>
  </si>
  <si>
    <t>skumar1_be25</t>
  </si>
  <si>
    <t>skumar1_be25@thapar.edu</t>
  </si>
  <si>
    <t>1025030606</t>
  </si>
  <si>
    <t>arjun2607ms@gmail.com</t>
  </si>
  <si>
    <t>rsingla1_be25</t>
  </si>
  <si>
    <t>rsingla1_be25@thapar.edu</t>
  </si>
  <si>
    <t>1025030587</t>
  </si>
  <si>
    <t>amalik1_be25@thapar.edu</t>
  </si>
  <si>
    <t>Arnav Malik</t>
  </si>
  <si>
    <t>atiwari2_be25</t>
  </si>
  <si>
    <t>atiwari2_be25@thapar.edu</t>
  </si>
  <si>
    <t>1025030605</t>
  </si>
  <si>
    <t>1025030694</t>
  </si>
  <si>
    <t>arnav6951@gmail.com</t>
  </si>
  <si>
    <t>rkhurana_be25</t>
  </si>
  <si>
    <t>rkhurana_be25@thapar.edu</t>
  </si>
  <si>
    <t>1025030611</t>
  </si>
  <si>
    <t>skanwar_be25</t>
  </si>
  <si>
    <t>skanwar_be25@thapar.edu</t>
  </si>
  <si>
    <t>1025030595</t>
  </si>
  <si>
    <t>Aryan Malik</t>
  </si>
  <si>
    <t>hpaneri_be25</t>
  </si>
  <si>
    <t>hpaneri_be25@thapar.edu</t>
  </si>
  <si>
    <t>1025030607</t>
  </si>
  <si>
    <t>aryanmalik1247@gmail.com</t>
  </si>
  <si>
    <t>arathore1_be25</t>
  </si>
  <si>
    <t>arathore1_be25@thapar.edu</t>
  </si>
  <si>
    <t>1025030599</t>
  </si>
  <si>
    <t>psharma9_be25</t>
  </si>
  <si>
    <t>psharma9_be25@thapar.edu</t>
  </si>
  <si>
    <t>1025030597</t>
  </si>
  <si>
    <t>Amallick_be25@thapar.edu</t>
  </si>
  <si>
    <t>Atrij Mallick</t>
  </si>
  <si>
    <t>psrivastava1_b</t>
  </si>
  <si>
    <t>psrivastava1_be25@thapar.edu</t>
  </si>
  <si>
    <t>1025230083</t>
  </si>
  <si>
    <t>1025030601</t>
  </si>
  <si>
    <t>Atrijmallick@gmail.com</t>
  </si>
  <si>
    <t>mdixit_be25</t>
  </si>
  <si>
    <t>1025030585</t>
  </si>
  <si>
    <t>mdixit_be25@thapar.edu</t>
  </si>
  <si>
    <t>1025030602</t>
  </si>
  <si>
    <t>dmadan_be25</t>
  </si>
  <si>
    <t>dmadan_be25@thapar.edu</t>
  </si>
  <si>
    <t>1025030589</t>
  </si>
  <si>
    <t>rkalra_be25</t>
  </si>
  <si>
    <t>rkalra_be25@thapar.edu</t>
  </si>
  <si>
    <t>1025030594</t>
  </si>
  <si>
    <t>Arpit Manan</t>
  </si>
  <si>
    <t>rroshni_be25</t>
  </si>
  <si>
    <t>rroshni_be25@thapar.edu</t>
  </si>
  <si>
    <t>1025030598</t>
  </si>
  <si>
    <t>arpitmanan4sept2006@gmail.com</t>
  </si>
  <si>
    <t>hmangla_be25</t>
  </si>
  <si>
    <t>hmangla_be25@thapar.edu</t>
  </si>
  <si>
    <t>1025030591</t>
  </si>
  <si>
    <t>gnarula_be25</t>
  </si>
  <si>
    <t>gnarula_be25@thapar.edu</t>
  </si>
  <si>
    <t>1025030590</t>
  </si>
  <si>
    <t>Amitoj Singh Mann</t>
  </si>
  <si>
    <t>hsingh13_be25</t>
  </si>
  <si>
    <t>hsingh13_be25@thapar.edu</t>
  </si>
  <si>
    <t>1025030638</t>
  </si>
  <si>
    <t>amitojsinghmann@gmail.com</t>
  </si>
  <si>
    <t>ttanisha1_be25</t>
  </si>
  <si>
    <t>ttanisha1_be25@thapar.edu</t>
  </si>
  <si>
    <t>1025030614</t>
  </si>
  <si>
    <t>dverma1_be25</t>
  </si>
  <si>
    <t>dverma1_be25@thapar.edu</t>
  </si>
  <si>
    <t>1025030624</t>
  </si>
  <si>
    <t>athapar_be25</t>
  </si>
  <si>
    <t>athapar_be25@thapar.edu</t>
  </si>
  <si>
    <t>1025030618</t>
  </si>
  <si>
    <t>Anuraag Marya</t>
  </si>
  <si>
    <t>kkhattar_be25</t>
  </si>
  <si>
    <t>kkhattar_be25@thapar.edu</t>
  </si>
  <si>
    <t>1025030622</t>
  </si>
  <si>
    <t>anuraagmarya2@gmail.com</t>
  </si>
  <si>
    <t>bbhuwan_be25</t>
  </si>
  <si>
    <t>bbhuwan_be25@thapar.edu</t>
  </si>
  <si>
    <t>1025030635</t>
  </si>
  <si>
    <t>ssofia_be25</t>
  </si>
  <si>
    <t>ssofia_be25@thapar.edu</t>
  </si>
  <si>
    <t>1025030632</t>
  </si>
  <si>
    <t>1025030596</t>
  </si>
  <si>
    <t>Angad Singh Matharu</t>
  </si>
  <si>
    <t>aagarwal9_be25</t>
  </si>
  <si>
    <t>angad04singh2007@gmail.com</t>
  </si>
  <si>
    <t>gtyagi_be25</t>
  </si>
  <si>
    <t>gtyagi_be25@thapar.edu</t>
  </si>
  <si>
    <t>1025930619</t>
  </si>
  <si>
    <t>ajha1_be25</t>
  </si>
  <si>
    <t>Astha Mathur</t>
  </si>
  <si>
    <t>ssareen_be25</t>
  </si>
  <si>
    <t>ssareen_be25@thapar.edu</t>
  </si>
  <si>
    <t>1025030612</t>
  </si>
  <si>
    <t>asthamathur2017@gmail.com</t>
  </si>
  <si>
    <t>vjaiswal_be25</t>
  </si>
  <si>
    <t>vjaiswal_be25@thapar.edu</t>
  </si>
  <si>
    <t>1025030621</t>
  </si>
  <si>
    <t>rduggal_be25</t>
  </si>
  <si>
    <t>rduggal_be25@thapar.edu</t>
  </si>
  <si>
    <t>1025030630</t>
  </si>
  <si>
    <t>amavi_be25@thapar.edu</t>
  </si>
  <si>
    <t>Amitoj Singh Mavi</t>
  </si>
  <si>
    <t>dsharda_be25</t>
  </si>
  <si>
    <t>dsharda_be25@thapar.edu</t>
  </si>
  <si>
    <t>1025030623</t>
  </si>
  <si>
    <t>1025160001</t>
  </si>
  <si>
    <t>amitojsinghmavi@gmail.com</t>
  </si>
  <si>
    <t>raggarwal2_be2</t>
  </si>
  <si>
    <t>raggarwal2_be25@thapar.edu</t>
  </si>
  <si>
    <t>1025030627</t>
  </si>
  <si>
    <t>nmanocha_be25</t>
  </si>
  <si>
    <t>nmanocha_be25@thapar.edu</t>
  </si>
  <si>
    <t>1025030628</t>
  </si>
  <si>
    <t>amehra_be25@thapar.edu</t>
  </si>
  <si>
    <t>nsingla_be25</t>
  </si>
  <si>
    <t>nsingla_be25@thapar.edu</t>
  </si>
  <si>
    <t>1025030616</t>
  </si>
  <si>
    <t>Ananya Mehra</t>
  </si>
  <si>
    <t>kgoyal2_be25</t>
  </si>
  <si>
    <t>1025090030</t>
  </si>
  <si>
    <t>kgoyal2_be25@thapar.edu</t>
  </si>
  <si>
    <t>1025030610</t>
  </si>
  <si>
    <t>ananyamehrawork@gmail.com</t>
  </si>
  <si>
    <t>mgoyal2_be25</t>
  </si>
  <si>
    <t>mgoyal2_be25@thapar.edu</t>
  </si>
  <si>
    <t>1025030629</t>
  </si>
  <si>
    <t>prawat_be25</t>
  </si>
  <si>
    <t>prawat_be25@thapar.edu</t>
  </si>
  <si>
    <t>1025030615</t>
  </si>
  <si>
    <t>mnarang_be25</t>
  </si>
  <si>
    <t>mnarang_be25@thapar.edu</t>
  </si>
  <si>
    <t>1025030637</t>
  </si>
  <si>
    <t>kagrawal1_be25</t>
  </si>
  <si>
    <t>kagrawal1_be25@thapar.edu</t>
  </si>
  <si>
    <t>amehrotra_be25@thapar.edu</t>
  </si>
  <si>
    <t>1025030620</t>
  </si>
  <si>
    <t>Aashmit Mehrotra</t>
  </si>
  <si>
    <t>msharma_be25</t>
  </si>
  <si>
    <t>msharma_be25@thapar.edu</t>
  </si>
  <si>
    <t>1025030783</t>
  </si>
  <si>
    <t>1025030634</t>
  </si>
  <si>
    <t>aashmitmehrotra@gmail.com</t>
  </si>
  <si>
    <t>schandra_be25</t>
  </si>
  <si>
    <t>schandra_be25@thapar.edu</t>
  </si>
  <si>
    <t>1025030633</t>
  </si>
  <si>
    <t>amehta_be25@thapar.edu</t>
  </si>
  <si>
    <t>iaggarwal_be25</t>
  </si>
  <si>
    <t>iaggarwal_be25@thapar.edu</t>
  </si>
  <si>
    <t>1025030626</t>
  </si>
  <si>
    <t>Aanya Mehta</t>
  </si>
  <si>
    <t>agupta25_be25</t>
  </si>
  <si>
    <t>1025170355</t>
  </si>
  <si>
    <t>aanya9215@gmail.com</t>
  </si>
  <si>
    <t>PULKIT GARG</t>
  </si>
  <si>
    <t>pgarg5_be25</t>
  </si>
  <si>
    <t>pgarg5_be25@thapar.edu</t>
  </si>
  <si>
    <t>1025030659</t>
  </si>
  <si>
    <t>2Q32</t>
  </si>
  <si>
    <t>SOURAV KUMAR SHARMA</t>
  </si>
  <si>
    <t>ssharma16_be25</t>
  </si>
  <si>
    <t>ssharma16_be25@thapar.edu</t>
  </si>
  <si>
    <t>1025030669</t>
  </si>
  <si>
    <t>amehta1_be25@thapar.edu</t>
  </si>
  <si>
    <t>kgarg6_be25</t>
  </si>
  <si>
    <t>kgarg6_be25@thapar.edu</t>
  </si>
  <si>
    <t>Arnav Mehta</t>
  </si>
  <si>
    <t>1025030648</t>
  </si>
  <si>
    <t>1025170064</t>
  </si>
  <si>
    <t>ARCHIT NARANG</t>
  </si>
  <si>
    <t>anarang2_be25</t>
  </si>
  <si>
    <t>arnavmehta531@gmail.com</t>
  </si>
  <si>
    <t>anarang2_be25@thapar.edu</t>
  </si>
  <si>
    <t>1025030642</t>
  </si>
  <si>
    <t>GUNTAAS SINGH SEKHON</t>
  </si>
  <si>
    <t>gsekhon_be25</t>
  </si>
  <si>
    <t>gsekhon_be25@thapar.edu</t>
  </si>
  <si>
    <t>1025030644</t>
  </si>
  <si>
    <t>ASHWANI CHAURASIA</t>
  </si>
  <si>
    <t>achaurasia_be2</t>
  </si>
  <si>
    <t>amehta2_be25@thapar.edu</t>
  </si>
  <si>
    <t>Abhimanyu Mehta</t>
  </si>
  <si>
    <t>JATIN YADAV</t>
  </si>
  <si>
    <t>jyadav_be25</t>
  </si>
  <si>
    <t>1025031087</t>
  </si>
  <si>
    <t>jyadav_be25@thapar.edu</t>
  </si>
  <si>
    <t>1025030649</t>
  </si>
  <si>
    <t>mehtaabhimanyu18@gmail.com</t>
  </si>
  <si>
    <t>AANYA CHOPRA</t>
  </si>
  <si>
    <t>achopra1_be25</t>
  </si>
  <si>
    <t>amehta3_be25@thapar.edu</t>
  </si>
  <si>
    <t>JAHNVI GOYAL</t>
  </si>
  <si>
    <t>jgoyal_be25</t>
  </si>
  <si>
    <t>jgoyal_be25@thapar.edu</t>
  </si>
  <si>
    <t>1025030641</t>
  </si>
  <si>
    <t>Aryan Mehta</t>
  </si>
  <si>
    <t>1025090071</t>
  </si>
  <si>
    <t>DEVANSHI</t>
  </si>
  <si>
    <t>ddevanshi_be25</t>
  </si>
  <si>
    <t>mehtaaryan1408@gmail.com</t>
  </si>
  <si>
    <t>ddevanshi_be25@thapar.edu</t>
  </si>
  <si>
    <t>1025030658</t>
  </si>
  <si>
    <t>1025030619</t>
  </si>
  <si>
    <t>SUKHMANPREET SINGH</t>
  </si>
  <si>
    <t>ssingh22_be25</t>
  </si>
  <si>
    <t>ssingh22_be25@thapar.edu</t>
  </si>
  <si>
    <t>1025030665</t>
  </si>
  <si>
    <t>SHOBHIT GUPTA</t>
  </si>
  <si>
    <t>sgupta8_be25</t>
  </si>
  <si>
    <t>amendiratta_be25@thapar.edu</t>
  </si>
  <si>
    <t>sgupta8_be25@thapar.edu</t>
  </si>
  <si>
    <t>1025030656</t>
  </si>
  <si>
    <t>Aydhas Mendiratta</t>
  </si>
  <si>
    <t>RAMNEAK KAUR</t>
  </si>
  <si>
    <t>rkaur_be25</t>
  </si>
  <si>
    <t>rkaur_be25@thapar.edu</t>
  </si>
  <si>
    <t>1025030646</t>
  </si>
  <si>
    <t>1025170289</t>
  </si>
  <si>
    <t>aydhas.mendiratta@gmail.com</t>
  </si>
  <si>
    <t>ssejal_be25</t>
  </si>
  <si>
    <t>ssejal_be25@thapar.edu</t>
  </si>
  <si>
    <t>1025030667</t>
  </si>
  <si>
    <t>AKASHDEEP SINGH</t>
  </si>
  <si>
    <t>asingh18_be25</t>
  </si>
  <si>
    <t>asingh18_be25@thapar.edu</t>
  </si>
  <si>
    <t>1025030647</t>
  </si>
  <si>
    <t>ANSH GOEL</t>
  </si>
  <si>
    <t>agoel2_be25</t>
  </si>
  <si>
    <t>aminotra_be25@thapar.edu</t>
  </si>
  <si>
    <t>ANMOL VERMA</t>
  </si>
  <si>
    <t>averma13_be25</t>
  </si>
  <si>
    <t>Arnav Minotra</t>
  </si>
  <si>
    <t>averma13_be25@thapar.edu</t>
  </si>
  <si>
    <t>1025030652</t>
  </si>
  <si>
    <t>1025160044</t>
  </si>
  <si>
    <t>ABHISHEK JINDAL</t>
  </si>
  <si>
    <t>ajindal4_be25</t>
  </si>
  <si>
    <t>arnavminotra70@gmail.com</t>
  </si>
  <si>
    <t>RIDDHIMA SINGH</t>
  </si>
  <si>
    <t>rsingh13_be25</t>
  </si>
  <si>
    <t>rsingh13_be25@thapar.edu</t>
  </si>
  <si>
    <t>1025030660</t>
  </si>
  <si>
    <t>PRANEEL PANDIT</t>
  </si>
  <si>
    <t>ppandit_be25</t>
  </si>
  <si>
    <t>ppandit_be25@thapar.edu</t>
  </si>
  <si>
    <t>1025039643</t>
  </si>
  <si>
    <t>MEDHA MISHRA</t>
  </si>
  <si>
    <t>medhamishra99</t>
  </si>
  <si>
    <t>mmishra1_be25@thapar.edu</t>
  </si>
  <si>
    <t>1025031085</t>
  </si>
  <si>
    <t>ABHAY DUGGAL</t>
  </si>
  <si>
    <t>aduggal_be25</t>
  </si>
  <si>
    <t>umamishra8175@gmail.com</t>
  </si>
  <si>
    <t>KHUSHMEET KAUR SANDHU</t>
  </si>
  <si>
    <t>ksandhu_be25</t>
  </si>
  <si>
    <t>ksandhu_be25@thapar.edu</t>
  </si>
  <si>
    <t>1025030673</t>
  </si>
  <si>
    <t>TANVI GARG</t>
  </si>
  <si>
    <t>tgarg2_be25</t>
  </si>
  <si>
    <t>tgarg2_be25@thapar.edu</t>
  </si>
  <si>
    <t>1025030695</t>
  </si>
  <si>
    <t>ABHAYRAJ SINGH BAJWA</t>
  </si>
  <si>
    <t>abajwa_be25</t>
  </si>
  <si>
    <t>JAYANT DHIR</t>
  </si>
  <si>
    <t>jdhir_be25</t>
  </si>
  <si>
    <t>jdhir_be25@thapar.edu</t>
  </si>
  <si>
    <t>1025030693</t>
  </si>
  <si>
    <t>amittal3_be25@gmail.com</t>
  </si>
  <si>
    <t>ARSHIA RAINA</t>
  </si>
  <si>
    <t>araina_be25</t>
  </si>
  <si>
    <t>Ayush mittal</t>
  </si>
  <si>
    <t>araina_be25@thapar.edu</t>
  </si>
  <si>
    <t>1025030678</t>
  </si>
  <si>
    <t>BHAVDEEP SINGH ANAND</t>
  </si>
  <si>
    <t>Radhabhaktt@gmail.com</t>
  </si>
  <si>
    <t>banand_be25</t>
  </si>
  <si>
    <t>banand_be25@thapar.edu</t>
  </si>
  <si>
    <t>1025030692</t>
  </si>
  <si>
    <t>DILSHAN SINGH KHINDA</t>
  </si>
  <si>
    <t>dkhinda_be25</t>
  </si>
  <si>
    <t>dkhinda_be25@thapar.edu</t>
  </si>
  <si>
    <t>1025030666</t>
  </si>
  <si>
    <t>TANVEER SINGH</t>
  </si>
  <si>
    <t>tsingh2_be25</t>
  </si>
  <si>
    <t>tsingh2_be25@thapar.edu</t>
  </si>
  <si>
    <t>1025030664</t>
  </si>
  <si>
    <t>amittal5_be25@thapar.edu</t>
  </si>
  <si>
    <t>HARASEES SINGH SIDHU</t>
  </si>
  <si>
    <t>hsidhu_be25</t>
  </si>
  <si>
    <t>Ashmit Mittal</t>
  </si>
  <si>
    <t>hsidhu_be25@thapar.edu</t>
  </si>
  <si>
    <t>1025030799</t>
  </si>
  <si>
    <t>1025090018</t>
  </si>
  <si>
    <t>RADHIKA</t>
  </si>
  <si>
    <t>ashmit42423@gmail.com</t>
  </si>
  <si>
    <t>rradhika1_be25</t>
  </si>
  <si>
    <t>rradhika1_be25@thapar.edu</t>
  </si>
  <si>
    <t>1025030679</t>
  </si>
  <si>
    <t>EKJOT KAUR</t>
  </si>
  <si>
    <t>ekaur_be25</t>
  </si>
  <si>
    <t>ekaur_be25@thapar.edu</t>
  </si>
  <si>
    <t>1025030677</t>
  </si>
  <si>
    <t>amittal7_be25@thapar.edu</t>
  </si>
  <si>
    <t>asandhu_be25</t>
  </si>
  <si>
    <t>asandhu_be25@thapar.edu</t>
  </si>
  <si>
    <t>1025030672</t>
  </si>
  <si>
    <t>Akshita Mittal</t>
  </si>
  <si>
    <t>1025170481</t>
  </si>
  <si>
    <t>AJEET PAL SINGH</t>
  </si>
  <si>
    <t>asingh16_be25</t>
  </si>
  <si>
    <t>asingh16_be25@thapar.edu</t>
  </si>
  <si>
    <t>1025030675</t>
  </si>
  <si>
    <t>Akshitamittal0907@gmail.com</t>
  </si>
  <si>
    <t>SAMREEN KAUR</t>
  </si>
  <si>
    <t>skaur2_be25</t>
  </si>
  <si>
    <t>skaur2_be25@thapar.edu</t>
  </si>
  <si>
    <t>1025030671</t>
  </si>
  <si>
    <t>amittal8_be25@thapar.edu</t>
  </si>
  <si>
    <t>SAMRIDH CHOPRA</t>
  </si>
  <si>
    <t>schopra_be25</t>
  </si>
  <si>
    <t>schopra_be25@thapar.edu</t>
  </si>
  <si>
    <t>1025030682</t>
  </si>
  <si>
    <t>Arjun mittal</t>
  </si>
  <si>
    <t>SHIVIKA SHARMA</t>
  </si>
  <si>
    <t>ssharma11_be25</t>
  </si>
  <si>
    <t>ssharma11_be25@thapar.edu</t>
  </si>
  <si>
    <t>1025030688</t>
  </si>
  <si>
    <t>1025031131</t>
  </si>
  <si>
    <t>RAUNAK VERMA</t>
  </si>
  <si>
    <t>arjunmittal242007@gmail.com</t>
  </si>
  <si>
    <t>rverma1_be25</t>
  </si>
  <si>
    <t>rverma1_be25@thapar.edu</t>
  </si>
  <si>
    <t>1025030676</t>
  </si>
  <si>
    <t>ARNAV MALIK</t>
  </si>
  <si>
    <t>amalik1_be25</t>
  </si>
  <si>
    <t>GAURAV KOCHHAR</t>
  </si>
  <si>
    <t>gkochhar_be25</t>
  </si>
  <si>
    <t>amitttal_be25@thapar.edu</t>
  </si>
  <si>
    <t>gkochhar_be25@thapar.edu</t>
  </si>
  <si>
    <t>1025030686</t>
  </si>
  <si>
    <t>Aaditya Mittal</t>
  </si>
  <si>
    <t>UTSAV KUMAR</t>
  </si>
  <si>
    <t>ukumar1_be25</t>
  </si>
  <si>
    <t>1025031128</t>
  </si>
  <si>
    <t>ukumar1_be25@thapar.edu</t>
  </si>
  <si>
    <t>1025030680</t>
  </si>
  <si>
    <t>aaditya1tp@gmail.com</t>
  </si>
  <si>
    <t>SALONI RAWAT</t>
  </si>
  <si>
    <t>srawat2_be25</t>
  </si>
  <si>
    <t>srawat2_be25@thapar.edu</t>
  </si>
  <si>
    <t>1025030674</t>
  </si>
  <si>
    <t>KUSHAL GAUTAM</t>
  </si>
  <si>
    <t>kgautam_be25</t>
  </si>
  <si>
    <t>kgautam_be25@thapar.edu</t>
  </si>
  <si>
    <t>1025030685</t>
  </si>
  <si>
    <t>UNNAT RAJ</t>
  </si>
  <si>
    <t>uraj_be25</t>
  </si>
  <si>
    <t>uraj_be25@thapar.edu</t>
  </si>
  <si>
    <t>1025030696</t>
  </si>
  <si>
    <t>Akshit monga</t>
  </si>
  <si>
    <t>agupta11_be25</t>
  </si>
  <si>
    <t>agupta11_be25@thapar.edu</t>
  </si>
  <si>
    <t>1025030681</t>
  </si>
  <si>
    <t>Akshitrajesh@gmail.com</t>
  </si>
  <si>
    <t>JASSICA</t>
  </si>
  <si>
    <t>jjassica_be25</t>
  </si>
  <si>
    <t>jjassica_be25@thapar.edu</t>
  </si>
  <si>
    <t>1025030651</t>
  </si>
  <si>
    <t>AKSHAT OJHA</t>
  </si>
  <si>
    <t>akshat_ojha</t>
  </si>
  <si>
    <t>aojha_be25@thapar.edu</t>
  </si>
  <si>
    <t>1025030687</t>
  </si>
  <si>
    <t>AARAV DHYANI</t>
  </si>
  <si>
    <t>adhyani_be25</t>
  </si>
  <si>
    <t>Araina Multani</t>
  </si>
  <si>
    <t>ASHMIT SINHA</t>
  </si>
  <si>
    <t>asinha2_be25</t>
  </si>
  <si>
    <t>asinha2_be25@thapar.edu</t>
  </si>
  <si>
    <t>1025030689</t>
  </si>
  <si>
    <t>arainamultani10@gmail.com</t>
  </si>
  <si>
    <t>TANNISHTHA AHUJA</t>
  </si>
  <si>
    <t>tahuja_be25</t>
  </si>
  <si>
    <t>tahuja_be25@thapar.edu</t>
  </si>
  <si>
    <t>1025030721</t>
  </si>
  <si>
    <t>ADWITIYA SAHA</t>
  </si>
  <si>
    <t>asaha_be25</t>
  </si>
  <si>
    <t>asaha_be25@thapar.edu</t>
  </si>
  <si>
    <t>1025030724</t>
  </si>
  <si>
    <t>GAUTAM SHARMA</t>
  </si>
  <si>
    <t>gsharma3_be25</t>
  </si>
  <si>
    <t>gsharma3_be25@thapar.edu</t>
  </si>
  <si>
    <t>1025030703</t>
  </si>
  <si>
    <t>anair_be25@thapar.edu</t>
  </si>
  <si>
    <t>Akshat Nair</t>
  </si>
  <si>
    <t>SALONI GUPTA</t>
  </si>
  <si>
    <t>sgupta11_be25</t>
  </si>
  <si>
    <t>sgupta11_be25@thapar.edu</t>
  </si>
  <si>
    <t>1025030705</t>
  </si>
  <si>
    <t>1025090098</t>
  </si>
  <si>
    <t>ANUSHKA CHETIA</t>
  </si>
  <si>
    <t>achetia_be25</t>
  </si>
  <si>
    <t>nairakshat.07@gmail.com</t>
  </si>
  <si>
    <t>2I14</t>
  </si>
  <si>
    <t>kkhushi_be25</t>
  </si>
  <si>
    <t>kkhushi_be25@thapar.edu</t>
  </si>
  <si>
    <t>1025030716</t>
  </si>
  <si>
    <t>GAURI ROHILA</t>
  </si>
  <si>
    <t>grohila_be25</t>
  </si>
  <si>
    <t>grohila_be25@thapar.edu</t>
  </si>
  <si>
    <t>1025030720</t>
  </si>
  <si>
    <t>MANASVI SRIVASTAVA</t>
  </si>
  <si>
    <t>msrivastava_be</t>
  </si>
  <si>
    <t>msrivastava_be25@thapar.edu</t>
  </si>
  <si>
    <t>1025030698</t>
  </si>
  <si>
    <t>ContactDetails</t>
  </si>
  <si>
    <t>SHIKHAR MISHRA</t>
  </si>
  <si>
    <t>CodeChefID</t>
  </si>
  <si>
    <t>smishra_be25</t>
  </si>
  <si>
    <t>smishra_be25@thapar.edu</t>
  </si>
  <si>
    <t>1025030697</t>
  </si>
  <si>
    <t>6545821</t>
  </si>
  <si>
    <t>DISHIKA MATHUR</t>
  </si>
  <si>
    <t>Minehome205@gmail.com</t>
  </si>
  <si>
    <t>dmathur_be25</t>
  </si>
  <si>
    <t>dmathur_be25@thapar.edu</t>
  </si>
  <si>
    <t>1025030719</t>
  </si>
  <si>
    <t>ABHINAV VERMA</t>
  </si>
  <si>
    <t>averma12_be25</t>
  </si>
  <si>
    <t>averma12_be25@thapar.edu</t>
  </si>
  <si>
    <t>1025030707</t>
  </si>
  <si>
    <t>NAKSH AGGARWAL</t>
  </si>
  <si>
    <t>naggarwal_be25</t>
  </si>
  <si>
    <t>naggarwal_be25@thapar.edu</t>
  </si>
  <si>
    <t>1025030711</t>
  </si>
  <si>
    <t>Abeer Narang</t>
  </si>
  <si>
    <t>SIDDHANT JINDAL</t>
  </si>
  <si>
    <t>sjindal1_be25</t>
  </si>
  <si>
    <t>sjindal1_be25@thapar.edu</t>
  </si>
  <si>
    <t>1025030718</t>
  </si>
  <si>
    <t>abeernarang26@gmail.com</t>
  </si>
  <si>
    <t>HARSH SHARMA</t>
  </si>
  <si>
    <t>hsharma4_be25</t>
  </si>
  <si>
    <t>hsharma4_be25@thapar.edu</t>
  </si>
  <si>
    <t>1025030715</t>
  </si>
  <si>
    <t>GIRICK SHARMA</t>
  </si>
  <si>
    <t>gsharma_be25</t>
  </si>
  <si>
    <t>gsharma_be25@thapar.edu</t>
  </si>
  <si>
    <t>1025030723</t>
  </si>
  <si>
    <t>PARTH BANSAL</t>
  </si>
  <si>
    <t>Archit Narang</t>
  </si>
  <si>
    <t>pbansal2_be25</t>
  </si>
  <si>
    <t>pbansal2_be25@thapar.edu</t>
  </si>
  <si>
    <t>1025030700</t>
  </si>
  <si>
    <t>KHAWAISH</t>
  </si>
  <si>
    <t>architnarang3107@gmail.com</t>
  </si>
  <si>
    <t>kkhawaish_be25</t>
  </si>
  <si>
    <t>kkhawaish_be25@thapar.edu</t>
  </si>
  <si>
    <t>1025030709</t>
  </si>
  <si>
    <t>GUNJAN</t>
  </si>
  <si>
    <t>ggunjan_be25</t>
  </si>
  <si>
    <t>ggunjan_be25@thapar.edu</t>
  </si>
  <si>
    <t>1025030708</t>
  </si>
  <si>
    <t>MANIT PATIAL</t>
  </si>
  <si>
    <t>anarayan_be25@thapar.edu</t>
  </si>
  <si>
    <t>mpatial_be25</t>
  </si>
  <si>
    <t>mpatial_be25@thapar.edu</t>
  </si>
  <si>
    <t>1025030702</t>
  </si>
  <si>
    <t>Abhishek Chaurasia</t>
  </si>
  <si>
    <t>SAKSHAM AHUJA</t>
  </si>
  <si>
    <t>sahuja_be25</t>
  </si>
  <si>
    <t>1025230131</t>
  </si>
  <si>
    <t>sahuja_be25@thapar.edu</t>
  </si>
  <si>
    <t>1025030699</t>
  </si>
  <si>
    <t>chaurasiaabhishek16032006@gmail.com</t>
  </si>
  <si>
    <t>SAKSHAM JINDAL</t>
  </si>
  <si>
    <t>sjindal_be25</t>
  </si>
  <si>
    <t>sjindal_be25@thapar.edu</t>
  </si>
  <si>
    <t>1025030706</t>
  </si>
  <si>
    <t>SAMARTH SINGLA</t>
  </si>
  <si>
    <t>ssingla_be25</t>
  </si>
  <si>
    <t>ssingla_be25@thapar.edu</t>
  </si>
  <si>
    <t>1025030710</t>
  </si>
  <si>
    <t>anarayan1_be25@thapar.edu</t>
  </si>
  <si>
    <t>PRAPTI TIWARI</t>
  </si>
  <si>
    <t>ptiwari1_be25</t>
  </si>
  <si>
    <t>ptiwari1_be25@thapar.edu</t>
  </si>
  <si>
    <t>Arka</t>
  </si>
  <si>
    <t>10250307011</t>
  </si>
  <si>
    <t>1025170056</t>
  </si>
  <si>
    <t>ANANYA GOYAL</t>
  </si>
  <si>
    <t>agoyal12_be25</t>
  </si>
  <si>
    <t>arka.narayan2005@gmail.com</t>
  </si>
  <si>
    <t>DHRUV GARG</t>
  </si>
  <si>
    <t>dgarg8_be25</t>
  </si>
  <si>
    <t>dgarg8_be25@thapar.edu</t>
  </si>
  <si>
    <t>1025030713</t>
  </si>
  <si>
    <t>PULKIT BHARDWAJ</t>
  </si>
  <si>
    <t>pbhardwaj2_be2</t>
  </si>
  <si>
    <t>pbhardwaj2_be25@thapar.edu</t>
  </si>
  <si>
    <t>1025030714</t>
  </si>
  <si>
    <t>anegi_be25@thapar.edu</t>
  </si>
  <si>
    <t>Aniruddha Kumar Negi</t>
  </si>
  <si>
    <t>ARYAN BIST</t>
  </si>
  <si>
    <t>abist_be25</t>
  </si>
  <si>
    <t>1025160079</t>
  </si>
  <si>
    <t>aniruddha.mintu7@gmail.com</t>
  </si>
  <si>
    <t>CHIRAG JINDAL</t>
  </si>
  <si>
    <t>cjindal_be25</t>
  </si>
  <si>
    <t>cjindal_be25@thapar.edu</t>
  </si>
  <si>
    <t>1025030722</t>
  </si>
  <si>
    <t>SOUDHRIZ PAL</t>
  </si>
  <si>
    <t>spal_be25</t>
  </si>
  <si>
    <t>spal_be25@thapar.edu</t>
  </si>
  <si>
    <t>1025031046</t>
  </si>
  <si>
    <t>anshulchry27@gmail.com</t>
  </si>
  <si>
    <t>TEJAS GUPTA</t>
  </si>
  <si>
    <t>tgupta8_be25</t>
  </si>
  <si>
    <t>tgupta8_be25@thapar.edu</t>
  </si>
  <si>
    <t>1025030748</t>
  </si>
  <si>
    <t>Anshul Chaudhary</t>
  </si>
  <si>
    <t>ATTENDANCE_URL</t>
  </si>
  <si>
    <t>1025090127</t>
  </si>
  <si>
    <t>JIGYASU MITTAL</t>
  </si>
  <si>
    <t>jmittal_be25</t>
  </si>
  <si>
    <t>https://subhrendu1987.github.io/course/attendance/</t>
  </si>
  <si>
    <t>jmittal_be25@thapar.edu</t>
  </si>
  <si>
    <t>1025030733</t>
  </si>
  <si>
    <t>RACHIT GARG</t>
  </si>
  <si>
    <t>rgarg4_be25</t>
  </si>
  <si>
    <t>rgarg4_be25@thapar.edu</t>
  </si>
  <si>
    <t>1025030729</t>
  </si>
  <si>
    <t>6714735</t>
  </si>
  <si>
    <t>HANU JINDAL</t>
  </si>
  <si>
    <t>hjindal_be25</t>
  </si>
  <si>
    <t>hjindal_be25@thapar.edu</t>
  </si>
  <si>
    <t>1025030742</t>
  </si>
  <si>
    <t>Akshat Ojha</t>
  </si>
  <si>
    <t>RISHIKA DHAR</t>
  </si>
  <si>
    <t>rdhar_be25</t>
  </si>
  <si>
    <t>rdhar_be25@thapar.edu</t>
  </si>
  <si>
    <t>1025030745</t>
  </si>
  <si>
    <t>akshatojha104@gmail.com</t>
  </si>
  <si>
    <t>mmanya1_be25</t>
  </si>
  <si>
    <t>mmanya1_be25@thapar.edu</t>
  </si>
  <si>
    <t>10250730</t>
  </si>
  <si>
    <t>TARUN GUPTA</t>
  </si>
  <si>
    <t>tgupta7_be25</t>
  </si>
  <si>
    <t>tgupta7_be25@thapar.edu</t>
  </si>
  <si>
    <t>1025030731</t>
  </si>
  <si>
    <t>apaintola_be25@gmail.com</t>
  </si>
  <si>
    <t>PRATHAM GUPTA</t>
  </si>
  <si>
    <t>Anvi Paintola</t>
  </si>
  <si>
    <t>pgupta8_be25</t>
  </si>
  <si>
    <t>pgupta8_be25@thapar.edu</t>
  </si>
  <si>
    <t>1025030725</t>
  </si>
  <si>
    <t>PRAVISHA SADHWANI</t>
  </si>
  <si>
    <t>anvipaintola.2025@gmail.com</t>
  </si>
  <si>
    <t>psadhwani_be25</t>
  </si>
  <si>
    <t>psadhwani_be25@thapar.edu</t>
  </si>
  <si>
    <t>1025030732</t>
  </si>
  <si>
    <t>Date</t>
  </si>
  <si>
    <t>SHIVIKA SIDHWANI</t>
  </si>
  <si>
    <t>ssidhwani_be25</t>
  </si>
  <si>
    <t>ssidhwani_be25@thapar.edu</t>
  </si>
  <si>
    <t>1025030744</t>
  </si>
  <si>
    <t>FANIZA RANI</t>
  </si>
  <si>
    <t>apandey_be25@thapar.edu</t>
  </si>
  <si>
    <t>frani1_be25</t>
  </si>
  <si>
    <t>frani1_be25@thapar.edu</t>
  </si>
  <si>
    <t>1025030734</t>
  </si>
  <si>
    <t>Aanya Pandey</t>
  </si>
  <si>
    <t>AKSHIT BANSAL</t>
  </si>
  <si>
    <t>1025230130</t>
  </si>
  <si>
    <t>abansal2_be25</t>
  </si>
  <si>
    <t>ImageUrl</t>
  </si>
  <si>
    <t>Aanyap74@gmail.com</t>
  </si>
  <si>
    <t>SAMRIDHI SHARMA</t>
  </si>
  <si>
    <t>MaxSerial</t>
  </si>
  <si>
    <t>ssharma7_be25</t>
  </si>
  <si>
    <t>ssharma7_be25@thapar.edu</t>
  </si>
  <si>
    <t>1025030631</t>
  </si>
  <si>
    <t>SHOURYA SINGH</t>
  </si>
  <si>
    <t>ssingh13_be25</t>
  </si>
  <si>
    <t>ssingh13_be25@thapar.edu</t>
  </si>
  <si>
    <t>1025030747</t>
  </si>
  <si>
    <t>VARUN JINDAL</t>
  </si>
  <si>
    <t>Apandey1_be25@thapar.edu</t>
  </si>
  <si>
    <t>vjindal1_be25</t>
  </si>
  <si>
    <t>vjindal1_be25@thapar.edu</t>
  </si>
  <si>
    <t>1025030737</t>
  </si>
  <si>
    <t>31_07_2026</t>
  </si>
  <si>
    <t>SANAY KHANNA</t>
  </si>
  <si>
    <t>skhanna1_be25</t>
  </si>
  <si>
    <t>skhanna1_be25@thapar.edu</t>
  </si>
  <si>
    <t>akshayom51@gmail.com</t>
  </si>
  <si>
    <t>1025030738</t>
  </si>
  <si>
    <t>2C7</t>
  </si>
  <si>
    <t>SAHIBPREET SINGH</t>
  </si>
  <si>
    <t>ssingh17_be25</t>
  </si>
  <si>
    <t>ssingh17_be25@thapar.edu</t>
  </si>
  <si>
    <t>1025030332</t>
  </si>
  <si>
    <t>HEMANT NEHRA</t>
  </si>
  <si>
    <t>hnehra_be25</t>
  </si>
  <si>
    <t>hnehra_be25@thapar.edu</t>
  </si>
  <si>
    <t>1025030739</t>
  </si>
  <si>
    <t>apandey2_be25@thapar.edu</t>
  </si>
  <si>
    <t>BHAVISHA</t>
  </si>
  <si>
    <t>Aadya Pandey</t>
  </si>
  <si>
    <t>bbhavisha_be25</t>
  </si>
  <si>
    <t>bbhavisha_be25@thapar.edu</t>
  </si>
  <si>
    <t>1025030746</t>
  </si>
  <si>
    <t>1025090053</t>
  </si>
  <si>
    <t>6714860</t>
  </si>
  <si>
    <t>KESHAV MEHTA</t>
  </si>
  <si>
    <t>kmehta1_be25</t>
  </si>
  <si>
    <t>kmehta1_be25@thapar.edu</t>
  </si>
  <si>
    <t>nilenatureas@gmail.com</t>
  </si>
  <si>
    <t>1025030727</t>
  </si>
  <si>
    <t>NEEL MITTAL</t>
  </si>
  <si>
    <t>nmittal_be25</t>
  </si>
  <si>
    <t>nmittal_be25@thapar.edu</t>
  </si>
  <si>
    <t>1025030740</t>
  </si>
  <si>
    <t>BHAVYA VERMA</t>
  </si>
  <si>
    <t>bverma_be25</t>
  </si>
  <si>
    <t>bverma_be25@thapar.edu</t>
  </si>
  <si>
    <t>1025030750</t>
  </si>
  <si>
    <t>MANSIMAR KAUR</t>
  </si>
  <si>
    <t>04_08_2026</t>
  </si>
  <si>
    <t>Apandey3_be25@thapar.edu</t>
  </si>
  <si>
    <t>mkaur4_be25</t>
  </si>
  <si>
    <t>mkaur4_be25@thapar.edu</t>
  </si>
  <si>
    <t>1025031086</t>
  </si>
  <si>
    <t>Aryan Pandey</t>
  </si>
  <si>
    <t>2C4</t>
  </si>
  <si>
    <t>KRITIKA GOYAL</t>
  </si>
  <si>
    <t>kgoyal1_be25</t>
  </si>
  <si>
    <t>kgoyal1_be25@thapar.edu</t>
  </si>
  <si>
    <t>1025030754</t>
  </si>
  <si>
    <t>1025160078</t>
  </si>
  <si>
    <t>Aryanpandeycs12@gmail.com</t>
  </si>
  <si>
    <t>MANIT GUPTA</t>
  </si>
  <si>
    <t>mgupta_be25</t>
  </si>
  <si>
    <t>mgupta_be25@thapar.edu</t>
  </si>
  <si>
    <t>1025030761</t>
  </si>
  <si>
    <t>GARVIT GUPTA</t>
  </si>
  <si>
    <t>ggupta1_be25</t>
  </si>
  <si>
    <t>ggupta1_be25@thapar.edu</t>
  </si>
  <si>
    <t>1025030752</t>
  </si>
  <si>
    <t>ABHIMANYU MEHTA</t>
  </si>
  <si>
    <t>amehta2_be25</t>
  </si>
  <si>
    <t>HARLEEN KAUR</t>
  </si>
  <si>
    <t>hkaur14_be25</t>
  </si>
  <si>
    <t>hkaur14_be25@thapar.edu</t>
  </si>
  <si>
    <t>1026030767</t>
  </si>
  <si>
    <t>Agamya Pandey</t>
  </si>
  <si>
    <t>PRIYANSH JAIN</t>
  </si>
  <si>
    <t>pjain5_be25</t>
  </si>
  <si>
    <t>pjain5_be25@thapar.edu</t>
  </si>
  <si>
    <t>1025030756</t>
  </si>
  <si>
    <t>NANDINI</t>
  </si>
  <si>
    <t>nnandini_be25</t>
  </si>
  <si>
    <t>nnandini_be25@thapar.edu</t>
  </si>
  <si>
    <t>1025030762</t>
  </si>
  <si>
    <t>JASLEEN KAUR KAINTH</t>
  </si>
  <si>
    <t>jkainth_be25</t>
  </si>
  <si>
    <t>jkainth_be25@thapar.edu</t>
  </si>
  <si>
    <t>1025030766</t>
  </si>
  <si>
    <t>test</t>
  </si>
  <si>
    <t>AAGAM JAIN</t>
  </si>
  <si>
    <t>ajain_be25</t>
  </si>
  <si>
    <t>apandey5_be25@thapar.edu</t>
  </si>
  <si>
    <t>KANISHKA JAIN</t>
  </si>
  <si>
    <t>kjain_be25</t>
  </si>
  <si>
    <t>kjain_be25@thapar.edu</t>
  </si>
  <si>
    <t>Ashutosh kumar pandey</t>
  </si>
  <si>
    <t>1025030765</t>
  </si>
  <si>
    <t>1025170473</t>
  </si>
  <si>
    <t>THEA AGGARWAL</t>
  </si>
  <si>
    <t>taggarwal_be25</t>
  </si>
  <si>
    <t>pandeyashutosh79730@gmail.com</t>
  </si>
  <si>
    <t>taggarwal_be25@thapar.edu</t>
  </si>
  <si>
    <t>1025030771</t>
  </si>
  <si>
    <t>DHRUVI AGGARWAL</t>
  </si>
  <si>
    <t>daggarwal1_be2</t>
  </si>
  <si>
    <t>daggarwal1_be25@thapar.edu</t>
  </si>
  <si>
    <t>1025030764</t>
  </si>
  <si>
    <t>apatidar_be25@thapar.edu</t>
  </si>
  <si>
    <t>SHRESHTHA KAPOOR</t>
  </si>
  <si>
    <t>skapoor1_be25</t>
  </si>
  <si>
    <t>skapoor1_be25@thapar.edu</t>
  </si>
  <si>
    <t>1025030778</t>
  </si>
  <si>
    <t>Ankur Patidar</t>
  </si>
  <si>
    <t>DIVYANSH MODAWAL</t>
  </si>
  <si>
    <t>dmodawal_be25</t>
  </si>
  <si>
    <t>1025090076</t>
  </si>
  <si>
    <t>dmodawal_be25@thapar.edu</t>
  </si>
  <si>
    <t>1025030759</t>
  </si>
  <si>
    <t>SHAURYA JAIN</t>
  </si>
  <si>
    <t>sjain10_be25</t>
  </si>
  <si>
    <t>sjain10_be25@thapar.edu</t>
  </si>
  <si>
    <t>1025030755</t>
  </si>
  <si>
    <t>KISHITA ARORA</t>
  </si>
  <si>
    <t>karora2_be25</t>
  </si>
  <si>
    <t>karora2_be25@thapar.edu</t>
  </si>
  <si>
    <t>1025031058</t>
  </si>
  <si>
    <t>PRATHAM BATHLA</t>
  </si>
  <si>
    <t>pbathla_be25</t>
  </si>
  <si>
    <t>pbathla_be25@thapar.edu</t>
  </si>
  <si>
    <t>1025030751</t>
  </si>
  <si>
    <t>6772027</t>
  </si>
  <si>
    <t>ANUSHKA AGRAWAL</t>
  </si>
  <si>
    <t>aagrawal3_be25</t>
  </si>
  <si>
    <t>Aryan Patil</t>
  </si>
  <si>
    <t>aagrawal3_be25@thapar.edu</t>
  </si>
  <si>
    <t>EMAANJIT SINGH SANDHU</t>
  </si>
  <si>
    <t>patilaryan0156@gmail.com</t>
  </si>
  <si>
    <t>esandhu_be25</t>
  </si>
  <si>
    <t>esandhu_be25@thapar.edu</t>
  </si>
  <si>
    <t>1025030768</t>
  </si>
  <si>
    <t>KUSHAGRA BANSAL</t>
  </si>
  <si>
    <t>kbansal3_be25</t>
  </si>
  <si>
    <t>kbansal3_be25@thapar.edu</t>
  </si>
  <si>
    <t>1025030753</t>
  </si>
  <si>
    <t>apratap_be25@thapar.edu</t>
  </si>
  <si>
    <t>SIMMAR SANDHU</t>
  </si>
  <si>
    <t>ssandhu1_be25</t>
  </si>
  <si>
    <t>ssandhu1_be25@thapar.edu</t>
  </si>
  <si>
    <t>1025030769</t>
  </si>
  <si>
    <t>Abhay Pratap</t>
  </si>
  <si>
    <t>1025170287</t>
  </si>
  <si>
    <t>HARSH JAIN</t>
  </si>
  <si>
    <t>hjain1_be25</t>
  </si>
  <si>
    <t>hjain1_be25@thapar.edu</t>
  </si>
  <si>
    <t>p964961@gmail.com</t>
  </si>
  <si>
    <t>1025030774</t>
  </si>
  <si>
    <t>PARIDHI SOOD</t>
  </si>
  <si>
    <t>psood_be25</t>
  </si>
  <si>
    <t>psood_be25@thapar.edu</t>
  </si>
  <si>
    <t>1025030787</t>
  </si>
  <si>
    <t>AKARSH KHANDELWAL</t>
  </si>
  <si>
    <t>akhandelwal_be</t>
  </si>
  <si>
    <t>apundir_be25@thapar.edu</t>
  </si>
  <si>
    <t>AASHMIT MEHROTRA</t>
  </si>
  <si>
    <t>Aditi Pundir</t>
  </si>
  <si>
    <t>amehrotra_be25</t>
  </si>
  <si>
    <t>1025170356</t>
  </si>
  <si>
    <t>YOJAN GOYAL</t>
  </si>
  <si>
    <t>ygoyal_be25</t>
  </si>
  <si>
    <t>ygoyal_be25@thapar.edu</t>
  </si>
  <si>
    <t>aditipundir0410@gmail.com</t>
  </si>
  <si>
    <t>1025030794</t>
  </si>
  <si>
    <t>SHIVANSH VERMA</t>
  </si>
  <si>
    <t>sverma4_be25</t>
  </si>
  <si>
    <t>sverma4_be25@thapar.edu</t>
  </si>
  <si>
    <t>1025030670</t>
  </si>
  <si>
    <t>ANANT TIWARI</t>
  </si>
  <si>
    <t>atiwari1_be25</t>
  </si>
  <si>
    <t>atiwari1_be25@thapar.edu</t>
  </si>
  <si>
    <t>1025031051</t>
  </si>
  <si>
    <t>apuri_be25@thapar.edu</t>
  </si>
  <si>
    <t>Aayush Puri</t>
  </si>
  <si>
    <t>RAMANDEEP KAUR</t>
  </si>
  <si>
    <t>rkaur4_be25</t>
  </si>
  <si>
    <t>rkaur4_be25@thapar.edu</t>
  </si>
  <si>
    <t>1025170361</t>
  </si>
  <si>
    <t>1025030800</t>
  </si>
  <si>
    <t>aayushpuri05@gmail.com</t>
  </si>
  <si>
    <t>PRACHI SHARMA</t>
  </si>
  <si>
    <t>psharma3_be25</t>
  </si>
  <si>
    <t>psharma3_be25@thapar.edu</t>
  </si>
  <si>
    <t>1025030797</t>
  </si>
  <si>
    <t>VIKRANT SINGH</t>
  </si>
  <si>
    <t>vsingh2_be25</t>
  </si>
  <si>
    <t>vsingh2_be25@thapar.edu</t>
  </si>
  <si>
    <t>1025030802</t>
  </si>
  <si>
    <t>MANYA BANSAL</t>
  </si>
  <si>
    <t>mbansal1_be25</t>
  </si>
  <si>
    <t>mbansal1_be25@thapar.edu</t>
  </si>
  <si>
    <t>1025030782</t>
  </si>
  <si>
    <t>JIGYASA CHADDHA</t>
  </si>
  <si>
    <t>akshitpuri1845.k@gmail.com</t>
  </si>
  <si>
    <t>jchaddha_be25</t>
  </si>
  <si>
    <t>6811784</t>
  </si>
  <si>
    <t>jchaddha_be25@thapar.edu</t>
  </si>
  <si>
    <t>1025030804</t>
  </si>
  <si>
    <t>PRACHI AGARWAL</t>
  </si>
  <si>
    <t>pagarwal_be25</t>
  </si>
  <si>
    <t>pagarwal_be25@thapar.edu</t>
  </si>
  <si>
    <t>1025030803</t>
  </si>
  <si>
    <t>AARUSH THAREJA</t>
  </si>
  <si>
    <t>athareja_be25</t>
  </si>
  <si>
    <t>athareja_be25@thapar.edu</t>
  </si>
  <si>
    <t>1025030784</t>
  </si>
  <si>
    <t>VIKRAMJIT SINGH</t>
  </si>
  <si>
    <t>vsingh8_be25</t>
  </si>
  <si>
    <t>vsingh8_be25@thapar.edu</t>
  </si>
  <si>
    <t>Arshia raina</t>
  </si>
  <si>
    <t>1025030801</t>
  </si>
  <si>
    <t>KUSHAGR PANDEY</t>
  </si>
  <si>
    <t>kpandey_be25</t>
  </si>
  <si>
    <t>kpandey_be25@thapar.edu</t>
  </si>
  <si>
    <t>1025030788</t>
  </si>
  <si>
    <t>arshiaraina2007@gmail.com</t>
  </si>
  <si>
    <t>JIYA GUPTA</t>
  </si>
  <si>
    <t>jgupta_be25</t>
  </si>
  <si>
    <t>jgupta_be25@thapar.edu</t>
  </si>
  <si>
    <t>1025031057</t>
  </si>
  <si>
    <t>YASH VARDHAN CHARAN</t>
  </si>
  <si>
    <t>ycharan_be25</t>
  </si>
  <si>
    <t>ycharan_be25@thapar.edu</t>
  </si>
  <si>
    <t>1025030790</t>
  </si>
  <si>
    <t>REHAN SHAH</t>
  </si>
  <si>
    <t>rshah_be25</t>
  </si>
  <si>
    <t>rshah_be25@thapar.edu</t>
  </si>
  <si>
    <t>1025030776</t>
  </si>
  <si>
    <t>araj_be25@thapar.edu</t>
  </si>
  <si>
    <t>Aditya Raj</t>
  </si>
  <si>
    <t>ARNESH CHAKRABARTI</t>
  </si>
  <si>
    <t>achakrabarti_b</t>
  </si>
  <si>
    <t>araj38467@gmail.com</t>
  </si>
  <si>
    <t>ANANT SINGH RATHORE</t>
  </si>
  <si>
    <t>arathore_be25</t>
  </si>
  <si>
    <t>arathore_be25@thapar.edu</t>
  </si>
  <si>
    <t>1025030789</t>
  </si>
  <si>
    <t>SAANVI MOHLA</t>
  </si>
  <si>
    <t>smohla_be25</t>
  </si>
  <si>
    <t>smohla_be25@thapar.edu</t>
  </si>
  <si>
    <t>1025030780</t>
  </si>
  <si>
    <t>SHIVAIN AMIT AGGARWAL</t>
  </si>
  <si>
    <t>saggarwal_be25</t>
  </si>
  <si>
    <t>saggarwal_be25@thapar.edu</t>
  </si>
  <si>
    <t>araj1_be25@gmail.com</t>
  </si>
  <si>
    <t>1025030777</t>
  </si>
  <si>
    <t>Aryan Jaryal</t>
  </si>
  <si>
    <t>ISHEET SHARMA</t>
  </si>
  <si>
    <t>isharma3_be25</t>
  </si>
  <si>
    <t>isharma3_be25@thapar.edu</t>
  </si>
  <si>
    <t>1025170327</t>
  </si>
  <si>
    <t>1025030791</t>
  </si>
  <si>
    <t>aryanjaryal2507@gmail.com</t>
  </si>
  <si>
    <t>ALOK KUMAR</t>
  </si>
  <si>
    <t>akumar6_be25</t>
  </si>
  <si>
    <t>RAGHAV KAPURIA</t>
  </si>
  <si>
    <t>rkapuria_be25</t>
  </si>
  <si>
    <t>rkapuria_be25@thapar.edu</t>
  </si>
  <si>
    <t>1025030786</t>
  </si>
  <si>
    <t>SANCHITA JAIN</t>
  </si>
  <si>
    <t>sjain1_be25</t>
  </si>
  <si>
    <t>sjain1_be25@thapar.edu</t>
  </si>
  <si>
    <t>1025030796</t>
  </si>
  <si>
    <t>7081514</t>
  </si>
  <si>
    <t>Adil Ralhan</t>
  </si>
  <si>
    <t>TANISH CHAWLA</t>
  </si>
  <si>
    <t>tchawla_be25</t>
  </si>
  <si>
    <t>tchawla_be25@thapar.edu</t>
  </si>
  <si>
    <t>1025030785</t>
  </si>
  <si>
    <t>adilralhan2366@gmail.con</t>
  </si>
  <si>
    <t>DHRUV KUMAR</t>
  </si>
  <si>
    <t>dkumar2_be25</t>
  </si>
  <si>
    <t>dkumar2_be25@thapar.edu</t>
  </si>
  <si>
    <t>1025030808</t>
  </si>
  <si>
    <t>VISHU KILHOR</t>
  </si>
  <si>
    <t>vkilhor_be25</t>
  </si>
  <si>
    <t>vkilhor_be25@thapar.edu</t>
  </si>
  <si>
    <t>1025030818</t>
  </si>
  <si>
    <t>Aditi Rathi</t>
  </si>
  <si>
    <t>SAURABH PANDEY</t>
  </si>
  <si>
    <t>spandey1_be25</t>
  </si>
  <si>
    <t>spandey1_be25@thapar.edu</t>
  </si>
  <si>
    <t>1025030821</t>
  </si>
  <si>
    <t>aditi.rathi2907@gmail.com</t>
  </si>
  <si>
    <t>JHALAK</t>
  </si>
  <si>
    <t>jjhalak_be25</t>
  </si>
  <si>
    <t>jjhalak_be25@thapar.edu</t>
  </si>
  <si>
    <t>1025030834</t>
  </si>
  <si>
    <t>mmohit_be25</t>
  </si>
  <si>
    <t>mmohit_be25@thapar.edu</t>
  </si>
  <si>
    <t>1025030817</t>
  </si>
  <si>
    <t>ABHAAS ARORA</t>
  </si>
  <si>
    <t>aarora8_be25</t>
  </si>
  <si>
    <t>Anant Singh Rathore</t>
  </si>
  <si>
    <t>ADITYA TANWAR</t>
  </si>
  <si>
    <t>anantsinghrathore97@gmail.com</t>
  </si>
  <si>
    <t>atanwar1_be25</t>
  </si>
  <si>
    <t>atanwar1_be25@thapar.edu</t>
  </si>
  <si>
    <t>1025031094</t>
  </si>
  <si>
    <t>BISWARUP NAG</t>
  </si>
  <si>
    <t>bnag_be25</t>
  </si>
  <si>
    <t>bnag_be25@thapar.edu</t>
  </si>
  <si>
    <t>1025030798</t>
  </si>
  <si>
    <t>SANYAM SHARMA</t>
  </si>
  <si>
    <t>ssharma9_be25</t>
  </si>
  <si>
    <t>ssharma9_be25@thapar.edu</t>
  </si>
  <si>
    <t>1025030810</t>
  </si>
  <si>
    <t>Arathore1_be25@thapar.edu</t>
  </si>
  <si>
    <t>SAANVI VERMA</t>
  </si>
  <si>
    <t>sverma1_be25</t>
  </si>
  <si>
    <t>sverma1_be25@thapar.edu</t>
  </si>
  <si>
    <t>Anushka Rathore</t>
  </si>
  <si>
    <t>1025030812</t>
  </si>
  <si>
    <t>bgarg1_be25</t>
  </si>
  <si>
    <t>bgarg1_be25@thapar.edu</t>
  </si>
  <si>
    <t>1025030806</t>
  </si>
  <si>
    <t>bbhavya1_be25</t>
  </si>
  <si>
    <t>bbhavya1_be25@thapar.edu</t>
  </si>
  <si>
    <t>1025030831</t>
  </si>
  <si>
    <t>7232209</t>
  </si>
  <si>
    <t>VANSH NEMA</t>
  </si>
  <si>
    <t>vnema_be25</t>
  </si>
  <si>
    <t>vnema_be25@thapar.edu</t>
  </si>
  <si>
    <t>1025030820</t>
  </si>
  <si>
    <t>arawat2_be25@thapar.edu</t>
  </si>
  <si>
    <t>NIXIT SETIA</t>
  </si>
  <si>
    <t>nsetia_be25</t>
  </si>
  <si>
    <t>nsetia_be25@thapar.edu</t>
  </si>
  <si>
    <t>1025030823</t>
  </si>
  <si>
    <t>Aditya Rawat</t>
  </si>
  <si>
    <t>GURSIFAT SINGH KOHLI</t>
  </si>
  <si>
    <t>gkohli_be25</t>
  </si>
  <si>
    <t>gkohli_be25@thapar.edu</t>
  </si>
  <si>
    <t>1025170328</t>
  </si>
  <si>
    <t>1025030816</t>
  </si>
  <si>
    <t>adirawat92ddn@gmail.com</t>
  </si>
  <si>
    <t>PRACHI ARORA</t>
  </si>
  <si>
    <t>parora3_be25</t>
  </si>
  <si>
    <t>parora3_be25@thapar.edu</t>
  </si>
  <si>
    <t>1025030833</t>
  </si>
  <si>
    <t>ROHAK KUMAR</t>
  </si>
  <si>
    <t>rkumar2_be25</t>
  </si>
  <si>
    <t>rkumar2_be25@thapar.edu</t>
  </si>
  <si>
    <t>1025030828</t>
  </si>
  <si>
    <t>arohilla_be25@thapar.edu</t>
  </si>
  <si>
    <t>AKRITI</t>
  </si>
  <si>
    <t>aakriti_be25</t>
  </si>
  <si>
    <t>Aditya Rohilla</t>
  </si>
  <si>
    <t>aakriti_be25@thapar.edu</t>
  </si>
  <si>
    <t>1025170382</t>
  </si>
  <si>
    <t>KASHISH</t>
  </si>
  <si>
    <t>aditya240407@gmail.com</t>
  </si>
  <si>
    <t>kkashish_be25</t>
  </si>
  <si>
    <t>kkashish_be25@thapar.edu</t>
  </si>
  <si>
    <t>1025030832</t>
  </si>
  <si>
    <t>NAVDEEP</t>
  </si>
  <si>
    <t>nnavdeep_be25</t>
  </si>
  <si>
    <t>nnavdeep_be25@thapar.edu</t>
  </si>
  <si>
    <t>1025030811</t>
  </si>
  <si>
    <t>SHRAY UPPAL</t>
  </si>
  <si>
    <t>suppal_be25</t>
  </si>
  <si>
    <t>aroy_be25@thapar.edu</t>
  </si>
  <si>
    <t>suppal_be25@thapar.edu</t>
  </si>
  <si>
    <t>1025030815</t>
  </si>
  <si>
    <t>AAYUSH ROY</t>
  </si>
  <si>
    <t>BHOOMI</t>
  </si>
  <si>
    <t>bbhoomi_be25</t>
  </si>
  <si>
    <t>1025230011</t>
  </si>
  <si>
    <t>bbhoomi_be25@thapar.edu</t>
  </si>
  <si>
    <t>1025030829</t>
  </si>
  <si>
    <t>aayushroy1105@gmail.com</t>
  </si>
  <si>
    <t>DIVYAM GOYAL</t>
  </si>
  <si>
    <t>dgoyal1_be25</t>
  </si>
  <si>
    <t>dgoyal1_be25@thapar.edu</t>
  </si>
  <si>
    <t>1025030807</t>
  </si>
  <si>
    <t>RIDHIMA NANDA</t>
  </si>
  <si>
    <t>rnanda_be25</t>
  </si>
  <si>
    <t>rnanda_be25@thapar.edu</t>
  </si>
  <si>
    <t>1025030825</t>
  </si>
  <si>
    <t>RIDHI PURI</t>
  </si>
  <si>
    <t>rpuri_be25</t>
  </si>
  <si>
    <t>Amish Sachdeva</t>
  </si>
  <si>
    <t>rpuri_be25@thapar.edu</t>
  </si>
  <si>
    <t>7243464</t>
  </si>
  <si>
    <t>1025030826</t>
  </si>
  <si>
    <t>amishsachdeva2006@gmail.com</t>
  </si>
  <si>
    <t>MEHUL BANSAL</t>
  </si>
  <si>
    <t>mbansal2_be25</t>
  </si>
  <si>
    <t>mbansal2_be25@thapar.edu</t>
  </si>
  <si>
    <t>1025030824</t>
  </si>
  <si>
    <t>MOHIN GOYAL</t>
  </si>
  <si>
    <t>mgoyal4_be25</t>
  </si>
  <si>
    <t>mgoyal4_be25@thapar.edu</t>
  </si>
  <si>
    <t>1025030830</t>
  </si>
  <si>
    <t>asachdeva1_be25@thapar.edu</t>
  </si>
  <si>
    <t>MANYA GARG</t>
  </si>
  <si>
    <t>mgarg3_be25</t>
  </si>
  <si>
    <t>mgarg3_be25@thapar.edu</t>
  </si>
  <si>
    <t>1025030822</t>
  </si>
  <si>
    <t>Aanya Sachdeva</t>
  </si>
  <si>
    <t>1025090017</t>
  </si>
  <si>
    <t>JUHI ARORA</t>
  </si>
  <si>
    <t>jarora_be25</t>
  </si>
  <si>
    <t>jarora_be25@thapar.edu</t>
  </si>
  <si>
    <t>1025030827</t>
  </si>
  <si>
    <t>RIDDHI SHARMA</t>
  </si>
  <si>
    <t>rsharma3_be25</t>
  </si>
  <si>
    <t>rsharma3_be25@thapar.edu</t>
  </si>
  <si>
    <t>1025030851</t>
  </si>
  <si>
    <t>RAUNAKJEET SINGH NAGPAL</t>
  </si>
  <si>
    <t>asah_be25@thapar.edu</t>
  </si>
  <si>
    <t>rnagpal_be25</t>
  </si>
  <si>
    <t>rnagpal_be25@thapar.edu</t>
  </si>
  <si>
    <t>1025031064</t>
  </si>
  <si>
    <t>Aadarsh Kumar Sah</t>
  </si>
  <si>
    <t>1025170459</t>
  </si>
  <si>
    <t>DEVANSH SHARMA</t>
  </si>
  <si>
    <t>dsharma1_be25</t>
  </si>
  <si>
    <t>dsharma1_be25@thapar.edu</t>
  </si>
  <si>
    <t>aadarshkumarsah18@gmail.com</t>
  </si>
  <si>
    <t>1025031055</t>
  </si>
  <si>
    <t>MOHIT KUMAR</t>
  </si>
  <si>
    <t>mkumar_be25</t>
  </si>
  <si>
    <t>mkumar_be25@thapar.edu</t>
  </si>
  <si>
    <t>1025030859</t>
  </si>
  <si>
    <t>TANISHA DUBEY</t>
  </si>
  <si>
    <t>tdubey_be25</t>
  </si>
  <si>
    <t>tdubey_be25@thapar.edu</t>
  </si>
  <si>
    <t>1025030844</t>
  </si>
  <si>
    <t>Adwitiya Saha</t>
  </si>
  <si>
    <t>KSHIRIN THAKUR</t>
  </si>
  <si>
    <t>kthakur_be25</t>
  </si>
  <si>
    <t>kthakur_be25@thapar.edu</t>
  </si>
  <si>
    <t>1025030847</t>
  </si>
  <si>
    <t>bgoyal2_be25</t>
  </si>
  <si>
    <t>bgoyal2_be25@thapar.edu</t>
  </si>
  <si>
    <t>7247431</t>
  </si>
  <si>
    <t>1025030852</t>
  </si>
  <si>
    <t>ADIL CHHABRA</t>
  </si>
  <si>
    <t>Aryaman Saini</t>
  </si>
  <si>
    <t>achhabra_be25</t>
  </si>
  <si>
    <t>aryamansaini2007@gmail.com</t>
  </si>
  <si>
    <t>SHIVAM</t>
  </si>
  <si>
    <t>sshivam_be25</t>
  </si>
  <si>
    <t>sshivam_be25@thapar.edu</t>
  </si>
  <si>
    <t>1025030839</t>
  </si>
  <si>
    <t>RISHIT GARG</t>
  </si>
  <si>
    <t>rgarg7_be25</t>
  </si>
  <si>
    <t>rgarg7_be25@thapar.edu</t>
  </si>
  <si>
    <t>1025030840</t>
  </si>
  <si>
    <t>Asaini5_be25@thapar.edu</t>
  </si>
  <si>
    <t>Arush Saini</t>
  </si>
  <si>
    <t>ANIRUDH</t>
  </si>
  <si>
    <t>aanirudh_be25</t>
  </si>
  <si>
    <t>102523003q</t>
  </si>
  <si>
    <t>Arushsaini263@gmail.com</t>
  </si>
  <si>
    <t>ARAYANA</t>
  </si>
  <si>
    <t>aarayana_be25</t>
  </si>
  <si>
    <t>ARJUN</t>
  </si>
  <si>
    <t>aarjun_be25</t>
  </si>
  <si>
    <t>asakhuja_be25@thapar.edu</t>
  </si>
  <si>
    <t>SWASTIK</t>
  </si>
  <si>
    <t>sswastik_be25</t>
  </si>
  <si>
    <t>sswastik_be25@thapar.edu</t>
  </si>
  <si>
    <t>1025030857</t>
  </si>
  <si>
    <t>ANURAG SHUKLA</t>
  </si>
  <si>
    <t>ashukla2_be25</t>
  </si>
  <si>
    <t>ashukla2_be25@thapar.edu</t>
  </si>
  <si>
    <t>1025030846</t>
  </si>
  <si>
    <t>Aakarsh Sakhuja</t>
  </si>
  <si>
    <t>SHREYA KHOSLA</t>
  </si>
  <si>
    <t>skhosla_be25</t>
  </si>
  <si>
    <t>skhosla_be25@thapar.edu</t>
  </si>
  <si>
    <t>1025170131</t>
  </si>
  <si>
    <t>1025030853</t>
  </si>
  <si>
    <t>AKSHAT PRATAP SINGH SOLANKI</t>
  </si>
  <si>
    <t>asingh44_be25</t>
  </si>
  <si>
    <t>sakhujaaakarsh@gmail.com</t>
  </si>
  <si>
    <t>asingh44_be25@thapar.edu</t>
  </si>
  <si>
    <t>1025030845</t>
  </si>
  <si>
    <t>RISHAB JAIN</t>
  </si>
  <si>
    <t>rjain7_be25</t>
  </si>
  <si>
    <t>rjain7_be25@thapar.edu</t>
  </si>
  <si>
    <t>1025030843</t>
  </si>
  <si>
    <t>SAKSHAM CHADDA</t>
  </si>
  <si>
    <t>schadda_be25</t>
  </si>
  <si>
    <t>schadda_be25@thapar.edu</t>
  </si>
  <si>
    <t>1025030854</t>
  </si>
  <si>
    <t>asalgotra_be25@thapar.edu</t>
  </si>
  <si>
    <t>Aarit Salgotra</t>
  </si>
  <si>
    <t>GRAUNIT SINGLA</t>
  </si>
  <si>
    <t>gsingla_be25</t>
  </si>
  <si>
    <t>gsingla_be25@thapar.edu</t>
  </si>
  <si>
    <t>1025090072</t>
  </si>
  <si>
    <t>1025031068</t>
  </si>
  <si>
    <t>aaritsalgotra@gmail.com</t>
  </si>
  <si>
    <t>PRATEEK CHAUDHURI</t>
  </si>
  <si>
    <t>pchaudhuri_be2</t>
  </si>
  <si>
    <t>pchaudhuri_be25@thapar.edu</t>
  </si>
  <si>
    <t>1025030856</t>
  </si>
  <si>
    <t>2L13</t>
  </si>
  <si>
    <t>AMISH MITTAL</t>
  </si>
  <si>
    <t>amittal1_be25</t>
  </si>
  <si>
    <t>amittal1_be25@thapar.edu</t>
  </si>
  <si>
    <t>1025030858</t>
  </si>
  <si>
    <t>SHAARVI TRIPATHI</t>
  </si>
  <si>
    <t>stripathi_be25</t>
  </si>
  <si>
    <t>Abhijeet Singh sandhu</t>
  </si>
  <si>
    <t>stripathi_be25@thapar.edu</t>
  </si>
  <si>
    <t>1025030850</t>
  </si>
  <si>
    <t>HARSHIL SHARMA</t>
  </si>
  <si>
    <t>Abhijeetsandhu25@gmail.com</t>
  </si>
  <si>
    <t>hsharma1_be25</t>
  </si>
  <si>
    <t>hsharma1_be25@thapar.edu</t>
  </si>
  <si>
    <t>1025030835</t>
  </si>
  <si>
    <t>7248692</t>
  </si>
  <si>
    <t>ABHAY PRATAP SINGH</t>
  </si>
  <si>
    <t>asingh3_be25</t>
  </si>
  <si>
    <t>asingh3_be25@thapar.edu</t>
  </si>
  <si>
    <t>1025030837</t>
  </si>
  <si>
    <t>JANIT GARG</t>
  </si>
  <si>
    <t>jgarg3_be25</t>
  </si>
  <si>
    <t>jgarg3_be25@thapar.edu</t>
  </si>
  <si>
    <t>1025030841</t>
  </si>
  <si>
    <t>asandhu3_be25@thapar.edu</t>
  </si>
  <si>
    <t>RAYHAN ZULFIKAR</t>
  </si>
  <si>
    <t>rzulfikar_be25</t>
  </si>
  <si>
    <t>rzulfikar_be25@thapar.edu</t>
  </si>
  <si>
    <t>Anmoldeep Singh Sandhu</t>
  </si>
  <si>
    <t>1025030864</t>
  </si>
  <si>
    <t>dipanmol534@gmail.com</t>
  </si>
  <si>
    <t>agoyal14_be25</t>
  </si>
  <si>
    <t>HARSHIL SINGHI</t>
  </si>
  <si>
    <t>hsinghi_be25</t>
  </si>
  <si>
    <t>hsinghi_be25@thapar.edu</t>
  </si>
  <si>
    <t>1025030866</t>
  </si>
  <si>
    <t>ANSHIKA</t>
  </si>
  <si>
    <t>aanshika_be25</t>
  </si>
  <si>
    <t>sangwana794@gmail.com</t>
  </si>
  <si>
    <t>PARTH MAHAJAN</t>
  </si>
  <si>
    <t>pmahajan_be25</t>
  </si>
  <si>
    <t>pmahajan_be25@thapar.edu</t>
  </si>
  <si>
    <t>1025030871</t>
  </si>
  <si>
    <t>RASHIL MIGLANI</t>
  </si>
  <si>
    <t>rmiglani_be25</t>
  </si>
  <si>
    <t>rmiglani_be25@thapar.edu</t>
  </si>
  <si>
    <t>1025030876</t>
  </si>
  <si>
    <t>AINESH CHAKRAVARTI</t>
  </si>
  <si>
    <t>Anushka Sati</t>
  </si>
  <si>
    <t>achakravarti_b</t>
  </si>
  <si>
    <t>achakravarti_be25@thapar.edu</t>
  </si>
  <si>
    <t>1025030868</t>
  </si>
  <si>
    <t>sati.anushka7@gmail.com</t>
  </si>
  <si>
    <t>YASHVI</t>
  </si>
  <si>
    <t>yyashvi_be25</t>
  </si>
  <si>
    <t>yyashvi_be25@thapar.edu</t>
  </si>
  <si>
    <t>1025030881</t>
  </si>
  <si>
    <t>ANGEL GUPTA</t>
  </si>
  <si>
    <t>agupta_be25</t>
  </si>
  <si>
    <t>agupta_be25@thapar.edu</t>
  </si>
  <si>
    <t>Abhyuday Saxena</t>
  </si>
  <si>
    <t>MOKSH JINDAL</t>
  </si>
  <si>
    <t>mjindal2_be25</t>
  </si>
  <si>
    <t>mjindal2_be25@thapar.edu</t>
  </si>
  <si>
    <t>1025030875</t>
  </si>
  <si>
    <t>abhyudays2006@gmail.com</t>
  </si>
  <si>
    <t>MAHI NAGPAL</t>
  </si>
  <si>
    <t>mnagpal_be25</t>
  </si>
  <si>
    <t>mnagpal_be25@thapar.edu</t>
  </si>
  <si>
    <t>1025030872</t>
  </si>
  <si>
    <t>ANANYA KANSAL</t>
  </si>
  <si>
    <t>akansal3_be25</t>
  </si>
  <si>
    <t>DIVANSHI SHARMA</t>
  </si>
  <si>
    <t>dsharma4_be25</t>
  </si>
  <si>
    <t>dsharma4_be25@thapar.edu</t>
  </si>
  <si>
    <t>1025030863</t>
  </si>
  <si>
    <t>Adrija Sen</t>
  </si>
  <si>
    <t>ARYAN KHOSLA</t>
  </si>
  <si>
    <t>akhosla1_be25</t>
  </si>
  <si>
    <t>asen_be25@thalar.</t>
  </si>
  <si>
    <t>DEVASHISH SINGH GUSAIN</t>
  </si>
  <si>
    <t>dgusain_be25</t>
  </si>
  <si>
    <t>dgusain_be25@thapar.edu</t>
  </si>
  <si>
    <t>1025030882</t>
  </si>
  <si>
    <t>7257627</t>
  </si>
  <si>
    <t>YAJAS CHOPRA</t>
  </si>
  <si>
    <t>ychopra_be25</t>
  </si>
  <si>
    <t>ychopra_be25@thapar.edu</t>
  </si>
  <si>
    <t>1025030880</t>
  </si>
  <si>
    <t>DISHA BANSAL</t>
  </si>
  <si>
    <t>dbansal2_be25</t>
  </si>
  <si>
    <t>dbansal2_be25@thapar.edu</t>
  </si>
  <si>
    <t>1025030877</t>
  </si>
  <si>
    <t>RHYTHM JINDAL</t>
  </si>
  <si>
    <t>rjindal_be25</t>
  </si>
  <si>
    <t>rjindal_be25@thapar.edu</t>
  </si>
  <si>
    <t>1025030870</t>
  </si>
  <si>
    <t>ASHIM KAPOOR</t>
  </si>
  <si>
    <t>akapoor_be25</t>
  </si>
  <si>
    <t>ANSH BANSAL</t>
  </si>
  <si>
    <t>abansal4_be25</t>
  </si>
  <si>
    <t>AKSHAY AHLAWAT</t>
  </si>
  <si>
    <t>aahlawat_be25</t>
  </si>
  <si>
    <t>AADYA AGARWAL</t>
  </si>
  <si>
    <t>aagarwal1_be25</t>
  </si>
  <si>
    <t>VISHESH VIJ</t>
  </si>
  <si>
    <t>Aditya Shahi</t>
  </si>
  <si>
    <t>vvij_be25</t>
  </si>
  <si>
    <t>vvij_be25@thapar.edu</t>
  </si>
  <si>
    <t>1025030873</t>
  </si>
  <si>
    <t>RAVI KUMAR YADAV</t>
  </si>
  <si>
    <t>ryadav1_be25</t>
  </si>
  <si>
    <t>ryadav1_be25@thapar.edu</t>
  </si>
  <si>
    <t>1025031073</t>
  </si>
  <si>
    <t>adityashahi2106@gmail.com</t>
  </si>
  <si>
    <t>dgarg11_be25</t>
  </si>
  <si>
    <t>dgarg11_be25@thapar.edu</t>
  </si>
  <si>
    <t>1025030867</t>
  </si>
  <si>
    <t>AARUSH ARORA</t>
  </si>
  <si>
    <t>aarora1_be25</t>
  </si>
  <si>
    <t>asharma10_be25@thapar.edu</t>
  </si>
  <si>
    <t>PRADYUMNA SHARMA</t>
  </si>
  <si>
    <t>psharma2_be25</t>
  </si>
  <si>
    <t>psharma2_be25@thapar.edu</t>
  </si>
  <si>
    <t>1025030891</t>
  </si>
  <si>
    <t>Anushtha Sharma</t>
  </si>
  <si>
    <t>HETAL BHASIN</t>
  </si>
  <si>
    <t>1025090057</t>
  </si>
  <si>
    <t>hbhasin_be25</t>
  </si>
  <si>
    <t>hbhasin_be25@thapar.edu</t>
  </si>
  <si>
    <t>1025030909</t>
  </si>
  <si>
    <t>anushthasharma1609@gmail.com</t>
  </si>
  <si>
    <t>VANSH VERMA</t>
  </si>
  <si>
    <t>vverma1_be25</t>
  </si>
  <si>
    <t>vverma1_be25@thapar.edu</t>
  </si>
  <si>
    <t>1025030907</t>
  </si>
  <si>
    <t>AGRIM GAUR</t>
  </si>
  <si>
    <t>agaur_be25</t>
  </si>
  <si>
    <t>agaur_be25@thapar.edu</t>
  </si>
  <si>
    <t>SAANVI GOYAL</t>
  </si>
  <si>
    <t>sgoyal3_be25</t>
  </si>
  <si>
    <t>sgoyal3_be25@thapar.edu</t>
  </si>
  <si>
    <t>1025030889</t>
  </si>
  <si>
    <t>PARTH JINDAL</t>
  </si>
  <si>
    <t>pjindal3_be25</t>
  </si>
  <si>
    <t>pjindal3_be25@thapar.edu</t>
  </si>
  <si>
    <t>Anushvi Sharma</t>
  </si>
  <si>
    <t>1025030897</t>
  </si>
  <si>
    <t>SRISHTI GUPTA</t>
  </si>
  <si>
    <t>sgupta20_be25</t>
  </si>
  <si>
    <t>sgupta20_be25@thapar.edu</t>
  </si>
  <si>
    <t>1025030906</t>
  </si>
  <si>
    <t>anushvi.sharma.0@gmail.com</t>
  </si>
  <si>
    <t>PRAKHAR MATHUR</t>
  </si>
  <si>
    <t>pmathur1_be25</t>
  </si>
  <si>
    <t>pmathur1_be25@thapar.edu</t>
  </si>
  <si>
    <t>1025030904</t>
  </si>
  <si>
    <t>7257882</t>
  </si>
  <si>
    <t>BHAVYA KAKRIA</t>
  </si>
  <si>
    <t>bkakria_be25</t>
  </si>
  <si>
    <t>bkakria_be25@thapar.edu</t>
  </si>
  <si>
    <t>1025030895</t>
  </si>
  <si>
    <t>PALAK BAGLA</t>
  </si>
  <si>
    <t>pbagla_be25</t>
  </si>
  <si>
    <t>pbagla_be25@thapar.edu</t>
  </si>
  <si>
    <t>Arnav Sharma</t>
  </si>
  <si>
    <t>1025030901</t>
  </si>
  <si>
    <t>SHREYANS BHARGAVA</t>
  </si>
  <si>
    <t>sbhargava_be25</t>
  </si>
  <si>
    <t>sbhargava_be25@thapar.edu</t>
  </si>
  <si>
    <t>1025030888</t>
  </si>
  <si>
    <t>arnavsharma3413@gmail.com</t>
  </si>
  <si>
    <t>TIYA GUPTA</t>
  </si>
  <si>
    <t>tgupta10_be25</t>
  </si>
  <si>
    <t>tgupta10_be25@thapar.edu</t>
  </si>
  <si>
    <t>1025030908</t>
  </si>
  <si>
    <t>VAANYA JAIN</t>
  </si>
  <si>
    <t>vjain2_be25</t>
  </si>
  <si>
    <t>vjain2_be25@thapar.edu</t>
  </si>
  <si>
    <t>1025030903</t>
  </si>
  <si>
    <t>PRYAANG SHARMA</t>
  </si>
  <si>
    <t>psharma14_be25</t>
  </si>
  <si>
    <t>psharma14_be25@thapar.edu</t>
  </si>
  <si>
    <t>1025030899</t>
  </si>
  <si>
    <t>RAMANUJ NAITHANI</t>
  </si>
  <si>
    <t>rnaithani_be25</t>
  </si>
  <si>
    <t>rnaithani_be25@thapar.edu</t>
  </si>
  <si>
    <t>Arpan Sharma</t>
  </si>
  <si>
    <t>1025030900</t>
  </si>
  <si>
    <t>SHAURYA SOOD</t>
  </si>
  <si>
    <t>ssood1_be25</t>
  </si>
  <si>
    <t>ssood1_be25@thapar.edu</t>
  </si>
  <si>
    <t>1025030892</t>
  </si>
  <si>
    <t>arpansharma.m@gmail.com</t>
  </si>
  <si>
    <t>RAVI CHANDRA BUDHATHOKI</t>
  </si>
  <si>
    <t>rbudhathoki_be</t>
  </si>
  <si>
    <t>rbudhathoki_be25@thapar.edu</t>
  </si>
  <si>
    <t>1025031072</t>
  </si>
  <si>
    <t>ISHITA AGRAWAL</t>
  </si>
  <si>
    <t>iagrawal_be25</t>
  </si>
  <si>
    <t>iagrawal_be25@thapar.edu</t>
  </si>
  <si>
    <t>1025030886</t>
  </si>
  <si>
    <t>asharma15_be25@thapar.edu</t>
  </si>
  <si>
    <t>KARTIK SURI</t>
  </si>
  <si>
    <t>ksuri_be25</t>
  </si>
  <si>
    <t>ksuri_be25@thapar.edu</t>
  </si>
  <si>
    <t>1025030890</t>
  </si>
  <si>
    <t>Arshit Sharma</t>
  </si>
  <si>
    <t>1025160028</t>
  </si>
  <si>
    <t>BHAWIN JAIN</t>
  </si>
  <si>
    <t>bjain_be25</t>
  </si>
  <si>
    <t>bjain_be25@thapar.edu</t>
  </si>
  <si>
    <t>1025030887</t>
  </si>
  <si>
    <t>arshit99999@gmail.com</t>
  </si>
  <si>
    <t>TIYA SATIJA</t>
  </si>
  <si>
    <t>tsatija_be25</t>
  </si>
  <si>
    <t>tsatija_be25@thapar.edu</t>
  </si>
  <si>
    <t>1025030898</t>
  </si>
  <si>
    <t>ANEEZ GILL</t>
  </si>
  <si>
    <t>agill_be25</t>
  </si>
  <si>
    <t>asharma19_be25@thapar.edu</t>
  </si>
  <si>
    <t>GUNIKA JALOTA</t>
  </si>
  <si>
    <t>gjalota_be25</t>
  </si>
  <si>
    <t>gjalota_be25@thapar.edu</t>
  </si>
  <si>
    <t>1025030896</t>
  </si>
  <si>
    <t>Aryamann Sharma</t>
  </si>
  <si>
    <t>7262818</t>
  </si>
  <si>
    <t>1025230071</t>
  </si>
  <si>
    <t>asingh52_be25</t>
  </si>
  <si>
    <t>asingh52_be25@thapar.edu</t>
  </si>
  <si>
    <t>aryamann002@gmail.com</t>
  </si>
  <si>
    <t>vdhaka_be25</t>
  </si>
  <si>
    <t>vdhaka_be25@thapar.edu</t>
  </si>
  <si>
    <t>ksinha_be25</t>
  </si>
  <si>
    <t>ksinha_be25@thapar.edu</t>
  </si>
  <si>
    <t>asingh49_be25</t>
  </si>
  <si>
    <t>asingh49_be25@thapar.edu</t>
  </si>
  <si>
    <t>asaksena_be25</t>
  </si>
  <si>
    <t>asaksena_be25@thapar.edu</t>
  </si>
  <si>
    <t>ashmitsharma393@gmail.com</t>
  </si>
  <si>
    <t>pparpreet_be25</t>
  </si>
  <si>
    <t>pparpreet_be25@thapar.edu</t>
  </si>
  <si>
    <t>akumar14_be25</t>
  </si>
  <si>
    <t>rbansal4_be25</t>
  </si>
  <si>
    <t>rbansal4_be25@thapar.edu</t>
  </si>
  <si>
    <t>mvaish_be25</t>
  </si>
  <si>
    <t>mvaish_be25@thapar.edu</t>
  </si>
  <si>
    <t>Abhinav Sharma</t>
  </si>
  <si>
    <t>araj_be25</t>
  </si>
  <si>
    <t>abhinavvandu@gmail.com</t>
  </si>
  <si>
    <t>ggirotra_be25</t>
  </si>
  <si>
    <t>ggirotra_be25@thapar.edu</t>
  </si>
  <si>
    <t>amalhotra3_be2</t>
  </si>
  <si>
    <t>hsingh4_be25</t>
  </si>
  <si>
    <t>hsingh4_be25@thapar.edu</t>
  </si>
  <si>
    <t>Aabir Sharma</t>
  </si>
  <si>
    <t>rpandi_be25</t>
  </si>
  <si>
    <t>rpandi_be25@thapar.edu</t>
  </si>
  <si>
    <t>aabisharma269@gmail.com</t>
  </si>
  <si>
    <t>dbansal4_be25</t>
  </si>
  <si>
    <t>dbansal4_be25@thapar.edu</t>
  </si>
  <si>
    <t>kgarg5_be25</t>
  </si>
  <si>
    <t>kgarg5_be25@thapar.edu</t>
  </si>
  <si>
    <t>usingh4_be25</t>
  </si>
  <si>
    <t>usingh4_be25@thapar.edu</t>
  </si>
  <si>
    <t>asharma34_be25@thapar.edu</t>
  </si>
  <si>
    <t>Aarushi Sharma</t>
  </si>
  <si>
    <t>supadhyay_be25</t>
  </si>
  <si>
    <t>supadhyay_be25@thapar.edu</t>
  </si>
  <si>
    <t>1025170465</t>
  </si>
  <si>
    <t>saarushi206@gmail.com</t>
  </si>
  <si>
    <t>ivats_be25</t>
  </si>
  <si>
    <t>7262879</t>
  </si>
  <si>
    <t>ivats_be25@thapar.edu</t>
  </si>
  <si>
    <t>amittal3_be25</t>
  </si>
  <si>
    <t>amittal3_be25@thapar.edu</t>
  </si>
  <si>
    <t>sshriyan_be25</t>
  </si>
  <si>
    <t>sshriyan_be25@thapar.edu</t>
  </si>
  <si>
    <t>Asharma36_be25@thapar.edu</t>
  </si>
  <si>
    <t>Adite Sharma</t>
  </si>
  <si>
    <t>ssarkar_be25</t>
  </si>
  <si>
    <t>ssarkar_be25@thapar.edu</t>
  </si>
  <si>
    <t>Sharma.adite21@gmail.com</t>
  </si>
  <si>
    <t>asingh10_be25</t>
  </si>
  <si>
    <t>asingh10_be25@thapar.edu</t>
  </si>
  <si>
    <t>bsindhi_be25</t>
  </si>
  <si>
    <t>bsindhi_be25@thapar.edu</t>
  </si>
  <si>
    <t>sverma6_be25</t>
  </si>
  <si>
    <t>sverma6_be25@thapar.edu</t>
  </si>
  <si>
    <t>asharma39_be25@thapar.edu</t>
  </si>
  <si>
    <t>Abhineet Sharma</t>
  </si>
  <si>
    <t>pmathur_be25</t>
  </si>
  <si>
    <t>pmathur_be25@thapar.edu</t>
  </si>
  <si>
    <t>1025170444</t>
  </si>
  <si>
    <t>sharmaabhineet689@gmail.com</t>
  </si>
  <si>
    <t>nsinghal_be25</t>
  </si>
  <si>
    <t>nsinghal_be25@thapar.edu</t>
  </si>
  <si>
    <t>ubajaj_be25</t>
  </si>
  <si>
    <t>ubajaj_be25@thapar.edu</t>
  </si>
  <si>
    <t>hharshmitha_be</t>
  </si>
  <si>
    <t>hharshmitha_be25@thapar.edu</t>
  </si>
  <si>
    <t>asharma42_be25@thapar.edu</t>
  </si>
  <si>
    <t>Atharv Sharma</t>
  </si>
  <si>
    <t>asandhu3_be25</t>
  </si>
  <si>
    <t>1025030020</t>
  </si>
  <si>
    <t>atharvsharma0934@gmail.com</t>
  </si>
  <si>
    <t>rchopra2_be25</t>
  </si>
  <si>
    <t>rchopra2_be25@thapar.edu</t>
  </si>
  <si>
    <t>2UOQ</t>
  </si>
  <si>
    <t>yyashika2_be25</t>
  </si>
  <si>
    <t>yyashika2_be25@thapar.edu</t>
  </si>
  <si>
    <t>ykalra_be25</t>
  </si>
  <si>
    <t>ykalra_be25@thapar.edu</t>
  </si>
  <si>
    <t>Aayush sharma</t>
  </si>
  <si>
    <t>ysingh_be25</t>
  </si>
  <si>
    <t>ysingh_be25@thapar.edu</t>
  </si>
  <si>
    <t>aaaryan_be25</t>
  </si>
  <si>
    <t>7265919</t>
  </si>
  <si>
    <t>bgarg4_be25</t>
  </si>
  <si>
    <t>bgarg4_be25@thapar.edu</t>
  </si>
  <si>
    <t>jmago_be25</t>
  </si>
  <si>
    <t>jmago_be25@thapar.edu</t>
  </si>
  <si>
    <t>asharma47_be25@thapar.edu</t>
  </si>
  <si>
    <t>Adarsh Sharma</t>
  </si>
  <si>
    <t>vgarg4_be25</t>
  </si>
  <si>
    <t>vgarg4_be25@thapar.edu</t>
  </si>
  <si>
    <t>1025090122</t>
  </si>
  <si>
    <t>adarshsharma9863@gmail.com</t>
  </si>
  <si>
    <t>ssaini_be25</t>
  </si>
  <si>
    <t>ssaini_be25@thapar.edu</t>
  </si>
  <si>
    <t>ddhanjal_be25</t>
  </si>
  <si>
    <t>ddhanjal_be25@thapar.edu</t>
  </si>
  <si>
    <t>agoyal10_be25</t>
  </si>
  <si>
    <t>asharma9_be25@thapar.edu</t>
  </si>
  <si>
    <t>Anusha Sharma</t>
  </si>
  <si>
    <t>dphullay_be25</t>
  </si>
  <si>
    <t>dphullay_be25@thapar.edu</t>
  </si>
  <si>
    <t>1025160041</t>
  </si>
  <si>
    <t>anusha.ssharma26@gmail.com</t>
  </si>
  <si>
    <t>ddang_be25</t>
  </si>
  <si>
    <t>ddang_be25@thapar.edu</t>
  </si>
  <si>
    <t>nyadav1_be25</t>
  </si>
  <si>
    <t>nyadav1_be25@thapar.edu</t>
  </si>
  <si>
    <t>mmishthi_be25</t>
  </si>
  <si>
    <t>ashrivastav_be25@thapar.edu</t>
  </si>
  <si>
    <t>mmishthi_be25@thapar.edu</t>
  </si>
  <si>
    <t>Aadarsh Shrivastav</t>
  </si>
  <si>
    <t>vlatawa_be25</t>
  </si>
  <si>
    <t>vlatawa_be25@thapar.edu</t>
  </si>
  <si>
    <t>1025170197</t>
  </si>
  <si>
    <t>aadarshshrivastav008@gmail.com</t>
  </si>
  <si>
    <t>vbahuguna_be25</t>
  </si>
  <si>
    <t>vbahuguna_be25@thapar.edu</t>
  </si>
  <si>
    <t>nkumar2_be25</t>
  </si>
  <si>
    <t>nkumar2_be25@thapar.edu</t>
  </si>
  <si>
    <t>ssingh1_be25</t>
  </si>
  <si>
    <t>ssingh1_be25@thapar.edu</t>
  </si>
  <si>
    <t>vkhurana1_be25</t>
  </si>
  <si>
    <t>vkhurana1_be25@thapar.edu</t>
  </si>
  <si>
    <t>kchhabra_be25</t>
  </si>
  <si>
    <t>kchhabra_be25@thapar.edu</t>
  </si>
  <si>
    <t>adityashukla969670@gmail.com</t>
  </si>
  <si>
    <t>agarg6_be25</t>
  </si>
  <si>
    <t>7266326</t>
  </si>
  <si>
    <t>sdhawan1_be25</t>
  </si>
  <si>
    <t>sdhawan1_be25@thapar.edu</t>
  </si>
  <si>
    <t>vbhagal_be25</t>
  </si>
  <si>
    <t>vbhagal_be25@thapar.edu</t>
  </si>
  <si>
    <t>dagarwal1_be25</t>
  </si>
  <si>
    <t>dagarwal1_be25@thapar.edu</t>
  </si>
  <si>
    <t>anuragshukla.vivo@gmail.com</t>
  </si>
  <si>
    <t>vkumar3_be25</t>
  </si>
  <si>
    <t>vkumar3_be25@thapar.edu</t>
  </si>
  <si>
    <t>rmanro_be25</t>
  </si>
  <si>
    <t>rmanro_be25@thapar.edu</t>
  </si>
  <si>
    <t>asingh1_be25@thapar.edu</t>
  </si>
  <si>
    <t>dkaila_be25</t>
  </si>
  <si>
    <t>dkaila_be25@thapar.edu</t>
  </si>
  <si>
    <t>Abhayjeet Singh</t>
  </si>
  <si>
    <t>hpriya_be25</t>
  </si>
  <si>
    <t>1025170104</t>
  </si>
  <si>
    <t>hpriya_be25@thapar.edu</t>
  </si>
  <si>
    <t>abhay47628@gmail.com</t>
  </si>
  <si>
    <t>dchauhan_be25</t>
  </si>
  <si>
    <t>dchauhan_be25@thapar.edu</t>
  </si>
  <si>
    <t>huppal_be25</t>
  </si>
  <si>
    <t>huppal_be25@thapar.edu</t>
  </si>
  <si>
    <t>agoenka_be25</t>
  </si>
  <si>
    <t>Advik Singh</t>
  </si>
  <si>
    <t>asingh17_be25</t>
  </si>
  <si>
    <t>asingh17_be25@thapar.edu</t>
  </si>
  <si>
    <t>adviksingh1705@gmail.com</t>
  </si>
  <si>
    <t>nmangla1_be25</t>
  </si>
  <si>
    <t>nmangla1_be25@thapar.edu</t>
  </si>
  <si>
    <t>rjain3_be25</t>
  </si>
  <si>
    <t>rjain3_be25@thapar.edu</t>
  </si>
  <si>
    <t>vchawla_be25</t>
  </si>
  <si>
    <t>vchawla_be25@thapar.edu</t>
  </si>
  <si>
    <t>asingh11_be@thapar.edu</t>
  </si>
  <si>
    <t>Agamjot Singh</t>
  </si>
  <si>
    <t>hgoyal2_be25</t>
  </si>
  <si>
    <t>hgoyal2_be25@thapar.edu</t>
  </si>
  <si>
    <t>1025230025</t>
  </si>
  <si>
    <t>agamjot.singh@gmail.com</t>
  </si>
  <si>
    <t>ssharma3_be25</t>
  </si>
  <si>
    <t>ssharma3_be25@thapar.edu</t>
  </si>
  <si>
    <t>lsingla2_be25</t>
  </si>
  <si>
    <t>lsingla2_be25@thapar.edu</t>
  </si>
  <si>
    <t>nbhutani_be25</t>
  </si>
  <si>
    <t>asingh12_be25@thapar.edu</t>
  </si>
  <si>
    <t>nbhutani_be25@thapar.edu</t>
  </si>
  <si>
    <t>bsharma1_be25</t>
  </si>
  <si>
    <t>1025170205</t>
  </si>
  <si>
    <t>bsharma1_be25@thapar.edu</t>
  </si>
  <si>
    <t>agamjotsghai@gmail.com</t>
  </si>
  <si>
    <t>pkaur3_be25</t>
  </si>
  <si>
    <t>pkaur3_be25@thapar.edu</t>
  </si>
  <si>
    <t>7266327</t>
  </si>
  <si>
    <t>agarg_be25</t>
  </si>
  <si>
    <t>agarg_be25@thapar.edu</t>
  </si>
  <si>
    <t>vpoonia_be25</t>
  </si>
  <si>
    <t>vpoonia_be25@thapar.edu</t>
  </si>
  <si>
    <t>Ajeet Pal Singh</t>
  </si>
  <si>
    <t>dkanwar1_be25</t>
  </si>
  <si>
    <t>dkanwar1_be25@thapar.edu</t>
  </si>
  <si>
    <t>ajeetgill05@gmail.com</t>
  </si>
  <si>
    <t>KANGANA</t>
  </si>
  <si>
    <t>kangana07</t>
  </si>
  <si>
    <t>ksinghal1_be25@thapar.edu</t>
  </si>
  <si>
    <t>ssomya_be25</t>
  </si>
  <si>
    <t>ssomya_be25@thapar.edu</t>
  </si>
  <si>
    <t>1026031066</t>
  </si>
  <si>
    <t>rmittal_be25</t>
  </si>
  <si>
    <t>rmittal_be25@thapar.edu</t>
  </si>
  <si>
    <t>staneja_be25</t>
  </si>
  <si>
    <t>staneja_be25@thapar.edu</t>
  </si>
  <si>
    <t>Abhijeet Singh</t>
  </si>
  <si>
    <t>ksrivastava_be</t>
  </si>
  <si>
    <t>ksrivastava_be25@thapar.edu</t>
  </si>
  <si>
    <t>ngarg1_be25</t>
  </si>
  <si>
    <t>ngarg1_be25@thapar.edu</t>
  </si>
  <si>
    <t>hkharbanda_be2</t>
  </si>
  <si>
    <t>hkharbanda_be25@thapar.edu</t>
  </si>
  <si>
    <t>jai006</t>
  </si>
  <si>
    <t>tdeep_be25@thapar.edu</t>
  </si>
  <si>
    <t>Akashdeep Singh</t>
  </si>
  <si>
    <t>hali_be25</t>
  </si>
  <si>
    <t>hali_be25@thapar.edu</t>
  </si>
  <si>
    <t>iarora_be25</t>
  </si>
  <si>
    <t>iarora_be25@thapar.edu</t>
  </si>
  <si>
    <t>akashdeepsinghhundal12@gmail.com</t>
  </si>
  <si>
    <t>abisht_be25</t>
  </si>
  <si>
    <t>abisht_be25@thapar.edu</t>
  </si>
  <si>
    <t>7266328</t>
  </si>
  <si>
    <t>asingh19_be25</t>
  </si>
  <si>
    <t>asingh19_be25@thapar.edu</t>
  </si>
  <si>
    <t>ssejal1_be25</t>
  </si>
  <si>
    <t>ssejal1_be25@thapar.edu</t>
  </si>
  <si>
    <t>Akshdeep Singh</t>
  </si>
  <si>
    <t>jarora2_be25</t>
  </si>
  <si>
    <t>jarora2_be25@thapar.edu</t>
  </si>
  <si>
    <t>akshsetti1@gmail.com</t>
  </si>
  <si>
    <t>ryadav_be25</t>
  </si>
  <si>
    <t>ryadav_be25@thapar.edu</t>
  </si>
  <si>
    <t>kmahendru_be25</t>
  </si>
  <si>
    <t>kmahendru_be25@thapar.edu</t>
  </si>
  <si>
    <t>asingh20_be25@thapar.edu</t>
  </si>
  <si>
    <t>mehdi_hassan</t>
  </si>
  <si>
    <t>rsingh4_be25@thapar.edu</t>
  </si>
  <si>
    <t>Amritpal Singh</t>
  </si>
  <si>
    <t>1025160020</t>
  </si>
  <si>
    <t>ugupta2_be25</t>
  </si>
  <si>
    <t>ugupta2_be25@thapar.edu</t>
  </si>
  <si>
    <t>amritpalsingh2028@gmail.com</t>
  </si>
  <si>
    <t>agupta9_be25</t>
  </si>
  <si>
    <t>vgupta1_be25</t>
  </si>
  <si>
    <t>vgupta1_be25@thapar.edu</t>
  </si>
  <si>
    <t>agupta13_be25</t>
  </si>
  <si>
    <t>Amritpreet Singh</t>
  </si>
  <si>
    <t>hkumar1_be25</t>
  </si>
  <si>
    <t>hkumar1_be25@thapar.edu</t>
  </si>
  <si>
    <t>Amritpreet7889@gmail.com</t>
  </si>
  <si>
    <t>yyashika_be25</t>
  </si>
  <si>
    <t>yyashika_be25@thapar.edu</t>
  </si>
  <si>
    <t>sverma3_be25</t>
  </si>
  <si>
    <t>sverma3_be25@thapar.edu</t>
  </si>
  <si>
    <t>djain3_be25</t>
  </si>
  <si>
    <t>djain3_be25@thapar.edu</t>
  </si>
  <si>
    <t>Angad Singh</t>
  </si>
  <si>
    <t>jgarg_be25</t>
  </si>
  <si>
    <t>jgarg_be25@thapar.edu</t>
  </si>
  <si>
    <t>7266329</t>
  </si>
  <si>
    <t>angads1027@gmail.com</t>
  </si>
  <si>
    <t>kkritika_be25</t>
  </si>
  <si>
    <t>kkritika_be25@thapar.edu</t>
  </si>
  <si>
    <t>dgupta2_be25</t>
  </si>
  <si>
    <t>dgupta2_be25@thapar.edu</t>
  </si>
  <si>
    <t>anavil_211</t>
  </si>
  <si>
    <t>asingh24_be25@thapar.edu</t>
  </si>
  <si>
    <t>ayadav4_be25@thapar.edu</t>
  </si>
  <si>
    <t>Anshpreet Singh</t>
  </si>
  <si>
    <t>1025170105</t>
  </si>
  <si>
    <t>mbajaj_be25</t>
  </si>
  <si>
    <t>mbajaj_be25@thapar.edu</t>
  </si>
  <si>
    <t>anshpreet3536927@gmail.com</t>
  </si>
  <si>
    <t>kkatyal_be25</t>
  </si>
  <si>
    <t>kkatyal_be25@thapar.edu</t>
  </si>
  <si>
    <t>ddas_be25</t>
  </si>
  <si>
    <t>ddas_be25@thapar.edu</t>
  </si>
  <si>
    <t>prachii_ranaa</t>
  </si>
  <si>
    <t>prana_be25@thapar.edu</t>
  </si>
  <si>
    <t>Anshveer singh</t>
  </si>
  <si>
    <t>rgupta6_be25</t>
  </si>
  <si>
    <t>rgupta6_be25@thapar.edu</t>
  </si>
  <si>
    <t>anshveersra@gmail.com</t>
  </si>
  <si>
    <t>vsingh5_be25</t>
  </si>
  <si>
    <t>vsingh5_be25@thapar.edu</t>
  </si>
  <si>
    <t>ssethi_be25</t>
  </si>
  <si>
    <t>ssethi_be25@thapar.edu</t>
  </si>
  <si>
    <t>asingh26_be25@thapar.edu</t>
  </si>
  <si>
    <t>Anterpal Singh</t>
  </si>
  <si>
    <t>akhera_be25</t>
  </si>
  <si>
    <t>1025030663</t>
  </si>
  <si>
    <t>ssuryawanshi_b</t>
  </si>
  <si>
    <t>anter5699@gmail.com</t>
  </si>
  <si>
    <t>ssuryawanshi_be25@thapar.edu</t>
  </si>
  <si>
    <t>7266330</t>
  </si>
  <si>
    <t>sshereen_be25</t>
  </si>
  <si>
    <t>sshereen_be25@thapar.edu</t>
  </si>
  <si>
    <t>rarora3_be25</t>
  </si>
  <si>
    <t>rarora3_be25@thapar.edu</t>
  </si>
  <si>
    <t>msehgal_be25</t>
  </si>
  <si>
    <t>msehgal_be25@thapar.edu</t>
  </si>
  <si>
    <t>akamboj_be25</t>
  </si>
  <si>
    <t>aseemjot82@gmail.com</t>
  </si>
  <si>
    <t>pahuja_be25</t>
  </si>
  <si>
    <t>pahuja_be25@thapar.edu</t>
  </si>
  <si>
    <t>jmahajan_be25</t>
  </si>
  <si>
    <t>jmahajan_be25@thapar.edu</t>
  </si>
  <si>
    <t>snijhawan_be25</t>
  </si>
  <si>
    <t>snijhawan_be25@thapar.edu</t>
  </si>
  <si>
    <t>Abhay pratap singh</t>
  </si>
  <si>
    <t>jdalal_be25</t>
  </si>
  <si>
    <t>jdalal_be25@thapar.edu</t>
  </si>
  <si>
    <t>adhaliwal_be25</t>
  </si>
  <si>
    <t>abhaypratapsingh1511@gmail.com</t>
  </si>
  <si>
    <t>ggoyal_be25</t>
  </si>
  <si>
    <t>ggoyal_be25@thapar.edu</t>
  </si>
  <si>
    <t>rpatchimalla_b</t>
  </si>
  <si>
    <t>rpatchimalla_be25@thapar.edu</t>
  </si>
  <si>
    <t>Asingh30_be25@thapar.edu</t>
  </si>
  <si>
    <t>Aseesdeep Singh</t>
  </si>
  <si>
    <t>dkumari_be25</t>
  </si>
  <si>
    <t>dkumari_be25@thapar.edu</t>
  </si>
  <si>
    <t>Aseesdeep53@gmail.com</t>
  </si>
  <si>
    <t>vnagpal_be25</t>
  </si>
  <si>
    <t>vnagpal_be25@thapar.edu</t>
  </si>
  <si>
    <t>pjindal5_be25</t>
  </si>
  <si>
    <t>pjindal5_be25@thapar.edu</t>
  </si>
  <si>
    <t>pbhardwaj_be25</t>
  </si>
  <si>
    <t>pbhardwaj_be25@thapar.edu</t>
  </si>
  <si>
    <t>7266331</t>
  </si>
  <si>
    <t>Ashmeet Singh</t>
  </si>
  <si>
    <t>ssneha1_be25</t>
  </si>
  <si>
    <t>ssneha1_be25@thapar.edu</t>
  </si>
  <si>
    <t>ashmeetsingh9191@gmail.com</t>
  </si>
  <si>
    <t>asharma25_be25</t>
  </si>
  <si>
    <t>asharma25_be25@thapar.edu</t>
  </si>
  <si>
    <t>Jatin Kaushal</t>
  </si>
  <si>
    <t>jkaushal_be25</t>
  </si>
  <si>
    <t>jkaushal_be25@thapar.edu</t>
  </si>
  <si>
    <t>1025031108</t>
  </si>
  <si>
    <t>Rishab Chugh</t>
  </si>
  <si>
    <t>rchugh_be25</t>
  </si>
  <si>
    <t>rchugh_be25@thapar.edu</t>
  </si>
  <si>
    <t>1025031107</t>
  </si>
  <si>
    <t>asingh4_be25@thapar.edu</t>
  </si>
  <si>
    <t>Jayesh Vij</t>
  </si>
  <si>
    <t>jvij_be25</t>
  </si>
  <si>
    <t>jvij_be25@thapar.edu</t>
  </si>
  <si>
    <t>1025031112</t>
  </si>
  <si>
    <t>1025230124</t>
  </si>
  <si>
    <t>akhan1_be25</t>
  </si>
  <si>
    <t>abhaypratapsinghsambyal@gmail.com</t>
  </si>
  <si>
    <t>Inderveer Singh</t>
  </si>
  <si>
    <t>isingh4_be25</t>
  </si>
  <si>
    <t>isingh4_be25@thapar.edu</t>
  </si>
  <si>
    <t>1025031111</t>
  </si>
  <si>
    <t>Vansh Chopra</t>
  </si>
  <si>
    <t>vchopra_be25</t>
  </si>
  <si>
    <t>vchopra_be25@thapar.edu</t>
  </si>
  <si>
    <t>1025031118</t>
  </si>
  <si>
    <t>Tejasvi Dhillon</t>
  </si>
  <si>
    <t>tdhillon1_be25</t>
  </si>
  <si>
    <t>tdhillon1_be25@thapar.edu</t>
  </si>
  <si>
    <t>1025031104</t>
  </si>
  <si>
    <t>arshveer singh</t>
  </si>
  <si>
    <t>Liza Singla</t>
  </si>
  <si>
    <t>lsingla3_be25</t>
  </si>
  <si>
    <t>lsingla3_be25@thapar.edu</t>
  </si>
  <si>
    <t>1025031134</t>
  </si>
  <si>
    <t>arshveer.singh218@gmail.com</t>
  </si>
  <si>
    <t>Ishan Joshi</t>
  </si>
  <si>
    <t>ijoshi_be25</t>
  </si>
  <si>
    <t>ijoshi_be25@thapar.edu</t>
  </si>
  <si>
    <t>1025031106</t>
  </si>
  <si>
    <t>Arib Shujaat</t>
  </si>
  <si>
    <t>ashujaat_be25</t>
  </si>
  <si>
    <t>ashujaat_be25@thapar.edu</t>
  </si>
  <si>
    <t>1025031114</t>
  </si>
  <si>
    <t>Navan Kaur Sandha</t>
  </si>
  <si>
    <t>nsandha_be25</t>
  </si>
  <si>
    <t>nsandha_be25@thapar.edu</t>
  </si>
  <si>
    <t>1025031101</t>
  </si>
  <si>
    <t>Akshat pratap singh solanki</t>
  </si>
  <si>
    <t>Lovish Digwal</t>
  </si>
  <si>
    <t>ldigwal_be25</t>
  </si>
  <si>
    <t>ldigwal_be25@thapar.edu</t>
  </si>
  <si>
    <t>1025031102</t>
  </si>
  <si>
    <t>Keerat Kaur</t>
  </si>
  <si>
    <t>kkaur7_be25</t>
  </si>
  <si>
    <t>kkaur7_be25@thapar.edu</t>
  </si>
  <si>
    <t>1025031110</t>
  </si>
  <si>
    <t>Mridul Saini</t>
  </si>
  <si>
    <t>msaini_be25</t>
  </si>
  <si>
    <t>msaini_be25@thapar.edu</t>
  </si>
  <si>
    <t>1025031100</t>
  </si>
  <si>
    <t>7266332</t>
  </si>
  <si>
    <t>Mayank Saxena</t>
  </si>
  <si>
    <t>msaxena_be25</t>
  </si>
  <si>
    <t>msaxena_be25@thapar.edu</t>
  </si>
  <si>
    <t>asingh45_be25@thapar.edu</t>
  </si>
  <si>
    <t>1025031105</t>
  </si>
  <si>
    <t>Abhay Partap Singh Boparai</t>
  </si>
  <si>
    <t>Karman Singh</t>
  </si>
  <si>
    <t>ksingh26_be25</t>
  </si>
  <si>
    <t>ksingh26_be25@thapar.edu</t>
  </si>
  <si>
    <t>1025031098</t>
  </si>
  <si>
    <t>1025090090</t>
  </si>
  <si>
    <t>Drishti Sharma</t>
  </si>
  <si>
    <t>abhaypartapboparai11@gmail.com</t>
  </si>
  <si>
    <t>dsharma10_be25</t>
  </si>
  <si>
    <t>dsharma10_be25@thapar.edu</t>
  </si>
  <si>
    <t>1025031103</t>
  </si>
  <si>
    <t>Gaurang Madaan</t>
  </si>
  <si>
    <t>gmadaan_be25</t>
  </si>
  <si>
    <t>gmadaan_be25@thapar.edu</t>
  </si>
  <si>
    <t>1025031097</t>
  </si>
  <si>
    <t>Tanishq Verma</t>
  </si>
  <si>
    <t>tverma_be25</t>
  </si>
  <si>
    <t>tverma_be25@thapar.edu</t>
  </si>
  <si>
    <t>1025031115</t>
  </si>
  <si>
    <t>anhar singh</t>
  </si>
  <si>
    <t>Nitish Bansal</t>
  </si>
  <si>
    <t>nbansal4_be25</t>
  </si>
  <si>
    <t>nbansal4_be25@thapar.edu</t>
  </si>
  <si>
    <t>1025031117</t>
  </si>
  <si>
    <t>singhanhar@gmail.com</t>
  </si>
  <si>
    <t>Navraj Singh</t>
  </si>
  <si>
    <t>nsingh16_be25</t>
  </si>
  <si>
    <t>nsingh16_be25@thapar.edu</t>
  </si>
  <si>
    <t>1025031123</t>
  </si>
  <si>
    <t>agarg16_be25</t>
  </si>
  <si>
    <t>Manmeet Singh Kalsi</t>
  </si>
  <si>
    <t>mkalsi_be25</t>
  </si>
  <si>
    <t>mkalsi_be25@thapar.edu</t>
  </si>
  <si>
    <t>1025031121</t>
  </si>
  <si>
    <t>Devansh Bansal</t>
  </si>
  <si>
    <t>dbansal6_be25</t>
  </si>
  <si>
    <t>Arshbir Singh</t>
  </si>
  <si>
    <t>dbansal6_be25@thapar.edu</t>
  </si>
  <si>
    <t>1025031124</t>
  </si>
  <si>
    <t>Arjun Mittal</t>
  </si>
  <si>
    <t>amittal8_be25</t>
  </si>
  <si>
    <t>singharshbir76@gmail.com</t>
  </si>
  <si>
    <t>Yuvraj Singh</t>
  </si>
  <si>
    <t>ysingh6_be25</t>
  </si>
  <si>
    <t>ysingh6_be25@thapar.edu</t>
  </si>
  <si>
    <t>1025031132</t>
  </si>
  <si>
    <t>Uttam Kumar</t>
  </si>
  <si>
    <t>ukumar2_be25</t>
  </si>
  <si>
    <t>ukumar2_be25@thapar.edu</t>
  </si>
  <si>
    <t>1025031125</t>
  </si>
  <si>
    <t>Asingh48_be25@thapar.edu</t>
  </si>
  <si>
    <t>Agamvir Singh</t>
  </si>
  <si>
    <t>aananya1_be25</t>
  </si>
  <si>
    <t>1025170005</t>
  </si>
  <si>
    <t>Agamvir73@gmail.com</t>
  </si>
  <si>
    <t>Aman Yadav</t>
  </si>
  <si>
    <t>7266333</t>
  </si>
  <si>
    <t>ayadav7_be25</t>
  </si>
  <si>
    <t>ayadav7_be25@thapar.edu</t>
  </si>
  <si>
    <t>1025031130</t>
  </si>
  <si>
    <t>Aaditya Mitttal</t>
  </si>
  <si>
    <t>amitttal_be25</t>
  </si>
  <si>
    <t>Harshit Kumar</t>
  </si>
  <si>
    <t>hkumar4_be25</t>
  </si>
  <si>
    <t>hkumar4_be25@thapar.edu</t>
  </si>
  <si>
    <t>1025031120</t>
  </si>
  <si>
    <t>Amitoj Singh</t>
  </si>
  <si>
    <t>Daman</t>
  </si>
  <si>
    <t>ddaman_be25</t>
  </si>
  <si>
    <t>ddaman_be25@thapar.edu</t>
  </si>
  <si>
    <t>1025031126</t>
  </si>
  <si>
    <t>sukhdevkhosa123@gmail.com</t>
  </si>
  <si>
    <t>Akanksha Kumari</t>
  </si>
  <si>
    <t>akumari_be25</t>
  </si>
  <si>
    <t>Pulkit Gaba</t>
  </si>
  <si>
    <t>pgaba_be25</t>
  </si>
  <si>
    <t>pgaba_be25@thapar.edu</t>
  </si>
  <si>
    <t>1025031119</t>
  </si>
  <si>
    <t>Sneha Sharma</t>
  </si>
  <si>
    <t>ssharma18_be25</t>
  </si>
  <si>
    <t>ssharma18_be25@thapar.edu</t>
  </si>
  <si>
    <t>1025031116</t>
  </si>
  <si>
    <t>Abhimanyu Singh</t>
  </si>
  <si>
    <t>Noor Kamboj</t>
  </si>
  <si>
    <t>nkamboj_be25</t>
  </si>
  <si>
    <t>nkamboj_be25@thapar.edu</t>
  </si>
  <si>
    <t>1025031133</t>
  </si>
  <si>
    <t>Abhimanyusingh21902@gmail.com</t>
  </si>
  <si>
    <t>AKSHUN CHAUHAN</t>
  </si>
  <si>
    <t>achauhan1_be25</t>
  </si>
  <si>
    <t>kkritika1_be25</t>
  </si>
  <si>
    <t>kkritika1_be25@thapar.edu</t>
  </si>
  <si>
    <t>1025170027</t>
  </si>
  <si>
    <t>asingh51_be25@thapar.edu</t>
  </si>
  <si>
    <t>TUSHAR</t>
  </si>
  <si>
    <t>ttushar_be25</t>
  </si>
  <si>
    <t>ttushar_be25@thapar.edu</t>
  </si>
  <si>
    <t>1025170024</t>
  </si>
  <si>
    <t>Abhiraj Singh</t>
  </si>
  <si>
    <t>SATWIK VASHISHTHA</t>
  </si>
  <si>
    <t>svashishtha_be</t>
  </si>
  <si>
    <t>1025170034</t>
  </si>
  <si>
    <t>svashishtha_be25@thapar.edu</t>
  </si>
  <si>
    <t>1025170014</t>
  </si>
  <si>
    <t>abhirajsingh4566@gmail.com</t>
  </si>
  <si>
    <t>RUHAN GARG</t>
  </si>
  <si>
    <t>rgarg8_be25</t>
  </si>
  <si>
    <t>rgarg8_be25@thapar.edu</t>
  </si>
  <si>
    <t>1025170020</t>
  </si>
  <si>
    <t>7266334</t>
  </si>
  <si>
    <t>VANISHA</t>
  </si>
  <si>
    <t>vvanisha_be25</t>
  </si>
  <si>
    <t>vvanisha_be25@thapar.edu</t>
  </si>
  <si>
    <t>1025170017</t>
  </si>
  <si>
    <t>EKARTH PANWAR</t>
  </si>
  <si>
    <t>epanwar_be25</t>
  </si>
  <si>
    <t>epanwar_be25@thapar.edu</t>
  </si>
  <si>
    <t>1025170029</t>
  </si>
  <si>
    <t>Abhijay Singh</t>
  </si>
  <si>
    <t>RAMYA KUKREJA</t>
  </si>
  <si>
    <t>rkukreja_be25</t>
  </si>
  <si>
    <t>rkukreja_be25@thapar.edu</t>
  </si>
  <si>
    <t>1025170023</t>
  </si>
  <si>
    <t>mrabhijaysingh77@gmail.com</t>
  </si>
  <si>
    <t>ARYAMAN</t>
  </si>
  <si>
    <t>aaryaman_be25</t>
  </si>
  <si>
    <t>RAJIB SINGHA</t>
  </si>
  <si>
    <t>rsingha_be25</t>
  </si>
  <si>
    <t>rsingha_be25@thapar.edu</t>
  </si>
  <si>
    <t>1025170021</t>
  </si>
  <si>
    <t>Asingh53_be25@thapar.edu</t>
  </si>
  <si>
    <t>KUSHAL BANSAL</t>
  </si>
  <si>
    <t>kbansal_be25</t>
  </si>
  <si>
    <t>kbansal_be25@thapar.edu</t>
  </si>
  <si>
    <t>Ayushmaan singh</t>
  </si>
  <si>
    <t>1025170001</t>
  </si>
  <si>
    <t>1025170449</t>
  </si>
  <si>
    <t>tmittal_be25</t>
  </si>
  <si>
    <t>tmittal_be25@thapar.edu</t>
  </si>
  <si>
    <t>1025170025</t>
  </si>
  <si>
    <t>ADITYA GANDHI</t>
  </si>
  <si>
    <t>agandhi_be25</t>
  </si>
  <si>
    <t>HARSHVIR KAUR</t>
  </si>
  <si>
    <t>hkaur11_be25</t>
  </si>
  <si>
    <t>hkaur11_be25@thapar.edu</t>
  </si>
  <si>
    <t>1025170010</t>
  </si>
  <si>
    <t>asingh56_be25@thapar.edu</t>
  </si>
  <si>
    <t>NAVYA DHAWAN</t>
  </si>
  <si>
    <t>ndhawan_be25</t>
  </si>
  <si>
    <t>ndhawan_be25@thapar.edu</t>
  </si>
  <si>
    <t>1025170009</t>
  </si>
  <si>
    <t>1025170510</t>
  </si>
  <si>
    <t>NISCHAL SINGLA</t>
  </si>
  <si>
    <t>nsingla3_be25</t>
  </si>
  <si>
    <t>nsingla3_be25@thapar.edu</t>
  </si>
  <si>
    <t>1025170003</t>
  </si>
  <si>
    <t>gazalpreet@gmail.com</t>
  </si>
  <si>
    <t>ARPIT GOPAL GUPTA</t>
  </si>
  <si>
    <t>agupta12_be25</t>
  </si>
  <si>
    <t>agupta12_be25@thapar.edu</t>
  </si>
  <si>
    <t>1025170002</t>
  </si>
  <si>
    <t>PRABHPREET SINGH</t>
  </si>
  <si>
    <t>psingh3_be25</t>
  </si>
  <si>
    <t>psingh3_be25@thapar.edu</t>
  </si>
  <si>
    <t>1025170018</t>
  </si>
  <si>
    <t>CHIRAG GUPTA</t>
  </si>
  <si>
    <t>cgupta2_be25</t>
  </si>
  <si>
    <t>cgupta2_be25@thapar.edu</t>
  </si>
  <si>
    <t>1025170028</t>
  </si>
  <si>
    <t>7266335</t>
  </si>
  <si>
    <t>TRIJAL SHARMA</t>
  </si>
  <si>
    <t>tsharma2_be25</t>
  </si>
  <si>
    <t>tsharma2_be25@thapar.edu</t>
  </si>
  <si>
    <t>1025170006</t>
  </si>
  <si>
    <t>MANSIRAT SANDHU</t>
  </si>
  <si>
    <t>msandhu_be25</t>
  </si>
  <si>
    <t>msandhu_be25@thapar.edu</t>
  </si>
  <si>
    <t>1025170011</t>
  </si>
  <si>
    <t>abhinavpremsingh@gmail.com</t>
  </si>
  <si>
    <t>KANU PRIYA</t>
  </si>
  <si>
    <t>kpriya_be25</t>
  </si>
  <si>
    <t>kpriya_be25@thapar.edu</t>
  </si>
  <si>
    <t>1025170031</t>
  </si>
  <si>
    <t>AGAMVIR SINGH</t>
  </si>
  <si>
    <t>asingh48_be25</t>
  </si>
  <si>
    <t>asingh48_be25@thapar.edu</t>
  </si>
  <si>
    <t>JISHITA SHARMA</t>
  </si>
  <si>
    <t>jsharma_be25</t>
  </si>
  <si>
    <t>jsharma_be25@thapar.edu</t>
  </si>
  <si>
    <t>1025170463</t>
  </si>
  <si>
    <t>DIVESHWAR SINGH</t>
  </si>
  <si>
    <t>dsingh8_be25</t>
  </si>
  <si>
    <t>dsingh8_be25@thapar.edu</t>
  </si>
  <si>
    <t>1025170022</t>
  </si>
  <si>
    <t>Anushkaa Singhal</t>
  </si>
  <si>
    <t>NITIN CHAUHAN</t>
  </si>
  <si>
    <t>nchauhan_be25</t>
  </si>
  <si>
    <t>nchauhan_be25@thapar.edu</t>
  </si>
  <si>
    <t>1025170030</t>
  </si>
  <si>
    <t>SRISHMA NEPAL</t>
  </si>
  <si>
    <t>anushkaa.singhal0271@gmail.com</t>
  </si>
  <si>
    <t>snepal_be25</t>
  </si>
  <si>
    <t>snepal_be25@thapar.edu</t>
  </si>
  <si>
    <t>1025170019</t>
  </si>
  <si>
    <t>RISHAB VERMA</t>
  </si>
  <si>
    <t>rverma3_be25</t>
  </si>
  <si>
    <t>rverma3_be25@thapar.edu</t>
  </si>
  <si>
    <t>1025170026</t>
  </si>
  <si>
    <t>ROHAN KHANNA</t>
  </si>
  <si>
    <t>rkhanna_be25</t>
  </si>
  <si>
    <t>rkhanna_be25@thapar.edu</t>
  </si>
  <si>
    <t>1025170004</t>
  </si>
  <si>
    <t>MANAS CHOUDHARY</t>
  </si>
  <si>
    <t>abhinav singla</t>
  </si>
  <si>
    <t>mchoudhary1_be</t>
  </si>
  <si>
    <t>mchoudhary1_be25@thapar.edu</t>
  </si>
  <si>
    <t>1025170012</t>
  </si>
  <si>
    <t>ARUSH SHARMA</t>
  </si>
  <si>
    <t>asharma17_be25</t>
  </si>
  <si>
    <t>asharma17_be25@thapar.edu</t>
  </si>
  <si>
    <t>1025170007</t>
  </si>
  <si>
    <t>abhinavsingla210407@gmail.com</t>
  </si>
  <si>
    <t>ABHIRAJ SINGH</t>
  </si>
  <si>
    <t>asingh51_be25</t>
  </si>
  <si>
    <t>SIYA JAIN</t>
  </si>
  <si>
    <t>sjain4_be25</t>
  </si>
  <si>
    <t>sjain4_be25@thapar.edu</t>
  </si>
  <si>
    <t>1025170032</t>
  </si>
  <si>
    <t>7266336</t>
  </si>
  <si>
    <t>ADITYA</t>
  </si>
  <si>
    <t>aaditya_be25</t>
  </si>
  <si>
    <t>asingla1_be25@thapar.edu</t>
  </si>
  <si>
    <t>Akshit Singla</t>
  </si>
  <si>
    <t>RITIK KUMAR</t>
  </si>
  <si>
    <t>rkumar1_be25</t>
  </si>
  <si>
    <t>rkumar1_be25@thapar.edu</t>
  </si>
  <si>
    <t>1025170043</t>
  </si>
  <si>
    <t>1025170313</t>
  </si>
  <si>
    <t>AARAV TANWAR</t>
  </si>
  <si>
    <t>atanwar_be25</t>
  </si>
  <si>
    <t>akshitsingla0701@gmail.com</t>
  </si>
  <si>
    <t>atanwar_be25@thapar.edu</t>
  </si>
  <si>
    <t>1025170042</t>
  </si>
  <si>
    <t>JATIN GUPTA</t>
  </si>
  <si>
    <t>jgupta1_be25</t>
  </si>
  <si>
    <t>jgupta1_be25@thapar.edu</t>
  </si>
  <si>
    <t>1025170059</t>
  </si>
  <si>
    <t>DAMANPREET SINGH TAKKAR</t>
  </si>
  <si>
    <t>dtakkar_be25</t>
  </si>
  <si>
    <t>dtakkar_be25@thapar.edu</t>
  </si>
  <si>
    <t>1025170057</t>
  </si>
  <si>
    <t>SHIVANG GOEL</t>
  </si>
  <si>
    <t>asingla10_be25@thapar.edu</t>
  </si>
  <si>
    <t>sgoel_be25</t>
  </si>
  <si>
    <t>sgoel_be25@thapar.edu</t>
  </si>
  <si>
    <t>1025170046</t>
  </si>
  <si>
    <t>Aryan Singla</t>
  </si>
  <si>
    <t>ARKA NARAYAN</t>
  </si>
  <si>
    <t>1025170312</t>
  </si>
  <si>
    <t>anarayan1_be25</t>
  </si>
  <si>
    <t>singlaaryan5439@gmail.com</t>
  </si>
  <si>
    <t>VIVAN GARG</t>
  </si>
  <si>
    <t>vgarg_be25</t>
  </si>
  <si>
    <t>vgarg_be25@thapar.edu</t>
  </si>
  <si>
    <t>1025170041</t>
  </si>
  <si>
    <t>AYUSHMAAN SINGH</t>
  </si>
  <si>
    <t>asingh53_be25</t>
  </si>
  <si>
    <t>asingh53_be25@thapar.edu</t>
  </si>
  <si>
    <t>AKSHIT</t>
  </si>
  <si>
    <t>aakshit1_be25</t>
  </si>
  <si>
    <t>PRANAV KALAL</t>
  </si>
  <si>
    <t>pkalal_be25</t>
  </si>
  <si>
    <t>pkalal_be25@thapar.edu</t>
  </si>
  <si>
    <t>1025170055</t>
  </si>
  <si>
    <t>SAMEEP</t>
  </si>
  <si>
    <t>ssameep_be25</t>
  </si>
  <si>
    <t>ssameep_be25@thapar.edu</t>
  </si>
  <si>
    <t>akshitsingla1003@gmail.com</t>
  </si>
  <si>
    <t>1025170053</t>
  </si>
  <si>
    <t>ARNAV GARG</t>
  </si>
  <si>
    <t>agarg4_be25</t>
  </si>
  <si>
    <t>SAMRATH SINGH JASSAL</t>
  </si>
  <si>
    <t>sjassal_be25</t>
  </si>
  <si>
    <t>sjassal_be25@thapar.edu</t>
  </si>
  <si>
    <t>1025170015</t>
  </si>
  <si>
    <t>PRANAV JAIN</t>
  </si>
  <si>
    <t>pjain_be25</t>
  </si>
  <si>
    <t>7266337</t>
  </si>
  <si>
    <t>pjain_be25@thapar.edu</t>
  </si>
  <si>
    <t>1025170036</t>
  </si>
  <si>
    <t>Angel Singla</t>
  </si>
  <si>
    <t>SHIVAM SINGH TOMAR</t>
  </si>
  <si>
    <t>stomar_be25</t>
  </si>
  <si>
    <t>stomar_be25@thapar.edu</t>
  </si>
  <si>
    <t>1025170048</t>
  </si>
  <si>
    <t>angelsingla83@gmail.com</t>
  </si>
  <si>
    <t>JAIK JOHN GEORGE</t>
  </si>
  <si>
    <t>jgeorge_be25</t>
  </si>
  <si>
    <t>jgeorge_be25@thapar.edu</t>
  </si>
  <si>
    <t>1025170045</t>
  </si>
  <si>
    <t>AADIK BANSAL</t>
  </si>
  <si>
    <t>abansal_be25</t>
  </si>
  <si>
    <t>YUVRAJ SINGH</t>
  </si>
  <si>
    <t>ysingh5_be25</t>
  </si>
  <si>
    <t>ysingh5_be25@thapar.edu</t>
  </si>
  <si>
    <t>1025170035</t>
  </si>
  <si>
    <t>SAVYA KHANNA</t>
  </si>
  <si>
    <t>skhanna3_be25</t>
  </si>
  <si>
    <t>Archita Singla</t>
  </si>
  <si>
    <t>skhanna3_be25@thapar.edu</t>
  </si>
  <si>
    <t>1025170033</t>
  </si>
  <si>
    <t>HARSHDEEP SINGH</t>
  </si>
  <si>
    <t>hsingh26_be25</t>
  </si>
  <si>
    <t>hsingh26_be25@thapar.edu</t>
  </si>
  <si>
    <t>1025170050</t>
  </si>
  <si>
    <t>ROOPJOT SINGH WALIA</t>
  </si>
  <si>
    <t>architasingla08@gmail.com</t>
  </si>
  <si>
    <t>rwalia_be25</t>
  </si>
  <si>
    <t>rwalia_be25@thapar.edu</t>
  </si>
  <si>
    <t>1025170049</t>
  </si>
  <si>
    <t>HARLEEN SINGH</t>
  </si>
  <si>
    <t>hsingh8_be25</t>
  </si>
  <si>
    <t>hsingh8_be25@thapar.edu</t>
  </si>
  <si>
    <t>1025170051</t>
  </si>
  <si>
    <t>SARVJEET SINGH CHAWLA</t>
  </si>
  <si>
    <t>schawla2_be25</t>
  </si>
  <si>
    <t>schawla2_be25@thapar.edu</t>
  </si>
  <si>
    <t>1025170058</t>
  </si>
  <si>
    <t>jkaur5_be25</t>
  </si>
  <si>
    <t>jkaur5_be25@thapar.edu</t>
  </si>
  <si>
    <t>1025170052</t>
  </si>
  <si>
    <t>SNEHA BHUTANI</t>
  </si>
  <si>
    <t>sbhutani_be25</t>
  </si>
  <si>
    <t>sbhutani_be25@thapar.edu</t>
  </si>
  <si>
    <t>ayushsingla206@gmail.com</t>
  </si>
  <si>
    <t>1025170039</t>
  </si>
  <si>
    <t>AVKARANDEEP SINGH GABBI</t>
  </si>
  <si>
    <t>agabbi_be25</t>
  </si>
  <si>
    <t>ADITYA AGARWAL</t>
  </si>
  <si>
    <t>aagarwal3_be25</t>
  </si>
  <si>
    <t>SHAURYA KOCHHAR</t>
  </si>
  <si>
    <t>skochhar_be25</t>
  </si>
  <si>
    <t>skochhar_be25@thapar.edu</t>
  </si>
  <si>
    <t>7266338</t>
  </si>
  <si>
    <t>Arshiya Singla</t>
  </si>
  <si>
    <t>1025170076</t>
  </si>
  <si>
    <t>NEEV GAUTAM</t>
  </si>
  <si>
    <t>ngautam_be25</t>
  </si>
  <si>
    <t>ngautam_be25@thapar.edu</t>
  </si>
  <si>
    <t>1025170077</t>
  </si>
  <si>
    <t>arshiyasingla2@gmail.com</t>
  </si>
  <si>
    <t>HEMANK GUPTA</t>
  </si>
  <si>
    <t>hgupta4_be25</t>
  </si>
  <si>
    <t>hgupta4_be25@thapar.edu</t>
  </si>
  <si>
    <t>1025170071</t>
  </si>
  <si>
    <t>HIMANK BERWAL</t>
  </si>
  <si>
    <t>hberwal_be25</t>
  </si>
  <si>
    <t>hberwal_be25@thapar.edu</t>
  </si>
  <si>
    <t>1025170073</t>
  </si>
  <si>
    <t>AARAV AGARWAL</t>
  </si>
  <si>
    <t>asingla9_be25@thapar.edu</t>
  </si>
  <si>
    <t>aagarwal2_be25</t>
  </si>
  <si>
    <t>Aarav Singla</t>
  </si>
  <si>
    <t>PARTH SINGH</t>
  </si>
  <si>
    <t>psingh10_be25</t>
  </si>
  <si>
    <t>1025170367</t>
  </si>
  <si>
    <t>psingh10_be25@thapar.edu</t>
  </si>
  <si>
    <t>1025170062</t>
  </si>
  <si>
    <t>singla.aarav48@gmail.com</t>
  </si>
  <si>
    <t>RUWAN GUPTA</t>
  </si>
  <si>
    <t>rgupta3_be25</t>
  </si>
  <si>
    <t>rgupta3_be25@thapar.edu</t>
  </si>
  <si>
    <t>1025170078</t>
  </si>
  <si>
    <t>KANUPRIYA KUCKREJA</t>
  </si>
  <si>
    <t>kkuckreja_be25</t>
  </si>
  <si>
    <t>kkuckreja_be25@thapar.edu</t>
  </si>
  <si>
    <t>1025170061</t>
  </si>
  <si>
    <t>SAKSHI JHAM</t>
  </si>
  <si>
    <t>sjham_be25</t>
  </si>
  <si>
    <t>sjham_be25@thapar.edu</t>
  </si>
  <si>
    <t>102517075</t>
  </si>
  <si>
    <t>VYOM BHALLA</t>
  </si>
  <si>
    <t>Akriti Sinha</t>
  </si>
  <si>
    <t>vbhalla_be25</t>
  </si>
  <si>
    <t>vbhalla_be25@thapar.edu</t>
  </si>
  <si>
    <t>1025170086</t>
  </si>
  <si>
    <t>NAVRAJ SINGH</t>
  </si>
  <si>
    <t>nsingh6_be25</t>
  </si>
  <si>
    <t>nsingh6_be25@thapar.edu</t>
  </si>
  <si>
    <t>1025170137</t>
  </si>
  <si>
    <t>akritisinha.ak123@gmail.com</t>
  </si>
  <si>
    <t>KRISH ANAND</t>
  </si>
  <si>
    <t>kanand1_be25</t>
  </si>
  <si>
    <t>kanand1_be25@thapar.edu</t>
  </si>
  <si>
    <t>1025170065</t>
  </si>
  <si>
    <t>SAKSHAM NARANG</t>
  </si>
  <si>
    <t>snarang_be25</t>
  </si>
  <si>
    <t>snarang_be25@thapar.edu</t>
  </si>
  <si>
    <t>1025170085</t>
  </si>
  <si>
    <t>REYHAN</t>
  </si>
  <si>
    <t>rreyhan_be25</t>
  </si>
  <si>
    <t>rreyhan_be25@thapar.edu</t>
  </si>
  <si>
    <t>1025170089</t>
  </si>
  <si>
    <t>Ashmit Sinha</t>
  </si>
  <si>
    <t>GAURANSH</t>
  </si>
  <si>
    <t>ggauransh_be25</t>
  </si>
  <si>
    <t>ggauransh_be25@thapar.edu</t>
  </si>
  <si>
    <t>1025170088</t>
  </si>
  <si>
    <t>ashmitclw@gmail.com</t>
  </si>
  <si>
    <t>PRANAV GOYAL</t>
  </si>
  <si>
    <t>pgoyal3_be25</t>
  </si>
  <si>
    <t>pgoyal3_be25@thapar.edu</t>
  </si>
  <si>
    <t>1025170074</t>
  </si>
  <si>
    <t>DEEPAK KUMAR</t>
  </si>
  <si>
    <t>dkhatri_be25</t>
  </si>
  <si>
    <t>dkhatri_be25@thapar.edu</t>
  </si>
  <si>
    <t>1025170081</t>
  </si>
  <si>
    <t>ARNAV MEHTA</t>
  </si>
  <si>
    <t>amehta1_be25</t>
  </si>
  <si>
    <t>asophat_be25@thapar.edu</t>
  </si>
  <si>
    <t>7266339</t>
  </si>
  <si>
    <t>Ajitesh Sophat</t>
  </si>
  <si>
    <t>RUHANI</t>
  </si>
  <si>
    <t>rruhani_be25</t>
  </si>
  <si>
    <t>rruhani_be25@thapar.edu</t>
  </si>
  <si>
    <t>1025170087</t>
  </si>
  <si>
    <t>1025170376</t>
  </si>
  <si>
    <t>MUDIT JAIN</t>
  </si>
  <si>
    <t>mjain_be25</t>
  </si>
  <si>
    <t>sophatajitesh@gmail.com</t>
  </si>
  <si>
    <t>mjain_be25@thapar.edu</t>
  </si>
  <si>
    <t>1025170060</t>
  </si>
  <si>
    <t>VANESSA ALAM BEIJEL</t>
  </si>
  <si>
    <t>vbeijel_be25</t>
  </si>
  <si>
    <t>vbeijel_be25@thapar.edu</t>
  </si>
  <si>
    <t>1025170080</t>
  </si>
  <si>
    <t>RAGHAV KASHYAP</t>
  </si>
  <si>
    <t>rkashyap_be25</t>
  </si>
  <si>
    <t>rkashyap_be25@thapar.edu</t>
  </si>
  <si>
    <t>1025170079</t>
  </si>
  <si>
    <t>Arshpreet Sra</t>
  </si>
  <si>
    <t>KRISHIV SINGH</t>
  </si>
  <si>
    <t>ksingh13_be25</t>
  </si>
  <si>
    <t>ksingh13_be25@thapar.edu</t>
  </si>
  <si>
    <t>1025170069</t>
  </si>
  <si>
    <t>ISHAN AHUJA</t>
  </si>
  <si>
    <t>iahuja_be25</t>
  </si>
  <si>
    <t>iahuja_be25@thapar.edu</t>
  </si>
  <si>
    <t>1025170082</t>
  </si>
  <si>
    <t>arshpreetsra006@gmail.com</t>
  </si>
  <si>
    <t>KRISHIKA</t>
  </si>
  <si>
    <t>kkrishika_be25</t>
  </si>
  <si>
    <t>kkrishika_be25@thapar.edu</t>
  </si>
  <si>
    <t>1025170070</t>
  </si>
  <si>
    <t>RENEE KUTHIALA</t>
  </si>
  <si>
    <t>rkuthiala_be25</t>
  </si>
  <si>
    <t>rkuthiala_be25@thapar.edu</t>
  </si>
  <si>
    <t>1025170067</t>
  </si>
  <si>
    <t>ARSH GARG</t>
  </si>
  <si>
    <t>agarg9_be25</t>
  </si>
  <si>
    <t>RAPINDERPREET SINGH BRRAICH</t>
  </si>
  <si>
    <t>Anukriti Srivastava</t>
  </si>
  <si>
    <t>rbrraich_be25</t>
  </si>
  <si>
    <t>rbrraich_be25@thapar.edu</t>
  </si>
  <si>
    <t>1025170106</t>
  </si>
  <si>
    <t>GURINDERPREET SINGH BRRAICH</t>
  </si>
  <si>
    <t>gbrraich_be25</t>
  </si>
  <si>
    <t>gbrraich_be25@thapar.edu</t>
  </si>
  <si>
    <t>1025170107</t>
  </si>
  <si>
    <t>anukritisrivastava810@gmail.com</t>
  </si>
  <si>
    <t>ABHAYJEET SINGH</t>
  </si>
  <si>
    <t>asingh1_be25</t>
  </si>
  <si>
    <t>JASDEEP SINGH</t>
  </si>
  <si>
    <t>jsingh5_be25</t>
  </si>
  <si>
    <t>jsingh5_be25@thapar.edu</t>
  </si>
  <si>
    <t>1025170092</t>
  </si>
  <si>
    <t>PIYUSH ANAND</t>
  </si>
  <si>
    <t>panand_be25</t>
  </si>
  <si>
    <t>panand_be25@thapar.edu</t>
  </si>
  <si>
    <t>1025170118</t>
  </si>
  <si>
    <t>asrivastava2_be25@thapar.edu</t>
  </si>
  <si>
    <t>7266340</t>
  </si>
  <si>
    <t>Aarav Srivastava</t>
  </si>
  <si>
    <t>TAVISHI</t>
  </si>
  <si>
    <t>tbalagan_be25</t>
  </si>
  <si>
    <t>tbalagan_be25@thapar.edu</t>
  </si>
  <si>
    <t>1025170117</t>
  </si>
  <si>
    <t>1025090058</t>
  </si>
  <si>
    <t>aaravsr4@gmail.com</t>
  </si>
  <si>
    <t>MANMEET SINGH MALHOTRA</t>
  </si>
  <si>
    <t>mmalhotra_be25</t>
  </si>
  <si>
    <t>mmalhotra_be25@thapar.edu</t>
  </si>
  <si>
    <t>1025170114</t>
  </si>
  <si>
    <t>HEMAN TANWAR</t>
  </si>
  <si>
    <t>htanwar_be25</t>
  </si>
  <si>
    <t>htanwar_be25@thapar.edu</t>
  </si>
  <si>
    <t>1025170090</t>
  </si>
  <si>
    <t>GUNTAPUDI DHANYATA</t>
  </si>
  <si>
    <t>gdhanyata_be25</t>
  </si>
  <si>
    <t>gdhanyata_be25@thapar.edu</t>
  </si>
  <si>
    <t>1025170096</t>
  </si>
  <si>
    <t>Aarav Tanwar</t>
  </si>
  <si>
    <t>MANTEZ</t>
  </si>
  <si>
    <t>mmantez_be25</t>
  </si>
  <si>
    <t>mmantez_be25@thapar.edu</t>
  </si>
  <si>
    <t>1025170093</t>
  </si>
  <si>
    <t>aarav.tanwar1192@gmail.com</t>
  </si>
  <si>
    <t>SONAMPREET KAUR</t>
  </si>
  <si>
    <t>skaur3_be25</t>
  </si>
  <si>
    <t>skaur3_be25@thapar.edu</t>
  </si>
  <si>
    <t>1025170119</t>
  </si>
  <si>
    <t>TARANPREET KAUR</t>
  </si>
  <si>
    <t>tkaur3_be25</t>
  </si>
  <si>
    <t>tkaur3_be25@thapar.edu</t>
  </si>
  <si>
    <t>1025170098</t>
  </si>
  <si>
    <t>TAVLEEN KAUR</t>
  </si>
  <si>
    <t>tkaur4_be25</t>
  </si>
  <si>
    <t>tkaur4_be25@thapar.edu</t>
  </si>
  <si>
    <t>1025170108</t>
  </si>
  <si>
    <t>Aditya Tanwar</t>
  </si>
  <si>
    <t>DIYA SINGH</t>
  </si>
  <si>
    <t>dsingh10_be25</t>
  </si>
  <si>
    <t>dsingh10_be25@thapar.edu</t>
  </si>
  <si>
    <t>1025170112</t>
  </si>
  <si>
    <t>adityatanwar942@gmail.com</t>
  </si>
  <si>
    <t>SAMREET SINGH</t>
  </si>
  <si>
    <t>ssingh43_be25</t>
  </si>
  <si>
    <t>ssingh43_be25@thapar.edu</t>
  </si>
  <si>
    <t>1025170100</t>
  </si>
  <si>
    <t>UDAY PARTAP SINGH DHILLON</t>
  </si>
  <si>
    <t>usingh1_be25</t>
  </si>
  <si>
    <t>usingh1_be25@thapar.edu</t>
  </si>
  <si>
    <t>1025170109</t>
  </si>
  <si>
    <t>ARNAV DHAWAN</t>
  </si>
  <si>
    <t>adhawan_be25</t>
  </si>
  <si>
    <t>Aarya Takur</t>
  </si>
  <si>
    <t>LAKSHYA JAIN</t>
  </si>
  <si>
    <t>ljain_be25</t>
  </si>
  <si>
    <t>ljain_be25@thapar.edu</t>
  </si>
  <si>
    <t>1025170091</t>
  </si>
  <si>
    <t>PARTH MITTAL</t>
  </si>
  <si>
    <t>aaryat0506@gmail.com</t>
  </si>
  <si>
    <t>pmittal1_be25</t>
  </si>
  <si>
    <t>pmittal1_be25@thapar.edu</t>
  </si>
  <si>
    <t>1025170095</t>
  </si>
  <si>
    <t>7266341</t>
  </si>
  <si>
    <t>KARMANJOT KAUR</t>
  </si>
  <si>
    <t>kkaur2_be25</t>
  </si>
  <si>
    <t>kkaur2_be25@thapar.edu</t>
  </si>
  <si>
    <t>1025170116</t>
  </si>
  <si>
    <t>INAGANTI CHARISHMA</t>
  </si>
  <si>
    <t>icharishma_be2</t>
  </si>
  <si>
    <t>icharishma_be25@thapar.edu</t>
  </si>
  <si>
    <t>1025170113</t>
  </si>
  <si>
    <t>SUNPREET SINGH</t>
  </si>
  <si>
    <t>ssingh18_be25</t>
  </si>
  <si>
    <t>ssingh18_be25@thapar.edu</t>
  </si>
  <si>
    <t>1025170099</t>
  </si>
  <si>
    <t>KANIKA JOLLY</t>
  </si>
  <si>
    <t>kjolly_be25</t>
  </si>
  <si>
    <t>kjolly_be25@thapar.edu</t>
  </si>
  <si>
    <t>avistathakur@gmail.com</t>
  </si>
  <si>
    <t>1025170102</t>
  </si>
  <si>
    <t>JASMEH CHAWLA</t>
  </si>
  <si>
    <t>jchawla_be25</t>
  </si>
  <si>
    <t>jchawla_be25@thapar.edu</t>
  </si>
  <si>
    <t>1025170110</t>
  </si>
  <si>
    <t>YASHMEET NARR</t>
  </si>
  <si>
    <t>ynarr_be25</t>
  </si>
  <si>
    <t>ynarr_be25@thapar.edu</t>
  </si>
  <si>
    <t>1025170094</t>
  </si>
  <si>
    <t>GURBAZ SINGH HUNJAN</t>
  </si>
  <si>
    <t>ghunjan_be25</t>
  </si>
  <si>
    <t>ghunjan_be25@thapar.edu</t>
  </si>
  <si>
    <t>Aadit Thapar</t>
  </si>
  <si>
    <t>1025170103</t>
  </si>
  <si>
    <t>JEEVANJOT SINGH</t>
  </si>
  <si>
    <t>jsingh17_be25</t>
  </si>
  <si>
    <t>jsingh17_be25@thapar.edu</t>
  </si>
  <si>
    <t>1025170097</t>
  </si>
  <si>
    <t>aaditthapar30@gmail.com</t>
  </si>
  <si>
    <t>ANSHPREET SINGH</t>
  </si>
  <si>
    <t>asingh24_be25</t>
  </si>
  <si>
    <t>PRAVEER</t>
  </si>
  <si>
    <t>ppraveer_be25</t>
  </si>
  <si>
    <t>ppraveer_be25@thapar.edu</t>
  </si>
  <si>
    <t>1025170111</t>
  </si>
  <si>
    <t>DIVYANSH SINGLA</t>
  </si>
  <si>
    <t>dsingla_be25</t>
  </si>
  <si>
    <t>dsingla_be25@thapar.edu</t>
  </si>
  <si>
    <t>1025170115</t>
  </si>
  <si>
    <t>Aarush Thareja</t>
  </si>
  <si>
    <t>GURNOOR SINGH</t>
  </si>
  <si>
    <t>gsingh2_be25</t>
  </si>
  <si>
    <t>gsingh2_be25@thapar.edu</t>
  </si>
  <si>
    <t>1025170150</t>
  </si>
  <si>
    <t>thareja.aarush123@gmail.com</t>
  </si>
  <si>
    <t>ELINA ARORA</t>
  </si>
  <si>
    <t>earora_be25</t>
  </si>
  <si>
    <t>earora_be25@thapar.edu</t>
  </si>
  <si>
    <t>1025170143</t>
  </si>
  <si>
    <t>TARANDEEP KAUR</t>
  </si>
  <si>
    <t>tkaur1_be25</t>
  </si>
  <si>
    <t>tkaur1_be25@thapar.edu</t>
  </si>
  <si>
    <t>1025170125</t>
  </si>
  <si>
    <t>ksingh4_be25</t>
  </si>
  <si>
    <t>ksingh4_be25@thapar.edu</t>
  </si>
  <si>
    <t>1025170136</t>
  </si>
  <si>
    <t>Anant Tiwari</t>
  </si>
  <si>
    <t>RAJPREET LAGAH</t>
  </si>
  <si>
    <t>rlagah_be25</t>
  </si>
  <si>
    <t>rlagah_be25@thapar.edu</t>
  </si>
  <si>
    <t>1025170133</t>
  </si>
  <si>
    <t>VIVAAN MEHROTRA</t>
  </si>
  <si>
    <t>vmehrotra_be25</t>
  </si>
  <si>
    <t>vmehrotra_be25@thapar.edu</t>
  </si>
  <si>
    <t>1025170127</t>
  </si>
  <si>
    <t>HARJAS DEEP SINGH</t>
  </si>
  <si>
    <t>hsingh6_be25</t>
  </si>
  <si>
    <t>hsingh6_be25@thapar.edu</t>
  </si>
  <si>
    <t>1025170121</t>
  </si>
  <si>
    <t>UTKARSH GUPTA</t>
  </si>
  <si>
    <t>7266342</t>
  </si>
  <si>
    <t>ugupta_be25</t>
  </si>
  <si>
    <t>ugupta_be25@thapar.edu</t>
  </si>
  <si>
    <t>1025170130</t>
  </si>
  <si>
    <t>Ansh Tiwari</t>
  </si>
  <si>
    <t>HARMANPREET KAUR</t>
  </si>
  <si>
    <t>hkaur6_be25</t>
  </si>
  <si>
    <t>hkaur6_be25@thapar.edu</t>
  </si>
  <si>
    <t>1025170139</t>
  </si>
  <si>
    <t>ANAMYA KUMAR</t>
  </si>
  <si>
    <t>akumar4_be25</t>
  </si>
  <si>
    <t>anshtiwari0611@gmail.com</t>
  </si>
  <si>
    <t>GURINDER SINGH</t>
  </si>
  <si>
    <t>gsingh8_be25</t>
  </si>
  <si>
    <t>gsingh8_be25@thapar.edu</t>
  </si>
  <si>
    <t>1025170124</t>
  </si>
  <si>
    <t>AADI GUPTA</t>
  </si>
  <si>
    <t>agupta1_be25</t>
  </si>
  <si>
    <t>VANSH SABHARWAL</t>
  </si>
  <si>
    <t>vsabharwal_be2</t>
  </si>
  <si>
    <t>vsabharwal_be25@thapar.edu</t>
  </si>
  <si>
    <t>1025170135</t>
  </si>
  <si>
    <t>Agrima Tiwari</t>
  </si>
  <si>
    <t>WARIS SINGH</t>
  </si>
  <si>
    <t>wsingh_be25</t>
  </si>
  <si>
    <t>wsingh_be25@thapar.edu</t>
  </si>
  <si>
    <t>1025170122</t>
  </si>
  <si>
    <t>NANCY SAINI</t>
  </si>
  <si>
    <t>nsaini_be25</t>
  </si>
  <si>
    <t>nsaini_be25@thapar.edu</t>
  </si>
  <si>
    <t>1025170134</t>
  </si>
  <si>
    <t>BRAHMBIR SINGH</t>
  </si>
  <si>
    <t>bsingh8_be25</t>
  </si>
  <si>
    <t>bsingh8_be25@thapar.edu</t>
  </si>
  <si>
    <t>1025170120</t>
  </si>
  <si>
    <t>atiwari5_be25@thapar.edu</t>
  </si>
  <si>
    <t>RAMANBIR SINGH</t>
  </si>
  <si>
    <t>rsingh6_be25</t>
  </si>
  <si>
    <t>rsingh6_be25@thapar.edu</t>
  </si>
  <si>
    <t>1025170138</t>
  </si>
  <si>
    <t>Aryan Tiwari</t>
  </si>
  <si>
    <t>ANKITA</t>
  </si>
  <si>
    <t>1025170433</t>
  </si>
  <si>
    <t>aanswal_be25</t>
  </si>
  <si>
    <t>aryantiwari.patiala@gmail.com</t>
  </si>
  <si>
    <t>HITAARTH ARYA</t>
  </si>
  <si>
    <t>harya_be25</t>
  </si>
  <si>
    <t>harya_be25@thapar.edu</t>
  </si>
  <si>
    <t>1025170141</t>
  </si>
  <si>
    <t>skaur14_be25</t>
  </si>
  <si>
    <t>skaur14_be25@thapar.edu</t>
  </si>
  <si>
    <t>1025170162</t>
  </si>
  <si>
    <t>PUNEET SINGH</t>
  </si>
  <si>
    <t>psingh4_be25</t>
  </si>
  <si>
    <t>psingh4_be25@thapar.edu</t>
  </si>
  <si>
    <t>1025170144</t>
  </si>
  <si>
    <t>ayati Tripathi</t>
  </si>
  <si>
    <t>KRISHIV GUPTA</t>
  </si>
  <si>
    <t>kgupta10_be25</t>
  </si>
  <si>
    <t>kgupta10_be25@thapar.edu</t>
  </si>
  <si>
    <t>1025170142</t>
  </si>
  <si>
    <t>PARAMVEER SINGH</t>
  </si>
  <si>
    <t>ayatitripathi07@gmail.com</t>
  </si>
  <si>
    <t>psingh2_be25</t>
  </si>
  <si>
    <t>psingh2_be25@thapar.edu</t>
  </si>
  <si>
    <t>1025170146</t>
  </si>
  <si>
    <t>RAGHAV TAYAL</t>
  </si>
  <si>
    <t>rtayal_be25</t>
  </si>
  <si>
    <t>rtayal_be25@thapar.edu</t>
  </si>
  <si>
    <t>1025170126</t>
  </si>
  <si>
    <t>DEEKSHAK BANGAR</t>
  </si>
  <si>
    <t>dbangar_be25</t>
  </si>
  <si>
    <t>dbangar_be25@thapar.edu</t>
  </si>
  <si>
    <t>1025170148</t>
  </si>
  <si>
    <t>PRABHSIMRAN KAUR</t>
  </si>
  <si>
    <t>pkaur2_be25</t>
  </si>
  <si>
    <t>pkaur2_be25@thapar.edu</t>
  </si>
  <si>
    <t>1025170140</t>
  </si>
  <si>
    <t>7266343</t>
  </si>
  <si>
    <t>MADHAV SINGLA</t>
  </si>
  <si>
    <t>msingla3_be25</t>
  </si>
  <si>
    <t>msingla3_be25@thapar.edu</t>
  </si>
  <si>
    <t>1025170145</t>
  </si>
  <si>
    <t>ptatat0211@gmail.com</t>
  </si>
  <si>
    <t>SHUBH CHATURVEDI</t>
  </si>
  <si>
    <t>schaturvedi_be</t>
  </si>
  <si>
    <t>schaturvedi_be25@thapar.edu</t>
  </si>
  <si>
    <t>1025170132</t>
  </si>
  <si>
    <t>AAKARSH SAKHUJA</t>
  </si>
  <si>
    <t>asakhuja_be25</t>
  </si>
  <si>
    <t>HARSH KALER</t>
  </si>
  <si>
    <t>hkaler_be25</t>
  </si>
  <si>
    <t>hkaler_be25@thapar.edu</t>
  </si>
  <si>
    <t>Aarush Tyagi</t>
  </si>
  <si>
    <t>1025170149</t>
  </si>
  <si>
    <t>KANIKA GARG</t>
  </si>
  <si>
    <t>kgarg10_be25</t>
  </si>
  <si>
    <t>kgarg10_be25@thapar.edu</t>
  </si>
  <si>
    <t>1025170170</t>
  </si>
  <si>
    <t>tyagi.aarush1757@gmail.com</t>
  </si>
  <si>
    <t>ANKUSH KAUNDAL</t>
  </si>
  <si>
    <t>akaundal_be25</t>
  </si>
  <si>
    <t>DIVANSH KHULLAR</t>
  </si>
  <si>
    <t>dkhullar_be25</t>
  </si>
  <si>
    <t>dkhullar_be25@thapar.edu</t>
  </si>
  <si>
    <t>1025170159</t>
  </si>
  <si>
    <t>pkaur5_be25</t>
  </si>
  <si>
    <t>pkaur5_be25@thapar.edu</t>
  </si>
  <si>
    <t>Aniket Vats</t>
  </si>
  <si>
    <t>1025170161</t>
  </si>
  <si>
    <t>SOHAM PANDA</t>
  </si>
  <si>
    <t>spanda_be25</t>
  </si>
  <si>
    <t>spanda_be25@thapar.edu</t>
  </si>
  <si>
    <t>1025170464</t>
  </si>
  <si>
    <t>aniketvats2006@gmail.com</t>
  </si>
  <si>
    <t>MANIT VERMA</t>
  </si>
  <si>
    <t>mverma_be25</t>
  </si>
  <si>
    <t>mverma_be25@thapar.edu</t>
  </si>
  <si>
    <t>1025170177</t>
  </si>
  <si>
    <t>PRASHANT BASWAN</t>
  </si>
  <si>
    <t>pbaswan_be25</t>
  </si>
  <si>
    <t>pbaswan_be25@thapar.edu</t>
  </si>
  <si>
    <t>1025170175</t>
  </si>
  <si>
    <t>ANANYA TANWAR</t>
  </si>
  <si>
    <t>atanwar3_be25</t>
  </si>
  <si>
    <t>atanwar3_be25@thapar.edu</t>
  </si>
  <si>
    <t>1025170167</t>
  </si>
  <si>
    <t>AKSHIPTIKA ARORA</t>
  </si>
  <si>
    <t>averma_be25@thapar.edu</t>
  </si>
  <si>
    <t>aarora7_be25</t>
  </si>
  <si>
    <t>Aakarshan Verma</t>
  </si>
  <si>
    <t>SMARPIT MENDIRATTA</t>
  </si>
  <si>
    <t>smendiratta_be</t>
  </si>
  <si>
    <t>smendiratta_be25@thapar.edu</t>
  </si>
  <si>
    <t>1025170381</t>
  </si>
  <si>
    <t>1025170461</t>
  </si>
  <si>
    <t>2006aakarshanverma@gmail.com</t>
  </si>
  <si>
    <t>JASMAN POUDEL</t>
  </si>
  <si>
    <t>jpoudel_be25</t>
  </si>
  <si>
    <t>jpoudel_be25@thapar.edu</t>
  </si>
  <si>
    <t>1025170460</t>
  </si>
  <si>
    <t>VARUN BANSAL</t>
  </si>
  <si>
    <t>7266344</t>
  </si>
  <si>
    <t>vbansal1_be25</t>
  </si>
  <si>
    <t>vbansal1_be25@thapar.edu</t>
  </si>
  <si>
    <t>1025170155</t>
  </si>
  <si>
    <t>jsingh15_be25</t>
  </si>
  <si>
    <t>jsingh15_be25@thapar.edu</t>
  </si>
  <si>
    <t>1025170165</t>
  </si>
  <si>
    <t>averma10_be25@thapar.edu</t>
  </si>
  <si>
    <t>Aman Verma</t>
  </si>
  <si>
    <t>SANCHIT GARG</t>
  </si>
  <si>
    <t>sgarg7_be25</t>
  </si>
  <si>
    <t>sgarg7_be25@thapar.edu</t>
  </si>
  <si>
    <t>1025170154</t>
  </si>
  <si>
    <t>1025230096</t>
  </si>
  <si>
    <t>TARANG MAHAJAN</t>
  </si>
  <si>
    <t>tmahajan_be25</t>
  </si>
  <si>
    <t>vermaaman0477@gmail.com</t>
  </si>
  <si>
    <t>tmahajan_be25@thapar.edu</t>
  </si>
  <si>
    <t>1025170172</t>
  </si>
  <si>
    <t>HARSH KUMAR SINGH</t>
  </si>
  <si>
    <t>hsingh15_be25</t>
  </si>
  <si>
    <t>hsingh15_be25@thapar.edu</t>
  </si>
  <si>
    <t>1025170160</t>
  </si>
  <si>
    <t>ASMIT</t>
  </si>
  <si>
    <t>aasmit_be25</t>
  </si>
  <si>
    <t>ARPEET ACHINT</t>
  </si>
  <si>
    <t>aachint_be25</t>
  </si>
  <si>
    <t>Abhinav Verma</t>
  </si>
  <si>
    <t>SIMARJEET SINGH</t>
  </si>
  <si>
    <t>ssingh35_be25</t>
  </si>
  <si>
    <t>ssingh35_be25@thapar.edu</t>
  </si>
  <si>
    <t>vabhinav0999@gmail.com</t>
  </si>
  <si>
    <t>1025170171</t>
  </si>
  <si>
    <t>AARAV AGRAWAL</t>
  </si>
  <si>
    <t>aagrawal4_be25</t>
  </si>
  <si>
    <t>JEEVANSH BHATIA</t>
  </si>
  <si>
    <t>jbhatia_be25</t>
  </si>
  <si>
    <t>jbhatia_be25@thapar.edu</t>
  </si>
  <si>
    <t>1025170152</t>
  </si>
  <si>
    <t>DEVANSH GUPTA</t>
  </si>
  <si>
    <t>dgupta5_be25</t>
  </si>
  <si>
    <t>dgupta5_be25@thapar.edu</t>
  </si>
  <si>
    <t>1025170158</t>
  </si>
  <si>
    <t>Anmol verma</t>
  </si>
  <si>
    <t>SANCHI GOEL</t>
  </si>
  <si>
    <t>sgoel2_be25</t>
  </si>
  <si>
    <t>sgoel2_be25@thapar.edu</t>
  </si>
  <si>
    <t>1025170178</t>
  </si>
  <si>
    <t>VANMOL6283@GMAIL.COM</t>
  </si>
  <si>
    <t>AARUSHI SHARMA</t>
  </si>
  <si>
    <t>asharma34_be25</t>
  </si>
  <si>
    <t>ssaksham_be25</t>
  </si>
  <si>
    <t>ssaksham_be25@thapar.edu</t>
  </si>
  <si>
    <t>1025170156</t>
  </si>
  <si>
    <t>YASH KAUSHIK</t>
  </si>
  <si>
    <t>averma15_be25@thapar.edu</t>
  </si>
  <si>
    <t>ykaushik_be25</t>
  </si>
  <si>
    <t>ykaushik_be25@thapar.edu</t>
  </si>
  <si>
    <t>1025170157</t>
  </si>
  <si>
    <t>7266345</t>
  </si>
  <si>
    <t>Aakarsh Verma</t>
  </si>
  <si>
    <t>UTSAV KHANAL</t>
  </si>
  <si>
    <t>ukhanal_be25</t>
  </si>
  <si>
    <t>ukhanal_be25@thapar.edu</t>
  </si>
  <si>
    <t>1025230129</t>
  </si>
  <si>
    <t>1025170462</t>
  </si>
  <si>
    <t>AMITESH KAURA</t>
  </si>
  <si>
    <t>akaura_be25</t>
  </si>
  <si>
    <t>PULKIT</t>
  </si>
  <si>
    <t>ppulkit_be25</t>
  </si>
  <si>
    <t>ppulkit_be25@thapar.edu</t>
  </si>
  <si>
    <t>1025170180</t>
  </si>
  <si>
    <t>hkaur7_be25</t>
  </si>
  <si>
    <t>hkaur7_be25@thapar.edu</t>
  </si>
  <si>
    <t>1025170163</t>
  </si>
  <si>
    <t>Averma2_be25@thapar.edu</t>
  </si>
  <si>
    <t>Aditya Kumar Verma</t>
  </si>
  <si>
    <t>AADARSH SHRIVASTAV</t>
  </si>
  <si>
    <t>ashrivastav_be</t>
  </si>
  <si>
    <t>1025030018</t>
  </si>
  <si>
    <t>HIMANSHU</t>
  </si>
  <si>
    <t>Aditya.verma1408@gmail.com</t>
  </si>
  <si>
    <t>hsangwan_be25</t>
  </si>
  <si>
    <t>hsangwan_be25@thapar.edu</t>
  </si>
  <si>
    <t>1025170198</t>
  </si>
  <si>
    <t>2TCD(2TC1) IEP STUDENT ORIGINAL ALLOTED BATCH 2C11</t>
  </si>
  <si>
    <t>ADITYA KUMAR</t>
  </si>
  <si>
    <t>akumar3_be25</t>
  </si>
  <si>
    <t>averma3_be25@thapar.edu</t>
  </si>
  <si>
    <t>NISHTHA UPPAL</t>
  </si>
  <si>
    <t>nuppal_be25</t>
  </si>
  <si>
    <t>nuppal_be25@thapar.edu</t>
  </si>
  <si>
    <t>1025170196</t>
  </si>
  <si>
    <t>Aditya Verma</t>
  </si>
  <si>
    <t>1025170434</t>
  </si>
  <si>
    <t>NAMAN GUPTA</t>
  </si>
  <si>
    <t>ngupta2_be25</t>
  </si>
  <si>
    <t>ngupta2_be25@thapar.edu</t>
  </si>
  <si>
    <t>1025170202</t>
  </si>
  <si>
    <t>adityaverma0312@gmail.com</t>
  </si>
  <si>
    <t>SHREYA</t>
  </si>
  <si>
    <t>sshreya1_be25</t>
  </si>
  <si>
    <t>sshreya1_be25@thapar.edu</t>
  </si>
  <si>
    <t>1025170201</t>
  </si>
  <si>
    <t>RISHANK SHARMA</t>
  </si>
  <si>
    <t>rsharma4_be25</t>
  </si>
  <si>
    <t>rsharma4_be25@thapar.edu</t>
  </si>
  <si>
    <t>1025170187</t>
  </si>
  <si>
    <t>SHASHWAT</t>
  </si>
  <si>
    <t>sshashwat_be25</t>
  </si>
  <si>
    <t>sshashwat_be25@thapar.edu</t>
  </si>
  <si>
    <t>1025170207</t>
  </si>
  <si>
    <t>Amiti vetma</t>
  </si>
  <si>
    <t>RAGHAV SHARMA</t>
  </si>
  <si>
    <t>rsharma1_be25</t>
  </si>
  <si>
    <t>rsharma1_be25@thapar.edu</t>
  </si>
  <si>
    <t>1025170208</t>
  </si>
  <si>
    <t>7266346</t>
  </si>
  <si>
    <t>SARMANDEEP SINGH KAHLON</t>
  </si>
  <si>
    <t>skahlon_be25</t>
  </si>
  <si>
    <t>skahlon_be25@thapar.edu</t>
  </si>
  <si>
    <t>1025170188</t>
  </si>
  <si>
    <t>AGAMJOT SINGH</t>
  </si>
  <si>
    <t>asingh12_be25</t>
  </si>
  <si>
    <t>averma6_be25@thapar.edu</t>
  </si>
  <si>
    <t>LOVE AGARWAL</t>
  </si>
  <si>
    <t>lagarwal_be25</t>
  </si>
  <si>
    <t>lagarwal_be25@thapar.edu</t>
  </si>
  <si>
    <t>1025170181</t>
  </si>
  <si>
    <t>Arjun Verma</t>
  </si>
  <si>
    <t>PANCHAM JINDAL</t>
  </si>
  <si>
    <t>1025230042</t>
  </si>
  <si>
    <t>pjindal2_be25</t>
  </si>
  <si>
    <t>pjindal2_be25@thapar.edu</t>
  </si>
  <si>
    <t>1025170184</t>
  </si>
  <si>
    <t>arjunverma145001@gmail.com</t>
  </si>
  <si>
    <t>VINAYAK GOYAL</t>
  </si>
  <si>
    <t>vgoyal7_be25</t>
  </si>
  <si>
    <t>vgoyal7_be25@thapar.edu</t>
  </si>
  <si>
    <t>1025170190</t>
  </si>
  <si>
    <t>KESHAV MONGA</t>
  </si>
  <si>
    <t>kmonga_be25</t>
  </si>
  <si>
    <t>kmonga_be25@thapar.edu</t>
  </si>
  <si>
    <t>1025170186</t>
  </si>
  <si>
    <t>CHESHTHA</t>
  </si>
  <si>
    <t>ccheshtha_be25</t>
  </si>
  <si>
    <t>ccheshtha_be25@thapar.edu</t>
  </si>
  <si>
    <t>1025170183</t>
  </si>
  <si>
    <t>YUVRAJ KUKREJA</t>
  </si>
  <si>
    <t>ykukreja_be25</t>
  </si>
  <si>
    <t>ykukreja_be25@thapar.edu</t>
  </si>
  <si>
    <t>1025170192</t>
  </si>
  <si>
    <t>SHREYANSH VERMA</t>
  </si>
  <si>
    <t>sverma5_be25</t>
  </si>
  <si>
    <t>Aryan.verma5947@thapar.edu</t>
  </si>
  <si>
    <t>sverma5_be25@thapar.edu</t>
  </si>
  <si>
    <t>1025170210</t>
  </si>
  <si>
    <t>RIYA SINGH</t>
  </si>
  <si>
    <t>rsingh15_be25</t>
  </si>
  <si>
    <t>rsingh15_be25@thapar.edu</t>
  </si>
  <si>
    <t>1025170199</t>
  </si>
  <si>
    <t>YAKSHIT BANSAL</t>
  </si>
  <si>
    <t>ybansal2_be25</t>
  </si>
  <si>
    <t>ybansal2_be25@thapar.edu</t>
  </si>
  <si>
    <t>1025170189</t>
  </si>
  <si>
    <t>MEHAR</t>
  </si>
  <si>
    <t>mmehar_be25</t>
  </si>
  <si>
    <t>mmehar_be25@thapar.edu</t>
  </si>
  <si>
    <t>ANSH VERMA</t>
  </si>
  <si>
    <t>1025170206</t>
  </si>
  <si>
    <t>AADITYA JAIN</t>
  </si>
  <si>
    <t>ajain13_be25</t>
  </si>
  <si>
    <t>itsanshverma1998@gmail.com</t>
  </si>
  <si>
    <t>GURKIRAT SINGH</t>
  </si>
  <si>
    <t>gsingh18_be25</t>
  </si>
  <si>
    <t>gsingh18_be25@thapar.edu</t>
  </si>
  <si>
    <t>1025170203</t>
  </si>
  <si>
    <t>KRISH KUMAR SINGH</t>
  </si>
  <si>
    <t>ksingh_be25</t>
  </si>
  <si>
    <t>ksingh_be25@thapar.edu</t>
  </si>
  <si>
    <t>1025170193</t>
  </si>
  <si>
    <t>RADHIKA TYAGI</t>
  </si>
  <si>
    <t>rtyagi_be25</t>
  </si>
  <si>
    <t>rtyagi_be25@thapar.edu</t>
  </si>
  <si>
    <t>1025170209</t>
  </si>
  <si>
    <t>7266347</t>
  </si>
  <si>
    <t>Ajit yadav</t>
  </si>
  <si>
    <t>SARGUN KAUR</t>
  </si>
  <si>
    <t>skaur8_be25</t>
  </si>
  <si>
    <t>skaur8_be25@thapar.edu</t>
  </si>
  <si>
    <t>1025170204</t>
  </si>
  <si>
    <t>RONIT SETHI</t>
  </si>
  <si>
    <t>ajityadavsvp@gmail.com</t>
  </si>
  <si>
    <t>rsethi1_be25</t>
  </si>
  <si>
    <t>rsethi1_be25@thapar.edu</t>
  </si>
  <si>
    <t>1025170185</t>
  </si>
  <si>
    <t>TANUJ GARG</t>
  </si>
  <si>
    <t>tgarg_be25</t>
  </si>
  <si>
    <t>tgarg_be25@thapar.edu</t>
  </si>
  <si>
    <t>1025170194</t>
  </si>
  <si>
    <t>ANAY GUPTA</t>
  </si>
  <si>
    <t>agupta8_be25</t>
  </si>
  <si>
    <t>Akanksha Yadav</t>
  </si>
  <si>
    <t>DHAIRYA KUMAR</t>
  </si>
  <si>
    <t>dkumar3_be25</t>
  </si>
  <si>
    <t>dkumar3_be25@thapar.edu</t>
  </si>
  <si>
    <t>1025170182</t>
  </si>
  <si>
    <t>ak.yadav1319@gmail.com</t>
  </si>
  <si>
    <t>SHOURYA GOEL</t>
  </si>
  <si>
    <t>sgoel1_be25</t>
  </si>
  <si>
    <t>sgoel1_be25@thapar.edu</t>
  </si>
  <si>
    <t>1025170237</t>
  </si>
  <si>
    <t>VINESH AGGARWAL</t>
  </si>
  <si>
    <t>vaggarwal_be25</t>
  </si>
  <si>
    <t>vaggarwal_be25@thapar.edu</t>
  </si>
  <si>
    <t>1025170230</t>
  </si>
  <si>
    <t>DAKSH BAWA</t>
  </si>
  <si>
    <t>dbawa1_be25</t>
  </si>
  <si>
    <t>dbawa1_be25@thapar.edu</t>
  </si>
  <si>
    <t>1025170213</t>
  </si>
  <si>
    <t>ayadav3_be25@thapar.edu</t>
  </si>
  <si>
    <t>BHAVYA JINDAL</t>
  </si>
  <si>
    <t>bjindal_be25</t>
  </si>
  <si>
    <t>Anuj Yadav</t>
  </si>
  <si>
    <t>bjindal_be25@thapar.edu</t>
  </si>
  <si>
    <t>1025170218</t>
  </si>
  <si>
    <t>1025230113</t>
  </si>
  <si>
    <t>SRIJIT YADAV</t>
  </si>
  <si>
    <t>syadav1_be25</t>
  </si>
  <si>
    <t>syadav1_be25@thapar.edu</t>
  </si>
  <si>
    <t>Anujy00456@gmail.com</t>
  </si>
  <si>
    <t>1025170222</t>
  </si>
  <si>
    <t>MANRAJ SINGH SANDHU</t>
  </si>
  <si>
    <t>msandhu1_be25</t>
  </si>
  <si>
    <t>msandhu1_be25@thapar.edu</t>
  </si>
  <si>
    <t>1025170234</t>
  </si>
  <si>
    <t>GANTAVYA MAHIPAL</t>
  </si>
  <si>
    <t>gmahipal_be25</t>
  </si>
  <si>
    <t>gmahipal_be25@thapar.edu</t>
  </si>
  <si>
    <t>Anavil Yadav</t>
  </si>
  <si>
    <t>1025170227</t>
  </si>
  <si>
    <t>7266348</t>
  </si>
  <si>
    <t>TISHA GOEL</t>
  </si>
  <si>
    <t>tgoel1_be25</t>
  </si>
  <si>
    <t>tgoel1_be25@thapar.edu</t>
  </si>
  <si>
    <t>1025170212</t>
  </si>
  <si>
    <t>now0139@gmail.com</t>
  </si>
  <si>
    <t>ASHMEEN KAUR GILL</t>
  </si>
  <si>
    <t>agill1_be25</t>
  </si>
  <si>
    <t>LIVPREET SINGH AHUJA</t>
  </si>
  <si>
    <t>lahuja_be25</t>
  </si>
  <si>
    <t>lahuja_be25@thapar.edu</t>
  </si>
  <si>
    <t>1025170236</t>
  </si>
  <si>
    <t>VRINDA TANEJA</t>
  </si>
  <si>
    <t>vtaneja_be25</t>
  </si>
  <si>
    <t>vtaneja_be25@thapar.edu</t>
  </si>
  <si>
    <t>1025170228</t>
  </si>
  <si>
    <t>Aman yadav</t>
  </si>
  <si>
    <t>PRIKSHIT SINGH DHALLA</t>
  </si>
  <si>
    <t>pdhalla_be25</t>
  </si>
  <si>
    <t>pdhalla_be25@thapar.edu</t>
  </si>
  <si>
    <t>1025170226</t>
  </si>
  <si>
    <t>amanyadav798233@gmail.com</t>
  </si>
  <si>
    <t>DAKSH KATHURIA</t>
  </si>
  <si>
    <t>dkathuria_be25</t>
  </si>
  <si>
    <t>dkathuria_be25@thapar.edu</t>
  </si>
  <si>
    <t>1025170221</t>
  </si>
  <si>
    <t>SHUBHNEET KAUR</t>
  </si>
  <si>
    <t>skaur10_be25</t>
  </si>
  <si>
    <t>skaur10_be25@thapar.edu</t>
  </si>
  <si>
    <t>1025170223</t>
  </si>
  <si>
    <t>SARANG ANAND</t>
  </si>
  <si>
    <t>sanand_be25</t>
  </si>
  <si>
    <t>sanand_be25@thapar.edu</t>
  </si>
  <si>
    <t>1025170225</t>
  </si>
  <si>
    <t>Bhavdeep Singh Anand</t>
  </si>
  <si>
    <t>PURU JAIN</t>
  </si>
  <si>
    <t>puru_jain15</t>
  </si>
  <si>
    <t>pjain4_be25@thapar.edu</t>
  </si>
  <si>
    <t>1025170238</t>
  </si>
  <si>
    <t>SIMRAN</t>
  </si>
  <si>
    <t>ssimran_be25</t>
  </si>
  <si>
    <t>ssimran_be25@thapar.edu</t>
  </si>
  <si>
    <t>1025170211</t>
  </si>
  <si>
    <t>bhavdeep.anand0006@gmail.com</t>
  </si>
  <si>
    <t>PRIYA</t>
  </si>
  <si>
    <t>ppriya_be25</t>
  </si>
  <si>
    <t>ppriya_be25@thapar.edu</t>
  </si>
  <si>
    <t>1025170240</t>
  </si>
  <si>
    <t>KESHAV BANSAL</t>
  </si>
  <si>
    <t>kbansal2_be25</t>
  </si>
  <si>
    <t>kbansal2_be25@thapar.edu</t>
  </si>
  <si>
    <t>1025170239</t>
  </si>
  <si>
    <t>SACHIT MAHAJAN</t>
  </si>
  <si>
    <t>smahajan1_be25</t>
  </si>
  <si>
    <t>smahajan1_be25@thapar.edu</t>
  </si>
  <si>
    <t>1025170216</t>
  </si>
  <si>
    <t>Bansal1_be25@thapar.edu</t>
  </si>
  <si>
    <t>SANYAM GUMBER</t>
  </si>
  <si>
    <t>sgumber_be25</t>
  </si>
  <si>
    <t>Abhi bansal</t>
  </si>
  <si>
    <t>sgumber_be25@thapar.edu</t>
  </si>
  <si>
    <t>1025170215</t>
  </si>
  <si>
    <t>7266349</t>
  </si>
  <si>
    <t>HARSHIT SYAL</t>
  </si>
  <si>
    <t>abhibansal000001@gmail.com</t>
  </si>
  <si>
    <t>hsyal_be25</t>
  </si>
  <si>
    <t>hsyal_be25@thapar.edu</t>
  </si>
  <si>
    <t>1025170224</t>
  </si>
  <si>
    <t>Namit Jain</t>
  </si>
  <si>
    <t>njain_be25</t>
  </si>
  <si>
    <t>njain_be25@thapar.edu</t>
  </si>
  <si>
    <t>1025170229</t>
  </si>
  <si>
    <t>NAMAN KAUSHIK</t>
  </si>
  <si>
    <t>nkaushik_be25</t>
  </si>
  <si>
    <t>nkaushik_be25@thapar.edu</t>
  </si>
  <si>
    <t>1025170220</t>
  </si>
  <si>
    <t>AGRIM JAIN</t>
  </si>
  <si>
    <t>ajain3_be25</t>
  </si>
  <si>
    <t>Bavika</t>
  </si>
  <si>
    <t>PARNEET SINGH</t>
  </si>
  <si>
    <t>psingh9_be25</t>
  </si>
  <si>
    <t>psingh9_be25@thapar.edu</t>
  </si>
  <si>
    <t>1025170233</t>
  </si>
  <si>
    <t>bavikasingla833@gmail.com</t>
  </si>
  <si>
    <t>HARMANJOT SINGH</t>
  </si>
  <si>
    <t>hsingh10_be25</t>
  </si>
  <si>
    <t>hsingh10_be25@thapar.edu</t>
  </si>
  <si>
    <t>1025170232</t>
  </si>
  <si>
    <t>AKSHAT GUPTA</t>
  </si>
  <si>
    <t>agupta17_be25</t>
  </si>
  <si>
    <t>ssingh19_be25</t>
  </si>
  <si>
    <t>ssingh19_be25@thapar.edu</t>
  </si>
  <si>
    <t>1025170266</t>
  </si>
  <si>
    <t>Bhavika</t>
  </si>
  <si>
    <t>REET SINGH</t>
  </si>
  <si>
    <t>rsingh12_be25</t>
  </si>
  <si>
    <t>rsingh12_be25@thapar.edu</t>
  </si>
  <si>
    <t>1025170265</t>
  </si>
  <si>
    <t>bhavikajindal017@gmail.com</t>
  </si>
  <si>
    <t>EKTA TANEJA</t>
  </si>
  <si>
    <t>etaneja_be25</t>
  </si>
  <si>
    <t>etaneja_be25@thapar.edu</t>
  </si>
  <si>
    <t>1025170454</t>
  </si>
  <si>
    <t>ROHIT MAKHIJANI</t>
  </si>
  <si>
    <t>rmakhijani_be2</t>
  </si>
  <si>
    <t>rmakhijani_be25@thapar.edu</t>
  </si>
  <si>
    <t>1025170453</t>
  </si>
  <si>
    <t>SHUBH GARG</t>
  </si>
  <si>
    <t>sgarg12_be25</t>
  </si>
  <si>
    <t>sgarg12_be25@thapar.edu</t>
  </si>
  <si>
    <t>1025170452</t>
  </si>
  <si>
    <t>Bhavisha</t>
  </si>
  <si>
    <t>LAKSH JINDAL</t>
  </si>
  <si>
    <t>ljindal_be25</t>
  </si>
  <si>
    <t>ljindal_be25@thapar.edu</t>
  </si>
  <si>
    <t>1025170242</t>
  </si>
  <si>
    <t>bhavishatulani@gmail.com</t>
  </si>
  <si>
    <t>ANSHIKA AGARWAL</t>
  </si>
  <si>
    <t>aagarwal5_be25</t>
  </si>
  <si>
    <t>7266350</t>
  </si>
  <si>
    <t>hgupta2_be25</t>
  </si>
  <si>
    <t>hgupta2_be25@thapar.edu</t>
  </si>
  <si>
    <t>1025170244</t>
  </si>
  <si>
    <t>SHREYA MANSOORIE</t>
  </si>
  <si>
    <t>smansoorie_be2</t>
  </si>
  <si>
    <t>smansoorie_be25@thapar.edu</t>
  </si>
  <si>
    <t>1025170241</t>
  </si>
  <si>
    <t>SAUBHAGYA SINGH</t>
  </si>
  <si>
    <t>ssingh11_be25</t>
  </si>
  <si>
    <t>ssingh11_be25@thapar.edu</t>
  </si>
  <si>
    <t>1025170249</t>
  </si>
  <si>
    <t>Bhavya</t>
  </si>
  <si>
    <t>sshreya_be25</t>
  </si>
  <si>
    <t>sshreya_be25@thapar.edu</t>
  </si>
  <si>
    <t>1025170257</t>
  </si>
  <si>
    <t>bhavya78218@gmail.com</t>
  </si>
  <si>
    <t>KUSHAL</t>
  </si>
  <si>
    <t>kkushal1_be25</t>
  </si>
  <si>
    <t>kkushal1_be25@thapar.edu</t>
  </si>
  <si>
    <t>1025170248</t>
  </si>
  <si>
    <t>TEJAS NAMDEV</t>
  </si>
  <si>
    <t>tnamdev_be25</t>
  </si>
  <si>
    <t>tnamdev_be25@thapar.edu</t>
  </si>
  <si>
    <t>1025170252</t>
  </si>
  <si>
    <t>SARTHAK GUPTA</t>
  </si>
  <si>
    <t>sgupta13_be25</t>
  </si>
  <si>
    <t>sgupta13_be25@thapar.edu</t>
  </si>
  <si>
    <t>1025170245</t>
  </si>
  <si>
    <t>ANCHAL</t>
  </si>
  <si>
    <t>aanchal_be25</t>
  </si>
  <si>
    <t>aanchal_be25@thapar.edu</t>
  </si>
  <si>
    <t>bhvya0715@gmail.com</t>
  </si>
  <si>
    <t>AMBUJ YADAV</t>
  </si>
  <si>
    <t>ayadav2_be25</t>
  </si>
  <si>
    <t>ayadav2_be25@thapar.edu</t>
  </si>
  <si>
    <t>1025170267</t>
  </si>
  <si>
    <t>NAMAN BANSAL</t>
  </si>
  <si>
    <t>nbansal3_be25</t>
  </si>
  <si>
    <t>nbansal3_be25@thapar.edu</t>
  </si>
  <si>
    <t>1025170261</t>
  </si>
  <si>
    <t>KARTIKAIN SHARMA</t>
  </si>
  <si>
    <t>ksharma5_be25</t>
  </si>
  <si>
    <t>ksharma5_be25@thapar.edu</t>
  </si>
  <si>
    <t>1025170251</t>
  </si>
  <si>
    <t>SHRIJAL RAINA</t>
  </si>
  <si>
    <t>Bhoomi</t>
  </si>
  <si>
    <t>sraina_be25</t>
  </si>
  <si>
    <t>sraina_be25@thapar.edu</t>
  </si>
  <si>
    <t>1025170255</t>
  </si>
  <si>
    <t>SAKSHAM GARG</t>
  </si>
  <si>
    <t>sgarg5_be25</t>
  </si>
  <si>
    <t>sgarg5_be25@thapar.edu</t>
  </si>
  <si>
    <t>bhoomigarg2212@gmail.com</t>
  </si>
  <si>
    <t>1025170262</t>
  </si>
  <si>
    <t>DIVYANI</t>
  </si>
  <si>
    <t>ddivyani_be25</t>
  </si>
  <si>
    <t>ddivyani_be25@thapar.edu</t>
  </si>
  <si>
    <t>1025170243</t>
  </si>
  <si>
    <t>7266351</t>
  </si>
  <si>
    <t>ARYAN</t>
  </si>
  <si>
    <t>aaryan2_be25</t>
  </si>
  <si>
    <t>aaryan2_be25@thapar.edu</t>
  </si>
  <si>
    <t>1025170263</t>
  </si>
  <si>
    <t>Bbhoomika_be25@thapar.edu</t>
  </si>
  <si>
    <t>GAURISH JAIDKA</t>
  </si>
  <si>
    <t>gjaidka_be25</t>
  </si>
  <si>
    <t>Bhoomika</t>
  </si>
  <si>
    <t>gjaidka_be25@thapar.edu</t>
  </si>
  <si>
    <t>1025170258</t>
  </si>
  <si>
    <t>SIYA GOYAL</t>
  </si>
  <si>
    <t>sgoyal_be25</t>
  </si>
  <si>
    <t>sgoyal_be25@thapar.edu</t>
  </si>
  <si>
    <t>1025170256</t>
  </si>
  <si>
    <t>VANSH RALLY</t>
  </si>
  <si>
    <t>vrally_be25</t>
  </si>
  <si>
    <t>vrally_be25@thapar.edu</t>
  </si>
  <si>
    <t>1025170259</t>
  </si>
  <si>
    <t>VIVEK AGRAWAL</t>
  </si>
  <si>
    <t>vagrawal_be25</t>
  </si>
  <si>
    <t>vagrawal_be25@thapar.edu</t>
  </si>
  <si>
    <t>1025170254</t>
  </si>
  <si>
    <t>bbhumi_be25@thapar.edu</t>
  </si>
  <si>
    <t>HARSH KUMAR</t>
  </si>
  <si>
    <t>hkumar2_be25</t>
  </si>
  <si>
    <t>Bhumi</t>
  </si>
  <si>
    <t>hkumar2_be25@thapar.edu</t>
  </si>
  <si>
    <t>1025170247</t>
  </si>
  <si>
    <t>1025170270</t>
  </si>
  <si>
    <t>TRISHA MATHUR</t>
  </si>
  <si>
    <t>tmathur1_be25</t>
  </si>
  <si>
    <t>tmathur1_be25@thapar.edu</t>
  </si>
  <si>
    <t>1025170250</t>
  </si>
  <si>
    <t>Bhumir1213@gmail.com</t>
  </si>
  <si>
    <t>PRATYUSH SEHGAL</t>
  </si>
  <si>
    <t>psehgal_be25</t>
  </si>
  <si>
    <t>psehgal_be25@thapar.edu</t>
  </si>
  <si>
    <t>1025170296</t>
  </si>
  <si>
    <t>BHAVIA GUPTA</t>
  </si>
  <si>
    <t>bgupta2_be25</t>
  </si>
  <si>
    <t>bgupta2_be25@thapar.edu</t>
  </si>
  <si>
    <t>1025170272</t>
  </si>
  <si>
    <t>RASHMI</t>
  </si>
  <si>
    <t>rrashmi_be25</t>
  </si>
  <si>
    <t>rrashmi_be25@thapar.edu</t>
  </si>
  <si>
    <t>1025170282</t>
  </si>
  <si>
    <t>Bhuwan</t>
  </si>
  <si>
    <t>VANDIT GOYAL</t>
  </si>
  <si>
    <t>vgoyal4_be25</t>
  </si>
  <si>
    <t>vgoyal4_be25@thapar.edu</t>
  </si>
  <si>
    <t>1025170294</t>
  </si>
  <si>
    <t>bhuwangera030@gmail.com</t>
  </si>
  <si>
    <t>ABHAY PRATAP</t>
  </si>
  <si>
    <t>apratap_be25</t>
  </si>
  <si>
    <t>OM SINGH</t>
  </si>
  <si>
    <t>oms1ngh</t>
  </si>
  <si>
    <t>osingh_be25@thapar.edu</t>
  </si>
  <si>
    <t>1025170284</t>
  </si>
  <si>
    <t>RONAK AGARWAL</t>
  </si>
  <si>
    <t>ragarwal1_be25</t>
  </si>
  <si>
    <t>Bchahal_be25@thapar.edu</t>
  </si>
  <si>
    <t>ragarwal1_be25@thapar.edu</t>
  </si>
  <si>
    <t>1025170297</t>
  </si>
  <si>
    <t>Balrajinder Singh</t>
  </si>
  <si>
    <t>VAIBHAV VERMA</t>
  </si>
  <si>
    <t>vverma_be25</t>
  </si>
  <si>
    <t>vverma_be25@thapar.edu</t>
  </si>
  <si>
    <t>1025170283</t>
  </si>
  <si>
    <t>ANSHDEEP KAUR</t>
  </si>
  <si>
    <t>akaur4_be25</t>
  </si>
  <si>
    <t>7266352</t>
  </si>
  <si>
    <t>PRIYANSHE KAUL</t>
  </si>
  <si>
    <t>pkaul_be25</t>
  </si>
  <si>
    <t>pkaul_be25@thapar.edu</t>
  </si>
  <si>
    <t>1025170288</t>
  </si>
  <si>
    <t>UDAYVIR SINGH</t>
  </si>
  <si>
    <t>usingh_be25</t>
  </si>
  <si>
    <t>usingh_be25@thapar.edu</t>
  </si>
  <si>
    <t>1025170291</t>
  </si>
  <si>
    <t>Bdas_be25@thapar.edu</t>
  </si>
  <si>
    <t>LUKMAN SINGLA</t>
  </si>
  <si>
    <t>lsingla1_be25</t>
  </si>
  <si>
    <t>Baidurjya Mazumdar Das</t>
  </si>
  <si>
    <t>lsingla1_be25@thapar.edu</t>
  </si>
  <si>
    <t>1025170285</t>
  </si>
  <si>
    <t>BHUMI</t>
  </si>
  <si>
    <t>bbhumi_be25</t>
  </si>
  <si>
    <t>Baidurjya567@gmail.com</t>
  </si>
  <si>
    <t>KUNAL UDHANI</t>
  </si>
  <si>
    <t>kudhani_be25</t>
  </si>
  <si>
    <t>kudhani_be25@thapar.edu</t>
  </si>
  <si>
    <t>1025170290</t>
  </si>
  <si>
    <t>aagarwal7_be25</t>
  </si>
  <si>
    <t>UDIT SINGHAL</t>
  </si>
  <si>
    <t>bdhanda_be25@thapar.edu</t>
  </si>
  <si>
    <t>usinghal_be25</t>
  </si>
  <si>
    <t>usinghal_be25@thapar.edu</t>
  </si>
  <si>
    <t>1025170295</t>
  </si>
  <si>
    <t>Bikram Singh Dhanda</t>
  </si>
  <si>
    <t>PRISHA SHARMA</t>
  </si>
  <si>
    <t>psharma19_be25</t>
  </si>
  <si>
    <t>psharma19_be25@thapar.edu</t>
  </si>
  <si>
    <t>1025160117</t>
  </si>
  <si>
    <t>1025170274</t>
  </si>
  <si>
    <t>bikramsinghphysics@gmail.com</t>
  </si>
  <si>
    <t>PRABAL BHARDWAJ</t>
  </si>
  <si>
    <t>pbhardwaj1_be2</t>
  </si>
  <si>
    <t>pbhardwaj1_be25@thapar.edu</t>
  </si>
  <si>
    <t>1025170448</t>
  </si>
  <si>
    <t>ARSHIT</t>
  </si>
  <si>
    <t>aarshit_be25</t>
  </si>
  <si>
    <t>DEVANSH KAUSHIK</t>
  </si>
  <si>
    <t>dkaushik_be25</t>
  </si>
  <si>
    <t>dkaushik_be25@thapar.edu</t>
  </si>
  <si>
    <t>1025170298</t>
  </si>
  <si>
    <t>TARNI GUPTA</t>
  </si>
  <si>
    <t>tgupta2_be25</t>
  </si>
  <si>
    <t>tgupta2_be25@thapar.edu</t>
  </si>
  <si>
    <t>1025170268</t>
  </si>
  <si>
    <t>Bhavya Garg</t>
  </si>
  <si>
    <t>ANSHUMAN</t>
  </si>
  <si>
    <t>aanshuman_be25</t>
  </si>
  <si>
    <t>bhavyagarg0909@gmail.com</t>
  </si>
  <si>
    <t>SARAH KHANNA</t>
  </si>
  <si>
    <t>skhanna2_be25</t>
  </si>
  <si>
    <t>skhanna2_be25@thapar.edu</t>
  </si>
  <si>
    <t>1025170280</t>
  </si>
  <si>
    <t>7266353</t>
  </si>
  <si>
    <t>SARWANJOT SINGH</t>
  </si>
  <si>
    <t>ssingh6_be25</t>
  </si>
  <si>
    <t>ssingh6_be25@thapar.edu</t>
  </si>
  <si>
    <t>1025170281</t>
  </si>
  <si>
    <t>AYDHAS MENDIRATTA</t>
  </si>
  <si>
    <t>amendiratta_be</t>
  </si>
  <si>
    <t>Bgarg1_be25@thapar.edu</t>
  </si>
  <si>
    <t>VIDHI BANSAL</t>
  </si>
  <si>
    <t>vbansal2_be25</t>
  </si>
  <si>
    <t>vbansal2_be25@thapar.edu</t>
  </si>
  <si>
    <t>1025170292</t>
  </si>
  <si>
    <t>JASPREET KAUR</t>
  </si>
  <si>
    <t>Bhavyagarg1112@gmail.com</t>
  </si>
  <si>
    <t>jkaur3_be25</t>
  </si>
  <si>
    <t>jkaur3_be25@thapar.edu</t>
  </si>
  <si>
    <t>1025170275</t>
  </si>
  <si>
    <t>mkaur14_be25</t>
  </si>
  <si>
    <t>mkaur14_be25@thapar.edu</t>
  </si>
  <si>
    <t>1025170321</t>
  </si>
  <si>
    <t>asingla1_be25</t>
  </si>
  <si>
    <t>PARTH GUPTA</t>
  </si>
  <si>
    <t>pgupta5_be25</t>
  </si>
  <si>
    <t>pgupta5_be25@thapar.edu</t>
  </si>
  <si>
    <t>Bhavyansh Garg</t>
  </si>
  <si>
    <t>1025170316</t>
  </si>
  <si>
    <t>RAJEEV THAKUR</t>
  </si>
  <si>
    <t>rthakur4_be25</t>
  </si>
  <si>
    <t>rthakur4_be25@thapar.edu</t>
  </si>
  <si>
    <t>bhavyanshgarg00@gmail.com</t>
  </si>
  <si>
    <t>1025170300</t>
  </si>
  <si>
    <t>dvashist_be25</t>
  </si>
  <si>
    <t>dvashist_be25@thapar.edu</t>
  </si>
  <si>
    <t>1025170305</t>
  </si>
  <si>
    <t>MEDHA KAUSHAL</t>
  </si>
  <si>
    <t>mkaushal_be25</t>
  </si>
  <si>
    <t>mkaushal_be25@thapar.edu</t>
  </si>
  <si>
    <t>1025170315</t>
  </si>
  <si>
    <t>SHUBH GULATI</t>
  </si>
  <si>
    <t>sgulati1_be25</t>
  </si>
  <si>
    <t>sgulati1_be25@thapar.edu</t>
  </si>
  <si>
    <t>Bgarg3_be25@thapar.edu</t>
  </si>
  <si>
    <t>1025170314</t>
  </si>
  <si>
    <t>Bhuvesh Garg</t>
  </si>
  <si>
    <t>BHAGWANT SINGH</t>
  </si>
  <si>
    <t>bsingh1_be25</t>
  </si>
  <si>
    <t>bsingh1_be25@thapar.edu</t>
  </si>
  <si>
    <t>1025170322</t>
  </si>
  <si>
    <t>1025170418</t>
  </si>
  <si>
    <t>DEVANSHU SINGH</t>
  </si>
  <si>
    <t>dsingh3_be25</t>
  </si>
  <si>
    <t>bhuveshgarg990@gmail.com</t>
  </si>
  <si>
    <t>dsingh3_be25@thapar.edu</t>
  </si>
  <si>
    <t>1025170299</t>
  </si>
  <si>
    <t>HARSIMRAN KAUR</t>
  </si>
  <si>
    <t>hkaur13_be25</t>
  </si>
  <si>
    <t>hkaur13_be25@thapar.edu</t>
  </si>
  <si>
    <t>1025170324</t>
  </si>
  <si>
    <t>RITIKA TIWARI</t>
  </si>
  <si>
    <t>rtiwari1_be25</t>
  </si>
  <si>
    <t>rtiwari1_be25@thapar.edu</t>
  </si>
  <si>
    <t>1025170451</t>
  </si>
  <si>
    <t>7266354</t>
  </si>
  <si>
    <t>Bgarg4_be25@thapar.edu</t>
  </si>
  <si>
    <t>YUGNISH GARG</t>
  </si>
  <si>
    <t>ygarg1_be25</t>
  </si>
  <si>
    <t>ygarg1_be25@thapar.edu</t>
  </si>
  <si>
    <t>1025170317</t>
  </si>
  <si>
    <t>Bhavik garg</t>
  </si>
  <si>
    <t>YASHANSH GUPTA</t>
  </si>
  <si>
    <t>ygupta1_be25</t>
  </si>
  <si>
    <t>ygupta1_be25@thapar.edu</t>
  </si>
  <si>
    <t>1025170320</t>
  </si>
  <si>
    <t>Gargb0621@gmail.com</t>
  </si>
  <si>
    <t>VARUN BAJAJ</t>
  </si>
  <si>
    <t>vbajaj1_be25</t>
  </si>
  <si>
    <t>vbajaj1_be25@thapar.edu</t>
  </si>
  <si>
    <t>1025170456</t>
  </si>
  <si>
    <t>DHAIRYA</t>
  </si>
  <si>
    <t>ddhupar_be25</t>
  </si>
  <si>
    <t>ddhupar_be25@thapar.edu</t>
  </si>
  <si>
    <t>1025170308</t>
  </si>
  <si>
    <t>ARYAN CHOUDHARY</t>
  </si>
  <si>
    <t>achoudhary_be2</t>
  </si>
  <si>
    <t>Bhavya Goyal</t>
  </si>
  <si>
    <t>JATIN GARG</t>
  </si>
  <si>
    <t>jgarg2_be25</t>
  </si>
  <si>
    <t>jgarg2_be25@thapar.edu</t>
  </si>
  <si>
    <t>1025170303</t>
  </si>
  <si>
    <t>07bhavyagoyal@gmail.com</t>
  </si>
  <si>
    <t>NAINA BANSAL</t>
  </si>
  <si>
    <t>nbansal_be25</t>
  </si>
  <si>
    <t>nbansal_be25@thapar.edu</t>
  </si>
  <si>
    <t>1025170306</t>
  </si>
  <si>
    <t>ABHIMANYU GAUBA</t>
  </si>
  <si>
    <t>agauba_be25</t>
  </si>
  <si>
    <t>ABHINAV SAINI</t>
  </si>
  <si>
    <t>asaini3_be25</t>
  </si>
  <si>
    <t>asaini3_be25@thapar.edu</t>
  </si>
  <si>
    <t>1025170323</t>
  </si>
  <si>
    <t>SANVI SINGH</t>
  </si>
  <si>
    <t>ssingh_be25</t>
  </si>
  <si>
    <t>ssingh_be25@thapar.edu</t>
  </si>
  <si>
    <t>1025170301</t>
  </si>
  <si>
    <t>APRAJITA CHOPRA</t>
  </si>
  <si>
    <t>bhavitgoyal28@gmail.com</t>
  </si>
  <si>
    <t>achopra_be25</t>
  </si>
  <si>
    <t>DAIWIK GARG</t>
  </si>
  <si>
    <t>dgarg2_be25</t>
  </si>
  <si>
    <t>dgarg2_be25@thapar.edu</t>
  </si>
  <si>
    <t>1025170311</t>
  </si>
  <si>
    <t>DAKSH JINDAL</t>
  </si>
  <si>
    <t>djindal2_be25</t>
  </si>
  <si>
    <t>djindal2_be25@thapar.edu</t>
  </si>
  <si>
    <t>1025170319</t>
  </si>
  <si>
    <t>KUSHAGAR SHARMA</t>
  </si>
  <si>
    <t>ksharma6_be25</t>
  </si>
  <si>
    <t>ksharma6_be25@thapar.edu</t>
  </si>
  <si>
    <t>1025170246</t>
  </si>
  <si>
    <t>7266355</t>
  </si>
  <si>
    <t>AARAV GOYAL</t>
  </si>
  <si>
    <t>agoyal9_be25</t>
  </si>
  <si>
    <t>GARVIT SHARMA</t>
  </si>
  <si>
    <t>gsharma1_be25</t>
  </si>
  <si>
    <t>goyal7197bhavya@gmail.com</t>
  </si>
  <si>
    <t>gsharma1_be25@thapar.edu</t>
  </si>
  <si>
    <t>1025170302</t>
  </si>
  <si>
    <t>SUSWAGATTOM HAZRA</t>
  </si>
  <si>
    <t>suswagattom</t>
  </si>
  <si>
    <t>shazra_be25@thapar.edu</t>
  </si>
  <si>
    <t>1025170325</t>
  </si>
  <si>
    <t>RIJUL JAIN</t>
  </si>
  <si>
    <t>rjain1_be25</t>
  </si>
  <si>
    <t>rjain1_be25@thapar.edu</t>
  </si>
  <si>
    <t>Bgupta_be25@thapar.edu</t>
  </si>
  <si>
    <t>1025170310</t>
  </si>
  <si>
    <t>Bhoovi Gupta</t>
  </si>
  <si>
    <t>SEERAT KHARBANDA</t>
  </si>
  <si>
    <t>skharbanda_be2</t>
  </si>
  <si>
    <t>skharbanda_be25@thapar.edu</t>
  </si>
  <si>
    <t>1025170326</t>
  </si>
  <si>
    <t>DIKSHIT CHAUDHARY</t>
  </si>
  <si>
    <t>Bhoovigupta07@gmail.com</t>
  </si>
  <si>
    <t>dchaudhary_be2</t>
  </si>
  <si>
    <t>dchaudhary_be25@thapar.edu</t>
  </si>
  <si>
    <t>1025170353</t>
  </si>
  <si>
    <t>TUSHAR GARG</t>
  </si>
  <si>
    <t>tgarg1_be25</t>
  </si>
  <si>
    <t>tgarg1_be25@thapar.edu</t>
  </si>
  <si>
    <t>1025170350</t>
  </si>
  <si>
    <t>SARGUN SINGH DHANJU</t>
  </si>
  <si>
    <t>sdhanju_be25</t>
  </si>
  <si>
    <t>sdhanju_be25@thapar.edu</t>
  </si>
  <si>
    <t>1025170329</t>
  </si>
  <si>
    <t>Bhavia Gupta</t>
  </si>
  <si>
    <t>nigga1q</t>
  </si>
  <si>
    <t>skhatri_be25</t>
  </si>
  <si>
    <t>skhatri_be25@thapar.edu</t>
  </si>
  <si>
    <t>1025170334</t>
  </si>
  <si>
    <t>TARANG KAROL</t>
  </si>
  <si>
    <t>tkarol_be25</t>
  </si>
  <si>
    <t>singlabhavia@gmail.com</t>
  </si>
  <si>
    <t>tkarol_be25@thapar.edu</t>
  </si>
  <si>
    <t>1025170345</t>
  </si>
  <si>
    <t>SIDDHARTH VERMA</t>
  </si>
  <si>
    <t>sverma_be25</t>
  </si>
  <si>
    <t>sverma_be25@thapar.edu</t>
  </si>
  <si>
    <t>1025170346</t>
  </si>
  <si>
    <t>ARYAN JARYAL</t>
  </si>
  <si>
    <t>araj1_be25</t>
  </si>
  <si>
    <t>araj1_be25@thapar.edu</t>
  </si>
  <si>
    <t>PARTH KHATTER</t>
  </si>
  <si>
    <t>pkhatter_be25</t>
  </si>
  <si>
    <t>pkhatter_be25@thapar.edu</t>
  </si>
  <si>
    <t>1025170339</t>
  </si>
  <si>
    <t>Bjain_be25@thapar.edu</t>
  </si>
  <si>
    <t>DAKSH JUNEJA</t>
  </si>
  <si>
    <t>djuneja_be25</t>
  </si>
  <si>
    <t>djuneja_be25@thapar.edu</t>
  </si>
  <si>
    <t>Bhawin jain</t>
  </si>
  <si>
    <t>1025170338</t>
  </si>
  <si>
    <t>DHRUV ANAND</t>
  </si>
  <si>
    <t>danand_be25</t>
  </si>
  <si>
    <t>danand_be25@thapar.edu</t>
  </si>
  <si>
    <t>1025170348</t>
  </si>
  <si>
    <t>Jainbhawin52@gmail.com</t>
  </si>
  <si>
    <t>KOVIDA JAIN</t>
  </si>
  <si>
    <t>kjain3_be25</t>
  </si>
  <si>
    <t>kjain3_be25@thapar.edu</t>
  </si>
  <si>
    <t>1025170337</t>
  </si>
  <si>
    <t>TANISHQ DAGUR</t>
  </si>
  <si>
    <t>tdagur_be25</t>
  </si>
  <si>
    <t>tdagur_be25@thapar.edu</t>
  </si>
  <si>
    <t>1025170332</t>
  </si>
  <si>
    <t>SUNANDAN MARWAHA</t>
  </si>
  <si>
    <t>smarwaha_be25</t>
  </si>
  <si>
    <t>smarwaha_be25@thapar.edu</t>
  </si>
  <si>
    <t>1025170343</t>
  </si>
  <si>
    <t>VAIBHAV GOYAL</t>
  </si>
  <si>
    <t>vgoyal3_be25</t>
  </si>
  <si>
    <t>vgoyal3_be25@thapar.edu</t>
  </si>
  <si>
    <t>1025170351</t>
  </si>
  <si>
    <t>bandhuulsjaura@gmail.com</t>
  </si>
  <si>
    <t>sshivansh_be25</t>
  </si>
  <si>
    <t>sshivansh_be25@thapar.edu</t>
  </si>
  <si>
    <t>1025170335</t>
  </si>
  <si>
    <t>ADITYA RAWAT</t>
  </si>
  <si>
    <t>arawat2_be25</t>
  </si>
  <si>
    <t>ADITI PUNDIR</t>
  </si>
  <si>
    <t>apundir_be25</t>
  </si>
  <si>
    <t>7266356</t>
  </si>
  <si>
    <t>RISHAV GOYAL</t>
  </si>
  <si>
    <t>rgoyal5_be25</t>
  </si>
  <si>
    <t>Bhavya jindal</t>
  </si>
  <si>
    <t>rgoyal5_be25@thapar.edu</t>
  </si>
  <si>
    <t>1025170354</t>
  </si>
  <si>
    <t>SHASHWAT TALWAR</t>
  </si>
  <si>
    <t>stalwar_be25</t>
  </si>
  <si>
    <t>stalwar_be25@thapar.edu</t>
  </si>
  <si>
    <t>1025170340</t>
  </si>
  <si>
    <t>Jindalv010@gmail.com</t>
  </si>
  <si>
    <t>SHUBREET LAMBA</t>
  </si>
  <si>
    <t>slamba1_be25</t>
  </si>
  <si>
    <t>slamba1_be25@thapar.edu</t>
  </si>
  <si>
    <t>1025170347</t>
  </si>
  <si>
    <t>GURNOOR SINGH SANDHU</t>
  </si>
  <si>
    <t>gsandhu2_be25</t>
  </si>
  <si>
    <t>gsandhu2_be25@thapar.edu</t>
  </si>
  <si>
    <t>1025170342</t>
  </si>
  <si>
    <t>RAKSHIT CHAUHAN</t>
  </si>
  <si>
    <t>rchauhan1_be25</t>
  </si>
  <si>
    <t>rchauhan1_be25@thapar.edu</t>
  </si>
  <si>
    <t>1025170349</t>
  </si>
  <si>
    <t>MANNAT</t>
  </si>
  <si>
    <t>mmannat_be25</t>
  </si>
  <si>
    <t>mmannat_be25@thapar.edu</t>
  </si>
  <si>
    <t>1025170330</t>
  </si>
  <si>
    <t>Bhavya Kakria</t>
  </si>
  <si>
    <t>KESHAV KEJRIWAL</t>
  </si>
  <si>
    <t>keshav_kej</t>
  </si>
  <si>
    <t>kkejriwal_be25@thapar.edu</t>
  </si>
  <si>
    <t>1025170352</t>
  </si>
  <si>
    <t>ROHAN NAYYAR</t>
  </si>
  <si>
    <t>bhavyakakria@gmail.com</t>
  </si>
  <si>
    <t>rhny400</t>
  </si>
  <si>
    <t>rrohan_be25@thapar.edu</t>
  </si>
  <si>
    <t>1025170331</t>
  </si>
  <si>
    <t>AANYA MEHTA</t>
  </si>
  <si>
    <t>amehta_be25</t>
  </si>
  <si>
    <t>RAJVEER GAJWANI</t>
  </si>
  <si>
    <t>rgajwani_be25</t>
  </si>
  <si>
    <t>rgajwani_be25@thapar.edu</t>
  </si>
  <si>
    <t>1025170336</t>
  </si>
  <si>
    <t>bkapoor1_be25@thapar.edu</t>
  </si>
  <si>
    <t>SAIYYAM SAINI</t>
  </si>
  <si>
    <t>ssaini2_be25</t>
  </si>
  <si>
    <t>ssaini2_be25@thapar.edu</t>
  </si>
  <si>
    <t>1025170333</t>
  </si>
  <si>
    <t>Badal Kapoor</t>
  </si>
  <si>
    <t>1025170471</t>
  </si>
  <si>
    <t>rsingh2_be25</t>
  </si>
  <si>
    <t>rsingh2_be25@thapar.edu</t>
  </si>
  <si>
    <t>1025170341</t>
  </si>
  <si>
    <t>kapoorbadal7848@gmail.com</t>
  </si>
  <si>
    <t>AAKARSHAN VERMA</t>
  </si>
  <si>
    <t>averma_be25</t>
  </si>
  <si>
    <t>AARAV SINGLA</t>
  </si>
  <si>
    <t>asingla9_be25</t>
  </si>
  <si>
    <t>ADITYA MAHAJAN</t>
  </si>
  <si>
    <t>amahajan1_be25</t>
  </si>
  <si>
    <t>bkaur1_be25@thapar.edu</t>
  </si>
  <si>
    <t>Bhavneet Kaur</t>
  </si>
  <si>
    <t>AASHVI NARGOTRA</t>
  </si>
  <si>
    <t>anargotra_be25</t>
  </si>
  <si>
    <t>anargotra_be25@thapar.edu</t>
  </si>
  <si>
    <t>1025090040</t>
  </si>
  <si>
    <t>1025170372</t>
  </si>
  <si>
    <t>bhavneet1311@gmail.com</t>
  </si>
  <si>
    <t>JASKARAN BAGHA</t>
  </si>
  <si>
    <t>jbagha_be25</t>
  </si>
  <si>
    <t>jbagha_be25@thapar.edu</t>
  </si>
  <si>
    <t>1025170373</t>
  </si>
  <si>
    <t>SHAURYA GOEL</t>
  </si>
  <si>
    <t>sgoel4_be25</t>
  </si>
  <si>
    <t>sgoel4_be25@thapar.edu</t>
  </si>
  <si>
    <t>1025170374</t>
  </si>
  <si>
    <t>AYAAN GROVER</t>
  </si>
  <si>
    <t>agrover2_be25</t>
  </si>
  <si>
    <t>DIYA SINGLA</t>
  </si>
  <si>
    <t>dsingla3_be25</t>
  </si>
  <si>
    <t>dsingla3_be25@thapar.edu</t>
  </si>
  <si>
    <t>1025170358</t>
  </si>
  <si>
    <t>Balkar Singh Kharoud</t>
  </si>
  <si>
    <t>AJITESH SOPHAT</t>
  </si>
  <si>
    <t>asophat_be25</t>
  </si>
  <si>
    <t>Kharoudbalkar77@gmail.com</t>
  </si>
  <si>
    <t>SWAYAM GIRDHAR</t>
  </si>
  <si>
    <t>7266357</t>
  </si>
  <si>
    <t>sgirdhar_be25</t>
  </si>
  <si>
    <t>sgirdhar_be25@thapar.edu</t>
  </si>
  <si>
    <t>1025170368</t>
  </si>
  <si>
    <t>ADITYA ROHILLA</t>
  </si>
  <si>
    <t>arohilla_be25</t>
  </si>
  <si>
    <t>LAKSH WADHWA</t>
  </si>
  <si>
    <t>lwadhwa_be25</t>
  </si>
  <si>
    <t>lwadhwa_be25@thapar.edu</t>
  </si>
  <si>
    <t>1025170386</t>
  </si>
  <si>
    <t>Bhavik Kohli</t>
  </si>
  <si>
    <t>DAKSH WADHWA</t>
  </si>
  <si>
    <t>dwadhwa_be25</t>
  </si>
  <si>
    <t>dwadhwa_be25@thapar.edu</t>
  </si>
  <si>
    <t>1025170385</t>
  </si>
  <si>
    <t>1025030015</t>
  </si>
  <si>
    <t>BHAVYA SINHA</t>
  </si>
  <si>
    <t>bsinha_be25</t>
  </si>
  <si>
    <t>bhavikkohli22@gmail.com</t>
  </si>
  <si>
    <t>bsinha_be25@thapar.edu</t>
  </si>
  <si>
    <t>1025170375</t>
  </si>
  <si>
    <t>NAMAN SANGHI</t>
  </si>
  <si>
    <t>nsanghi_be25</t>
  </si>
  <si>
    <t>nsanghi_be25@thapar.edu</t>
  </si>
  <si>
    <t>1025170378</t>
  </si>
  <si>
    <t>ARUNESH DESHDEEP</t>
  </si>
  <si>
    <t>adeshdeep_be25</t>
  </si>
  <si>
    <t>DIVYANSHU MARWAHA</t>
  </si>
  <si>
    <t>dmarwaha1_be25</t>
  </si>
  <si>
    <t>dmarwaha1_be25@thapar.edu</t>
  </si>
  <si>
    <t>1025170370</t>
  </si>
  <si>
    <t>Bhuvi</t>
  </si>
  <si>
    <t>pprisha1_be25</t>
  </si>
  <si>
    <t>pprisha1_be25@thapar.edu</t>
  </si>
  <si>
    <t>1025170363</t>
  </si>
  <si>
    <t>bhuvikumar124@gmail.com</t>
  </si>
  <si>
    <t>TEJAS MITTAL</t>
  </si>
  <si>
    <t>tmittal1_be25</t>
  </si>
  <si>
    <t>tmittal1_be25@thapar.edu</t>
  </si>
  <si>
    <t>1025170357</t>
  </si>
  <si>
    <t>KUSH GOEL</t>
  </si>
  <si>
    <t>kgoel_be25</t>
  </si>
  <si>
    <t>kgoel_be25@thapar.edu</t>
  </si>
  <si>
    <t>1025170383</t>
  </si>
  <si>
    <t>AAYUSH PURI</t>
  </si>
  <si>
    <t>apuri_be25</t>
  </si>
  <si>
    <t>bmanwith_be25@thapar.edu</t>
  </si>
  <si>
    <t>Manwith bodigadla</t>
  </si>
  <si>
    <t>PARTH GARG</t>
  </si>
  <si>
    <t>1025160016</t>
  </si>
  <si>
    <t>pgarg_be25</t>
  </si>
  <si>
    <t>pgarg_be25@thapar.edu</t>
  </si>
  <si>
    <t>1025170365</t>
  </si>
  <si>
    <t>Manwithb79@gmail.com</t>
  </si>
  <si>
    <t>AADARSH KUMAR SAH</t>
  </si>
  <si>
    <t>asah_be25</t>
  </si>
  <si>
    <t>MANIK MIDDHA</t>
  </si>
  <si>
    <t>mmiddha_be25</t>
  </si>
  <si>
    <t>mmiddha_be25@thapar.edu</t>
  </si>
  <si>
    <t>1025170371</t>
  </si>
  <si>
    <t>PRAGYAN SHANKAR</t>
  </si>
  <si>
    <t>Biswarup Nag</t>
  </si>
  <si>
    <t>pshankar_be25</t>
  </si>
  <si>
    <t>pshankar_be25@thapar.edu</t>
  </si>
  <si>
    <t>1025170384</t>
  </si>
  <si>
    <t>SARTHAK JAIN</t>
  </si>
  <si>
    <t>sjain8_be25</t>
  </si>
  <si>
    <t>biswarupnag145@gmail.com</t>
  </si>
  <si>
    <t>sjain8_be25@thapar.edu</t>
  </si>
  <si>
    <t>1025170362</t>
  </si>
  <si>
    <t>YAKSHA ARORA</t>
  </si>
  <si>
    <t>yarora_be25</t>
  </si>
  <si>
    <t>yarora_be25@thapar.edu</t>
  </si>
  <si>
    <t>1025170379</t>
  </si>
  <si>
    <t>PRABHAV ARORA</t>
  </si>
  <si>
    <t>parora2_be25</t>
  </si>
  <si>
    <t>parora2_be25@thapar.edu</t>
  </si>
  <si>
    <t>1025170359</t>
  </si>
  <si>
    <t>KRITIN KUMAR SINGH</t>
  </si>
  <si>
    <t>ksingh15_be25</t>
  </si>
  <si>
    <t>ksingh15_be25@thapar.edu</t>
  </si>
  <si>
    <t>1025170369</t>
  </si>
  <si>
    <t>ARNAV BAHL</t>
  </si>
  <si>
    <t>abahl_be25</t>
  </si>
  <si>
    <t>baishali18paul@gmail.com</t>
  </si>
  <si>
    <t>ABHINAV LUNIA</t>
  </si>
  <si>
    <t>alunia_be25</t>
  </si>
  <si>
    <t>ANIMESH BHATIA</t>
  </si>
  <si>
    <t>abhatia1_be25</t>
  </si>
  <si>
    <t>abhatia1_be25@thapar.edu</t>
  </si>
  <si>
    <t>1025170407</t>
  </si>
  <si>
    <t>psharma18_be25</t>
  </si>
  <si>
    <t>psharma18_be25@thapar.edu</t>
  </si>
  <si>
    <t>1025170401</t>
  </si>
  <si>
    <t>Bibek Podder</t>
  </si>
  <si>
    <t>7266358</t>
  </si>
  <si>
    <t>PURAV BHATIA</t>
  </si>
  <si>
    <t>pbhatia1_be25</t>
  </si>
  <si>
    <t>pbhatia1_be25@thapar.edu</t>
  </si>
  <si>
    <t>1025030212</t>
  </si>
  <si>
    <t>1025170415</t>
  </si>
  <si>
    <t>bibekpodder05@gmail.com</t>
  </si>
  <si>
    <t>RAGHAV BANSAL</t>
  </si>
  <si>
    <t>rbansal1_be25</t>
  </si>
  <si>
    <t>rbansal1_be25@thapar.edu</t>
  </si>
  <si>
    <t>1025170395</t>
  </si>
  <si>
    <t>ANKITA SHARMA</t>
  </si>
  <si>
    <t>asharma30_be25</t>
  </si>
  <si>
    <t>asharma30_be25@thapar.edu</t>
  </si>
  <si>
    <t>1025170387</t>
  </si>
  <si>
    <t>NAVYA KOCHHAR</t>
  </si>
  <si>
    <t>nkochhar_be25</t>
  </si>
  <si>
    <t>nkochhar_be25@thapar.edu</t>
  </si>
  <si>
    <t>bpodder1_be25@thapar.edu</t>
  </si>
  <si>
    <t>1025170398</t>
  </si>
  <si>
    <t>Biswapriya Podder</t>
  </si>
  <si>
    <t>ADITYA KHULLAR</t>
  </si>
  <si>
    <t>akhullar_be25</t>
  </si>
  <si>
    <t>1025090062</t>
  </si>
  <si>
    <t>podderbiswapriya@gmail.com</t>
  </si>
  <si>
    <t>TUSHAR BATRA</t>
  </si>
  <si>
    <t>tbatra1_be25</t>
  </si>
  <si>
    <t>tbatra1_be25@thapar.edu</t>
  </si>
  <si>
    <t>1025170413</t>
  </si>
  <si>
    <t>SIDDHI SINGH</t>
  </si>
  <si>
    <t>ssingh34_be25</t>
  </si>
  <si>
    <t>ssingh34_be25@thapar.edu</t>
  </si>
  <si>
    <t>1025170388</t>
  </si>
  <si>
    <t>GARV SHARMA</t>
  </si>
  <si>
    <t>gsharma6_be25</t>
  </si>
  <si>
    <t>gsharma6_be25@thapar.edu</t>
  </si>
  <si>
    <t>1025170396</t>
  </si>
  <si>
    <t>KASHISH KAK</t>
  </si>
  <si>
    <t>kkak_be25</t>
  </si>
  <si>
    <t>kkak_be25@thapar.edu</t>
  </si>
  <si>
    <t>1025170402</t>
  </si>
  <si>
    <t>Bhawani Singh Rathore</t>
  </si>
  <si>
    <t>MRIDUL MEHTA</t>
  </si>
  <si>
    <t>mmehta1_be25</t>
  </si>
  <si>
    <t>mmehta1_be25@thapar.edu</t>
  </si>
  <si>
    <t>1025170399</t>
  </si>
  <si>
    <t>rathorebhawanisingh0306@gmail.com</t>
  </si>
  <si>
    <t>KINSHUK MALHOTRA</t>
  </si>
  <si>
    <t>kmalhotra1_be2</t>
  </si>
  <si>
    <t>kmalhotra1_be25@thapar.edu</t>
  </si>
  <si>
    <t>1025170392</t>
  </si>
  <si>
    <t>MANAS BHUTANI</t>
  </si>
  <si>
    <t>mbhutani_be25</t>
  </si>
  <si>
    <t>mbhutani_be25@thapar.edu</t>
  </si>
  <si>
    <t>1025170408</t>
  </si>
  <si>
    <t>PRANYA SONI</t>
  </si>
  <si>
    <t>psoni_be25</t>
  </si>
  <si>
    <t>psoni_be25@thapar.edu</t>
  </si>
  <si>
    <t>1025170410</t>
  </si>
  <si>
    <t>ANAND SHEEL</t>
  </si>
  <si>
    <t>asheel_be25</t>
  </si>
  <si>
    <t>asheel_be25@thapar.edu</t>
  </si>
  <si>
    <t>1025170409</t>
  </si>
  <si>
    <t>bharatsas01@gmail.com</t>
  </si>
  <si>
    <t>SARANSH RAGHAV</t>
  </si>
  <si>
    <t>sraghav_be25</t>
  </si>
  <si>
    <t>sraghav_be25@thapar.edu</t>
  </si>
  <si>
    <t>1025170411</t>
  </si>
  <si>
    <t>SIMARJOT KAUR</t>
  </si>
  <si>
    <t>skaur_be25</t>
  </si>
  <si>
    <t>skaur_be25@thapar.edu</t>
  </si>
  <si>
    <t>1025170405</t>
  </si>
  <si>
    <t>GAURANSH SRIVASTAV</t>
  </si>
  <si>
    <t>gsrivastav_be2</t>
  </si>
  <si>
    <t>gsrivastav_be25@thapar.edu</t>
  </si>
  <si>
    <t>1025170390</t>
  </si>
  <si>
    <t>Bhagwat Sharma</t>
  </si>
  <si>
    <t>VARINDA GUPTA</t>
  </si>
  <si>
    <t>vgupta4_be25</t>
  </si>
  <si>
    <t>vgupta4_be25@thapar.edu</t>
  </si>
  <si>
    <t>1025170404</t>
  </si>
  <si>
    <t>DISHA</t>
  </si>
  <si>
    <t>ddisha_be25</t>
  </si>
  <si>
    <t>ddisha_be25@thapar.edu</t>
  </si>
  <si>
    <t>1025170391</t>
  </si>
  <si>
    <t>VIRAL JAIN</t>
  </si>
  <si>
    <t>vjain5_be25</t>
  </si>
  <si>
    <t>vjain5_be25@thapar.edu</t>
  </si>
  <si>
    <t>1025170397</t>
  </si>
  <si>
    <t>ANKIT SAH</t>
  </si>
  <si>
    <t>asah1_be25</t>
  </si>
  <si>
    <t>asah1_be25@thapar.edu</t>
  </si>
  <si>
    <t>1025170457</t>
  </si>
  <si>
    <t>HIMESH RAJ HARSHIT</t>
  </si>
  <si>
    <t>hharshit2_be25</t>
  </si>
  <si>
    <t>hharshit2_be25@thapar.edu</t>
  </si>
  <si>
    <t>1025170458</t>
  </si>
  <si>
    <t>RITABAN ROY</t>
  </si>
  <si>
    <t>rroy_be25</t>
  </si>
  <si>
    <t>rroy_be25@thapar.edu</t>
  </si>
  <si>
    <t>1025170425</t>
  </si>
  <si>
    <t>bharatsunil2007@gmail.com</t>
  </si>
  <si>
    <t>DAKSH KAPOOR</t>
  </si>
  <si>
    <t>dkapoor_be25</t>
  </si>
  <si>
    <t>dkapoor_be25@thapar.edu</t>
  </si>
  <si>
    <t>1025170389</t>
  </si>
  <si>
    <t>SURYANSH RANA</t>
  </si>
  <si>
    <t>srana2_be25</t>
  </si>
  <si>
    <t>srana2_be25@thapar.edu</t>
  </si>
  <si>
    <t>7266359</t>
  </si>
  <si>
    <t>1025170400</t>
  </si>
  <si>
    <t>GARVIT</t>
  </si>
  <si>
    <t>ggarvit_be25</t>
  </si>
  <si>
    <t>ggarvit_be25@thapar.edu</t>
  </si>
  <si>
    <t>1025170412</t>
  </si>
  <si>
    <t>Bani sindhi</t>
  </si>
  <si>
    <t>AKSHAT BANSAL</t>
  </si>
  <si>
    <t>abansal9_be25</t>
  </si>
  <si>
    <t>Banisindhi2412@gmail.com</t>
  </si>
  <si>
    <t>MANSI DOHARE</t>
  </si>
  <si>
    <t>mdohare_be25</t>
  </si>
  <si>
    <t>mdohare_be25@thapar.edu</t>
  </si>
  <si>
    <t>1025170414</t>
  </si>
  <si>
    <t>DAANISH GARG</t>
  </si>
  <si>
    <t>dgarg1_be25</t>
  </si>
  <si>
    <t>dgarg1_be25@thapar.edu</t>
  </si>
  <si>
    <t>1025170432</t>
  </si>
  <si>
    <t>bsingh_1be25@thapar.edu</t>
  </si>
  <si>
    <t>ADITYA VERMA</t>
  </si>
  <si>
    <t>averma3_be25</t>
  </si>
  <si>
    <t>Bhagwant Singh</t>
  </si>
  <si>
    <t>DHAMCHOS LEGZESMA</t>
  </si>
  <si>
    <t>dlegzesma_be25</t>
  </si>
  <si>
    <t>dlegzesma_be25@thapar.edu</t>
  </si>
  <si>
    <t>1025170428</t>
  </si>
  <si>
    <t>bhagwantsinghpta08@gmail.com</t>
  </si>
  <si>
    <t>RYAN MATHEW KOTTOOR</t>
  </si>
  <si>
    <t>rkottoor_be25</t>
  </si>
  <si>
    <t>rkottoor_be25@thapar.edu</t>
  </si>
  <si>
    <t>1025170429</t>
  </si>
  <si>
    <t>IHIT</t>
  </si>
  <si>
    <t>iihit_be25</t>
  </si>
  <si>
    <t>iihit_be25@thapar.edu</t>
  </si>
  <si>
    <t>1025170439</t>
  </si>
  <si>
    <t>SUNIDHI CHOWDHARY</t>
  </si>
  <si>
    <t>Bsingh_be25@thapar.edu</t>
  </si>
  <si>
    <t>schowdhary_be2</t>
  </si>
  <si>
    <t>schowdhary_be25@thapar.edu</t>
  </si>
  <si>
    <t>1025170422</t>
  </si>
  <si>
    <t>Balgopal rai singh</t>
  </si>
  <si>
    <t>KRISH KUMAR</t>
  </si>
  <si>
    <t>kkumar3_be25</t>
  </si>
  <si>
    <t>kkumar3_be25@thapar.edu</t>
  </si>
  <si>
    <t>1025170441</t>
  </si>
  <si>
    <t>RANBIR SINGH GULERIA</t>
  </si>
  <si>
    <t>rguleria_be25</t>
  </si>
  <si>
    <t>rguleria_be25@thapar.edu</t>
  </si>
  <si>
    <t>1025170416</t>
  </si>
  <si>
    <t>BHUVESH GARG</t>
  </si>
  <si>
    <t>bgarg3_be25</t>
  </si>
  <si>
    <t>bgarg3_be25@thapar.edu</t>
  </si>
  <si>
    <t>SUJAL GARG</t>
  </si>
  <si>
    <t>sgarg1_be25</t>
  </si>
  <si>
    <t>Balgopalraisingh@gmail.com</t>
  </si>
  <si>
    <t>sgarg1_be25@thapar.edu</t>
  </si>
  <si>
    <t>1025170436</t>
  </si>
  <si>
    <t>DILNOOR SINGH</t>
  </si>
  <si>
    <t>dsingh6_be25</t>
  </si>
  <si>
    <t>dsingh6_be25@thapar.edu</t>
  </si>
  <si>
    <t>1025170446</t>
  </si>
  <si>
    <t>JAYANT GUPTA</t>
  </si>
  <si>
    <t>jgupta3_be25</t>
  </si>
  <si>
    <t>jgupta3_be25@thapar.edu</t>
  </si>
  <si>
    <t>1025170447</t>
  </si>
  <si>
    <t>MUDIT GROVER</t>
  </si>
  <si>
    <t>mgrover1_be25</t>
  </si>
  <si>
    <t>mgrover1_be25@thapar.edu</t>
  </si>
  <si>
    <t>1025170421</t>
  </si>
  <si>
    <t>ABHINEET SHARMA</t>
  </si>
  <si>
    <t>asharma39_be25</t>
  </si>
  <si>
    <t>RACHIT MITTAL</t>
  </si>
  <si>
    <t>rmittal1_be25</t>
  </si>
  <si>
    <t>rmittal1_be25@thapar.edu</t>
  </si>
  <si>
    <t>1025170431</t>
  </si>
  <si>
    <t>RANVIR SINGH</t>
  </si>
  <si>
    <t>rsingh9_be25</t>
  </si>
  <si>
    <t>rsingh9_be25@thapar.edu</t>
  </si>
  <si>
    <t>1025170423</t>
  </si>
  <si>
    <t>TATIPAMULA HARSHITH VIRAT</t>
  </si>
  <si>
    <t>tvirat_be25</t>
  </si>
  <si>
    <t>tvirat_be25@thapar.edu</t>
  </si>
  <si>
    <t>1025170426</t>
  </si>
  <si>
    <t>bsingh11_be25@thapar.edu</t>
  </si>
  <si>
    <t>hsingh29_be25</t>
  </si>
  <si>
    <t>hsingh29_be25@thapar.edu</t>
  </si>
  <si>
    <t>1025170419</t>
  </si>
  <si>
    <t>Beerinder Singh</t>
  </si>
  <si>
    <t>AKSHIT KUMAR</t>
  </si>
  <si>
    <t>akumar5_be25</t>
  </si>
  <si>
    <t>1025090119</t>
  </si>
  <si>
    <t>beerindersehgal@gmail.com</t>
  </si>
  <si>
    <t>KENETH ROYAN TOPNO</t>
  </si>
  <si>
    <t>ktopno_be25</t>
  </si>
  <si>
    <t>ktopno_be25@thapar.edu</t>
  </si>
  <si>
    <t>1025170420</t>
  </si>
  <si>
    <t>KHUSHREET KAUR</t>
  </si>
  <si>
    <t>kkaur5_be25</t>
  </si>
  <si>
    <t>kkaur5_be25@thapar.edu</t>
  </si>
  <si>
    <t>1025170437</t>
  </si>
  <si>
    <t>ARYAN TIWARI</t>
  </si>
  <si>
    <t>atiwari5_be25</t>
  </si>
  <si>
    <t>bsingh12_be25@thapar.edu</t>
  </si>
  <si>
    <t>ssingh10_be25</t>
  </si>
  <si>
    <t>7266360</t>
  </si>
  <si>
    <t>Bhupinder Singh</t>
  </si>
  <si>
    <t>ssingh10_be25@thapar.edu</t>
  </si>
  <si>
    <t>1025170442</t>
  </si>
  <si>
    <t>1025170498</t>
  </si>
  <si>
    <t>DEVANSHA MAHESHWARI</t>
  </si>
  <si>
    <t>dmaheshwari_be</t>
  </si>
  <si>
    <t>sunnyxsidhu@gmail.com</t>
  </si>
  <si>
    <t>dmaheshwari_be25@thapar.edu</t>
  </si>
  <si>
    <t>1025170445</t>
  </si>
  <si>
    <t>SUHANI NAGPAL</t>
  </si>
  <si>
    <t>snagpal_be25</t>
  </si>
  <si>
    <t>snagpal_be25@thapar.edu</t>
  </si>
  <si>
    <t>1025170443</t>
  </si>
  <si>
    <t>VARTIKA KUREEL</t>
  </si>
  <si>
    <t>vkureel_be25</t>
  </si>
  <si>
    <t>bsingh4_be25@thapar.edu</t>
  </si>
  <si>
    <t>vkureel_be25@thapar.edu</t>
  </si>
  <si>
    <t>1025170417</t>
  </si>
  <si>
    <t>Bhavjeet Singh</t>
  </si>
  <si>
    <t>SAKSHAM MAKKER</t>
  </si>
  <si>
    <t>1025090026</t>
  </si>
  <si>
    <t>smakker_be25</t>
  </si>
  <si>
    <t>smakker_be25@thapar.edu</t>
  </si>
  <si>
    <t>1025170435</t>
  </si>
  <si>
    <t>bhavjeetsingh481@gmail.com</t>
  </si>
  <si>
    <t>ADITYA GROVER</t>
  </si>
  <si>
    <t>agrover1_be25</t>
  </si>
  <si>
    <t>PURVA GOYAL</t>
  </si>
  <si>
    <t>pgoyal2_be25</t>
  </si>
  <si>
    <t>pgoyal2_be25@thapar.edu</t>
  </si>
  <si>
    <t>1025170440</t>
  </si>
  <si>
    <t>ajain18_be25</t>
  </si>
  <si>
    <t>Bhavjot Singh</t>
  </si>
  <si>
    <t>Manya Gupta</t>
  </si>
  <si>
    <t>mgupta8_be25</t>
  </si>
  <si>
    <t>bhavjotsingh008@gmail.com</t>
  </si>
  <si>
    <t>mgupta8_be25@thapar.edu</t>
  </si>
  <si>
    <t>1025170482</t>
  </si>
  <si>
    <t>Manya Sharma</t>
  </si>
  <si>
    <t>msharma9_be25</t>
  </si>
  <si>
    <t>msharma9_be25@thapar.edu</t>
  </si>
  <si>
    <t>1025170488</t>
  </si>
  <si>
    <t>Karanbir Singh</t>
  </si>
  <si>
    <t>ksingh27_be25</t>
  </si>
  <si>
    <t>ksingh27_be25@thapar.edu</t>
  </si>
  <si>
    <t>1025170475</t>
  </si>
  <si>
    <t>Brahmbir Singh</t>
  </si>
  <si>
    <t>Achtam Padha</t>
  </si>
  <si>
    <t>apadha_be25</t>
  </si>
  <si>
    <t>apadha_be25@thapar.edu</t>
  </si>
  <si>
    <t>1025170467</t>
  </si>
  <si>
    <t>brahmbir.singh@gmail.com</t>
  </si>
  <si>
    <t>Kushal Sharma</t>
  </si>
  <si>
    <t>ksharma8_be25</t>
  </si>
  <si>
    <t>ksharma8_be25@thapar.edu</t>
  </si>
  <si>
    <t>1025170468</t>
  </si>
  <si>
    <t>Narinder Singh Bajwa</t>
  </si>
  <si>
    <t>Bhvya Thappa</t>
  </si>
  <si>
    <t>nbajwa_be25</t>
  </si>
  <si>
    <t>nbajwa_be25@thapar.edu</t>
  </si>
  <si>
    <t>1025170486</t>
  </si>
  <si>
    <t>Dharni</t>
  </si>
  <si>
    <t>ddharni_be25</t>
  </si>
  <si>
    <t>ddharni_be25@thapar.edu</t>
  </si>
  <si>
    <t>1025170483</t>
  </si>
  <si>
    <t>Navjot Kaur</t>
  </si>
  <si>
    <t>nkaur2_be25</t>
  </si>
  <si>
    <t>nkaur2_be25@thapar.edu</t>
  </si>
  <si>
    <t>1025170487</t>
  </si>
  <si>
    <t>Bhavya Verma</t>
  </si>
  <si>
    <t>Ashutosh Kumar Pandey</t>
  </si>
  <si>
    <t>apandey5_be25</t>
  </si>
  <si>
    <t>vermabhavya54@gmail.com</t>
  </si>
  <si>
    <t>Harman Singh</t>
  </si>
  <si>
    <t>hsingh32_be25</t>
  </si>
  <si>
    <t>hsingh32_be25@thapar.edu</t>
  </si>
  <si>
    <t>1025170478</t>
  </si>
  <si>
    <t>Tanmay Jamwal</t>
  </si>
  <si>
    <t>tjamwal_be25</t>
  </si>
  <si>
    <t>tjamwal_be25@thapar.edu</t>
  </si>
  <si>
    <t>1025170476</t>
  </si>
  <si>
    <t>Harleen Kaur Maan</t>
  </si>
  <si>
    <t>hmaan1_be25</t>
  </si>
  <si>
    <t>hmaan1_be25@thapar.edu</t>
  </si>
  <si>
    <t>1025170485</t>
  </si>
  <si>
    <t>chandni.workspace9@gmail.com</t>
  </si>
  <si>
    <t>bkapoor1_be25</t>
  </si>
  <si>
    <t>Manika</t>
  </si>
  <si>
    <t>mmanika1_be25</t>
  </si>
  <si>
    <t>mmanika1_be25@thapar.edu</t>
  </si>
  <si>
    <t>1025170472</t>
  </si>
  <si>
    <t>Mehak Gupta</t>
  </si>
  <si>
    <t>mgupta9_be25</t>
  </si>
  <si>
    <t>mgupta9_be25@thapar.edu</t>
  </si>
  <si>
    <t>Ccheshtha_be25@thapar.edu</t>
  </si>
  <si>
    <t>1025170502</t>
  </si>
  <si>
    <t>Cheshtha</t>
  </si>
  <si>
    <t>7266361</t>
  </si>
  <si>
    <t>Tanishka</t>
  </si>
  <si>
    <t>ttanishka_be25</t>
  </si>
  <si>
    <t>ttanishka_be25@thapar.edu</t>
  </si>
  <si>
    <t>1025170480</t>
  </si>
  <si>
    <t>Cheshtha.2007@gmail.com</t>
  </si>
  <si>
    <t>Shivam Garg</t>
  </si>
  <si>
    <t>sgarg14_be25</t>
  </si>
  <si>
    <t>sgarg14_be25@thapar.edu</t>
  </si>
  <si>
    <t>1025170477</t>
  </si>
  <si>
    <t>Nitya Vasudev</t>
  </si>
  <si>
    <t>nvasudev_be25</t>
  </si>
  <si>
    <t>nvasudev_be25@thapar.edu</t>
  </si>
  <si>
    <t>1025170484</t>
  </si>
  <si>
    <t>Harmandeep Singh</t>
  </si>
  <si>
    <t>hsingh31_be25</t>
  </si>
  <si>
    <t>hsingh31_be25@thapar.edu</t>
  </si>
  <si>
    <t>1025170474</t>
  </si>
  <si>
    <t>Chinmay</t>
  </si>
  <si>
    <t>Pranav Khanna</t>
  </si>
  <si>
    <t>pkhanna_be25</t>
  </si>
  <si>
    <t>pkhanna_be25@thapar.edu</t>
  </si>
  <si>
    <t>1025170479</t>
  </si>
  <si>
    <t>chinmayjindal2020@gmail.com</t>
  </si>
  <si>
    <t>Pratham Thakur</t>
  </si>
  <si>
    <t>pthakur2_be25</t>
  </si>
  <si>
    <t>pthakur2_be25@thapar.edu</t>
  </si>
  <si>
    <t>1025170489</t>
  </si>
  <si>
    <t>amittal7_be25</t>
  </si>
  <si>
    <t>ksharma7_be25</t>
  </si>
  <si>
    <t>Chirag</t>
  </si>
  <si>
    <t>Satyam Chanana</t>
  </si>
  <si>
    <t>schanana_be25</t>
  </si>
  <si>
    <t>schanana_be25@thapar.edu</t>
  </si>
  <si>
    <t>1025170499</t>
  </si>
  <si>
    <t>chiragbansal905@gmail.com</t>
  </si>
  <si>
    <t>achhabra1_be25</t>
  </si>
  <si>
    <t>Karisha Dahiya</t>
  </si>
  <si>
    <t>kdahiya_be25</t>
  </si>
  <si>
    <t>kdahiya_be25@thapar.edu</t>
  </si>
  <si>
    <t>1025170497</t>
  </si>
  <si>
    <t>Gouransh Jindal</t>
  </si>
  <si>
    <t>Cgarg_be25@thapar.edu</t>
  </si>
  <si>
    <t>gjindal1_be25</t>
  </si>
  <si>
    <t>gjindal1_be25@thapar.edu</t>
  </si>
  <si>
    <t>1025170503</t>
  </si>
  <si>
    <t>Chakshu Garg</t>
  </si>
  <si>
    <t>Prachi Chhabra</t>
  </si>
  <si>
    <t>pchhabra_be25</t>
  </si>
  <si>
    <t>pchhabra_be25@thapar.edu</t>
  </si>
  <si>
    <t>102510491</t>
  </si>
  <si>
    <t>Chakshugarg0884@gmail.com</t>
  </si>
  <si>
    <t>Tushar Verma</t>
  </si>
  <si>
    <t>tverma1_be25</t>
  </si>
  <si>
    <t>tverma1_be25@thapar.edu</t>
  </si>
  <si>
    <t>1025170493</t>
  </si>
  <si>
    <t>Garima Panesar</t>
  </si>
  <si>
    <t>gpanesar_be25</t>
  </si>
  <si>
    <t>gpanesar_be25@thapar.edu</t>
  </si>
  <si>
    <t>1025170495</t>
  </si>
  <si>
    <t>Kartikayan Magotra</t>
  </si>
  <si>
    <t>kmagotra_be25</t>
  </si>
  <si>
    <t>kmagotra_be25@thapar.edu</t>
  </si>
  <si>
    <t>1025170500</t>
  </si>
  <si>
    <t>Chirag Gupta</t>
  </si>
  <si>
    <t>bsingh12_be25</t>
  </si>
  <si>
    <t>cg6751103@gmail.com</t>
  </si>
  <si>
    <t>asingh56_be25</t>
  </si>
  <si>
    <t>Tia Sharma</t>
  </si>
  <si>
    <t>tsharma4_be25</t>
  </si>
  <si>
    <t>tsharma4_be25@thapar.edu</t>
  </si>
  <si>
    <t>1025170492</t>
  </si>
  <si>
    <t>Gursidak Kaur</t>
  </si>
  <si>
    <t>gkaur7_be25</t>
  </si>
  <si>
    <t>gkaur7_be25@thapar.edu</t>
  </si>
  <si>
    <t>1025170509</t>
  </si>
  <si>
    <t>Pushpita</t>
  </si>
  <si>
    <t>Chirag Jindal</t>
  </si>
  <si>
    <t>ppushpita_be25</t>
  </si>
  <si>
    <t>ppushpita_be25@thapar.edu</t>
  </si>
  <si>
    <t>1025170505</t>
  </si>
  <si>
    <t>Sumit Goyal</t>
  </si>
  <si>
    <t>sgoyal5_be25</t>
  </si>
  <si>
    <t>sgoyal5_be25@thapar.edu</t>
  </si>
  <si>
    <t>1025170496</t>
  </si>
  <si>
    <t>iichiragjindal@gmail.com</t>
  </si>
  <si>
    <t>Ramneek Kaur</t>
  </si>
  <si>
    <t>rkaur5_be25</t>
  </si>
  <si>
    <t>rkaur5_be25@thapar.edu</t>
  </si>
  <si>
    <t>1025170494</t>
  </si>
  <si>
    <t>7266362</t>
  </si>
  <si>
    <t>Thonukunuri Rahul</t>
  </si>
  <si>
    <t>trahul_be25</t>
  </si>
  <si>
    <t>trahul_be25@thapar.edu</t>
  </si>
  <si>
    <t>1025170507</t>
  </si>
  <si>
    <t>Harshit Kapoor</t>
  </si>
  <si>
    <t>hkapoor1_be25</t>
  </si>
  <si>
    <t>Chirnoor Kaur</t>
  </si>
  <si>
    <t>hkapoor1_be25@thapar.edu</t>
  </si>
  <si>
    <t>1025170508</t>
  </si>
  <si>
    <t>Shreyans Nandkumar Samal</t>
  </si>
  <si>
    <t>ssamal_be25</t>
  </si>
  <si>
    <t>ssamal_be25@thapar.edu</t>
  </si>
  <si>
    <t>1025170490</t>
  </si>
  <si>
    <t>chirnoor15@gmail.com</t>
  </si>
  <si>
    <t>Kanan</t>
  </si>
  <si>
    <t>kkanan_be25</t>
  </si>
  <si>
    <t>kkanan_be25@thapar.edu</t>
  </si>
  <si>
    <t>1025170501</t>
  </si>
  <si>
    <t>MANNAN AGGARWAL</t>
  </si>
  <si>
    <t>thapar_9732</t>
  </si>
  <si>
    <t>maggarwal1_be25@thapar.edu</t>
  </si>
  <si>
    <t>1025030152</t>
  </si>
  <si>
    <t>SHREYA BHATTACHARYA</t>
  </si>
  <si>
    <t>thapar_9733</t>
  </si>
  <si>
    <t>sbhattacharya_be25@thapar.edu</t>
  </si>
  <si>
    <t>1025030431</t>
  </si>
  <si>
    <t>YAANA AGGARWAL</t>
  </si>
  <si>
    <t>thapar_9734</t>
  </si>
  <si>
    <t>yaggarwal1_be25@thapar.edu</t>
  </si>
  <si>
    <t>1025030432</t>
  </si>
  <si>
    <t>AKRITI AGGARWAL</t>
  </si>
  <si>
    <t>thapar_9735</t>
  </si>
  <si>
    <t>thapar_9736</t>
  </si>
  <si>
    <t>abhardwaj3_be25@thapar.edu</t>
  </si>
  <si>
    <t>chiragmalik8367@gmail.com</t>
  </si>
  <si>
    <t>thapar_9737</t>
  </si>
  <si>
    <t>hpremchandani_be25@thapar.edu</t>
  </si>
  <si>
    <t>MANAS CHATURVEDI</t>
  </si>
  <si>
    <t>thapar_9738</t>
  </si>
  <si>
    <t>mchaturvedi_be25@thapar.edu</t>
  </si>
  <si>
    <t>1025030683</t>
  </si>
  <si>
    <t>KHUSHI AGGARWAL</t>
  </si>
  <si>
    <t>thapar_9739</t>
  </si>
  <si>
    <t>kaggarwal1_be25@thapar.edu</t>
  </si>
  <si>
    <t>1025030773</t>
  </si>
  <si>
    <t>Cnagpal_be25@thapar.edu</t>
  </si>
  <si>
    <t>Ciza Nagpal</t>
  </si>
  <si>
    <t>thapar_9740</t>
  </si>
  <si>
    <t>hhimanshu1_be25@thapar.edu</t>
  </si>
  <si>
    <t>1025031056</t>
  </si>
  <si>
    <t>SARTHAK SRIVASTAVA</t>
  </si>
  <si>
    <t>thapar_9741</t>
  </si>
  <si>
    <t>ssrivastava_be25@thapar.edu</t>
  </si>
  <si>
    <t>1025030836</t>
  </si>
  <si>
    <t>Nagpalciza@gmail.com</t>
  </si>
  <si>
    <t>ANIKET MALHOTRA</t>
  </si>
  <si>
    <t>thapar_9742</t>
  </si>
  <si>
    <t>SHLOK SRIVASTAVA</t>
  </si>
  <si>
    <t>thapar_9743</t>
  </si>
  <si>
    <t>ssrivastava2_be25@thapar.edu</t>
  </si>
  <si>
    <t>1025030893</t>
  </si>
  <si>
    <t>SHREEYA BHARDWAJ</t>
  </si>
  <si>
    <t>thapar_9744</t>
  </si>
  <si>
    <t>Csachdev_be25@thapar.edu</t>
  </si>
  <si>
    <t>sbhardwaj2_be25@thapar.edu</t>
  </si>
  <si>
    <t>1025030902</t>
  </si>
  <si>
    <t>CHAITANYA SACHDEV</t>
  </si>
  <si>
    <t>ANKIT CHAUDHARY</t>
  </si>
  <si>
    <t>thapar_9745</t>
  </si>
  <si>
    <t>achaudhary_be25@thapar.edu</t>
  </si>
  <si>
    <t>SIDDHARTH SRIVASTAVA</t>
  </si>
  <si>
    <t>thapar_9746</t>
  </si>
  <si>
    <t>Sachdev.chaitanya1@gmail.com</t>
  </si>
  <si>
    <t>ssrivastava3_be25@thapar.edu</t>
  </si>
  <si>
    <t>1025170083</t>
  </si>
  <si>
    <t>ANSH AGGARWAL</t>
  </si>
  <si>
    <t>thapar_9747</t>
  </si>
  <si>
    <t>YASH KHANDELWAL</t>
  </si>
  <si>
    <t>thapar_9748</t>
  </si>
  <si>
    <t>ykhandelwal_be25@thapar.edu</t>
  </si>
  <si>
    <t>1025170273</t>
  </si>
  <si>
    <t>SIDDHARTH</t>
  </si>
  <si>
    <t>thapar_9749</t>
  </si>
  <si>
    <t>ssiddharth_be25@thapar.edu</t>
  </si>
  <si>
    <t>1025170344</t>
  </si>
  <si>
    <t>Pulkit Garg</t>
  </si>
  <si>
    <t>aware_halo_69</t>
  </si>
  <si>
    <t>pgarg3_be25@thapar.edu</t>
  </si>
  <si>
    <t>chaitanyasharmasdd@gmail.com</t>
  </si>
  <si>
    <t>1025160094</t>
  </si>
  <si>
    <t>ARYAN SINGLA</t>
  </si>
  <si>
    <t>asingla10_be25</t>
  </si>
  <si>
    <t>Manmeet Singh Manchanda</t>
  </si>
  <si>
    <t>tidy_sirena_53</t>
  </si>
  <si>
    <t>7266363</t>
  </si>
  <si>
    <t>mmanchanda_be25@thapar.edu</t>
  </si>
  <si>
    <t>1025160021</t>
  </si>
  <si>
    <t>Chhanpreet Singh</t>
  </si>
  <si>
    <t>NAMAN RAJTA</t>
  </si>
  <si>
    <t>nrajta_be25</t>
  </si>
  <si>
    <t>nrajta_be25@thapar.edu</t>
  </si>
  <si>
    <t>1025020112</t>
  </si>
  <si>
    <t>2B11</t>
  </si>
  <si>
    <t>gsingh60455@gmail.com</t>
  </si>
  <si>
    <t>ASEES SIDHU</t>
  </si>
  <si>
    <t>asidhu_be25</t>
  </si>
  <si>
    <t>asidhu_be25@thapar.edu</t>
  </si>
  <si>
    <t>1025030609</t>
  </si>
  <si>
    <t>2DU1</t>
  </si>
  <si>
    <t>ADITYA KUMAR VERMA</t>
  </si>
  <si>
    <t>averma2_be25</t>
  </si>
  <si>
    <t>averma2_be25@thapar.edu</t>
  </si>
  <si>
    <t>MEHAK KAUR</t>
  </si>
  <si>
    <t>mkaur9_be25</t>
  </si>
  <si>
    <t>mkaur9_be25@thapar.edu</t>
  </si>
  <si>
    <t>1025030814</t>
  </si>
  <si>
    <t>chastegobindsinghmittal</t>
  </si>
  <si>
    <t>JAHNAVI</t>
  </si>
  <si>
    <t>jjahnavi_be25</t>
  </si>
  <si>
    <t>jjahnavi_be25@thapar.edu</t>
  </si>
  <si>
    <t>1025090014</t>
  </si>
  <si>
    <t>chastegobindsinghmittal@outlook.com</t>
  </si>
  <si>
    <t>HITEN MANKOO</t>
  </si>
  <si>
    <t>hmankoo_be25</t>
  </si>
  <si>
    <t>hmankoo_be25@thapar.edu</t>
  </si>
  <si>
    <t>1025090013</t>
  </si>
  <si>
    <t>ADITYA KUMAR MALHOTRA</t>
  </si>
  <si>
    <t>amalhotra_be25</t>
  </si>
  <si>
    <t>csuri_be25@thapar.edu</t>
  </si>
  <si>
    <t>VINISH BHUTANI</t>
  </si>
  <si>
    <t>vbhutani_be25</t>
  </si>
  <si>
    <t>vbhutani_be25@thapar.edu</t>
  </si>
  <si>
    <t>Chirag Suri</t>
  </si>
  <si>
    <t>1025090091</t>
  </si>
  <si>
    <t>1025090049</t>
  </si>
  <si>
    <t>chiragsuri11@gmail.com</t>
  </si>
  <si>
    <t>ASHMIT MITTAL</t>
  </si>
  <si>
    <t>amittal5_be25</t>
  </si>
  <si>
    <t>RAVITEJ SINGH</t>
  </si>
  <si>
    <t>rsingh10_be25</t>
  </si>
  <si>
    <t>rsingh10_be25@thapar.edu</t>
  </si>
  <si>
    <t>1025090025</t>
  </si>
  <si>
    <t>BHAVJEET SINGH</t>
  </si>
  <si>
    <t>bsingh4_be25</t>
  </si>
  <si>
    <t>Devansh Agarwal</t>
  </si>
  <si>
    <t>ISHANK GOYAL</t>
  </si>
  <si>
    <t>igoyal1_be25</t>
  </si>
  <si>
    <t>igoyal1_be25@thapar.edu</t>
  </si>
  <si>
    <t>1025090006</t>
  </si>
  <si>
    <t>bsingh11_be25</t>
  </si>
  <si>
    <t>Jaspreet Singh</t>
  </si>
  <si>
    <t>jsingh27_be25</t>
  </si>
  <si>
    <t>jsingh27_be25@thapar.edu</t>
  </si>
  <si>
    <t>1025090120</t>
  </si>
  <si>
    <t>KEVINDER SINGH</t>
  </si>
  <si>
    <t>ksingh9_be25</t>
  </si>
  <si>
    <t>Daggarwal1_be25@thapar.edu</t>
  </si>
  <si>
    <t>ksingh9_be25@thapar.edu</t>
  </si>
  <si>
    <t>1025090027</t>
  </si>
  <si>
    <t>Dhruvi Aggarwal</t>
  </si>
  <si>
    <t>NIKHIL ARORA</t>
  </si>
  <si>
    <t>narora_be25</t>
  </si>
  <si>
    <t>narora_be25@thapar.edu</t>
  </si>
  <si>
    <t>1025090007</t>
  </si>
  <si>
    <t>VAIBHAV SHARMA</t>
  </si>
  <si>
    <t>vsharma10_be25</t>
  </si>
  <si>
    <t>vsharma10_be25@thapar.edu</t>
  </si>
  <si>
    <t>1025090008</t>
  </si>
  <si>
    <t>dhruviaggarwal3@gmail.com</t>
  </si>
  <si>
    <t>JAPNEET KAUR ARORA</t>
  </si>
  <si>
    <t>jarora1_be25</t>
  </si>
  <si>
    <t>jarora1_be25@thapar.edu</t>
  </si>
  <si>
    <t>1025090028</t>
  </si>
  <si>
    <t>MANVIR SINGH</t>
  </si>
  <si>
    <t>msingh8_be25</t>
  </si>
  <si>
    <t>msingh8_be25@thapar.edu</t>
  </si>
  <si>
    <t>1025090004</t>
  </si>
  <si>
    <t>PALASH BANSAL</t>
  </si>
  <si>
    <t>pbansal3_be25</t>
  </si>
  <si>
    <t>pbansal3_be25@thapar.edu</t>
  </si>
  <si>
    <t>Roll Number</t>
  </si>
  <si>
    <t>1025090010</t>
  </si>
  <si>
    <t>Divyam Aggarwal</t>
  </si>
  <si>
    <t>Serial Number</t>
  </si>
  <si>
    <t>SAARANG DHIMAN</t>
  </si>
  <si>
    <t>sdhiman1_be25</t>
  </si>
  <si>
    <t>sdhiman1_be25@thapar.edu</t>
  </si>
  <si>
    <t>1025090029</t>
  </si>
  <si>
    <t>Divyam@fyndbridge.in</t>
  </si>
  <si>
    <t>NIKHIL YADAV</t>
  </si>
  <si>
    <t>nyadav2_be25</t>
  </si>
  <si>
    <t>nyadav2_be25@thapar.edu</t>
  </si>
  <si>
    <t>1025090005</t>
  </si>
  <si>
    <t>DALJEET SINGH</t>
  </si>
  <si>
    <t>dsingh11_be25</t>
  </si>
  <si>
    <t>Deepali Aggarwal</t>
  </si>
  <si>
    <t>dsingh11_be25@thapar.edu</t>
  </si>
  <si>
    <t>1025090012</t>
  </si>
  <si>
    <t>7266364</t>
  </si>
  <si>
    <t>deepaliaggarwal108@gmail.com</t>
  </si>
  <si>
    <t>REHAN BABU</t>
  </si>
  <si>
    <t>rbabu_be25</t>
  </si>
  <si>
    <t>rbabu_be25@thapar.edu</t>
  </si>
  <si>
    <t>1025090022</t>
  </si>
  <si>
    <t>HIMANSHU VERMA</t>
  </si>
  <si>
    <t>hverma_be25</t>
  </si>
  <si>
    <t>hverma_be25@thapar.edu</t>
  </si>
  <si>
    <t>1025090015</t>
  </si>
  <si>
    <t>Dhruv Anand</t>
  </si>
  <si>
    <t>ARMAAN ANAND</t>
  </si>
  <si>
    <t>aanand1_be25</t>
  </si>
  <si>
    <t>dhruv0anand@gmail.com</t>
  </si>
  <si>
    <t>SHASHWAT KARN</t>
  </si>
  <si>
    <t>skarn_be25</t>
  </si>
  <si>
    <t>skarn_be25@thapar.edu</t>
  </si>
  <si>
    <t>1025090003</t>
  </si>
  <si>
    <t>Iman Preet Singh</t>
  </si>
  <si>
    <t>isingh3_be25</t>
  </si>
  <si>
    <t>isingh3_be25@thapar.edu</t>
  </si>
  <si>
    <t>1025090121</t>
  </si>
  <si>
    <t>SHLOK ARORA</t>
  </si>
  <si>
    <t>sarora6_be25</t>
  </si>
  <si>
    <t>sarora6_be25@thapar.edu</t>
  </si>
  <si>
    <t>1025090020</t>
  </si>
  <si>
    <t>RHEA ARORA</t>
  </si>
  <si>
    <t>Dhairya Arora</t>
  </si>
  <si>
    <t>rarora2_be25</t>
  </si>
  <si>
    <t>rarora2_be25@thapar.edu</t>
  </si>
  <si>
    <t>1025090035</t>
  </si>
  <si>
    <t>aaditya1_be25</t>
  </si>
  <si>
    <t>aaditya1_be25@thapar.edu</t>
  </si>
  <si>
    <t>dhairyaarora3543@gmail.com</t>
  </si>
  <si>
    <t>CHIRAG SURI</t>
  </si>
  <si>
    <t>csuri_be25</t>
  </si>
  <si>
    <t>psingh15_be25</t>
  </si>
  <si>
    <t>psingh15_be25@thapar.edu</t>
  </si>
  <si>
    <t>1025090041</t>
  </si>
  <si>
    <t>Divyansh Bajpai</t>
  </si>
  <si>
    <t>ANANYA MEHRA</t>
  </si>
  <si>
    <t>amehra_be25</t>
  </si>
  <si>
    <t>102590030</t>
  </si>
  <si>
    <t>divyanshbajpai.in@gmail.com</t>
  </si>
  <si>
    <t>RAAHAT GULATI</t>
  </si>
  <si>
    <t>rgulati_be25</t>
  </si>
  <si>
    <t>rgulati_be25@thapar.edu</t>
  </si>
  <si>
    <t>1025090054</t>
  </si>
  <si>
    <t>HARSHIT RAVI</t>
  </si>
  <si>
    <t>hravi_be25</t>
  </si>
  <si>
    <t>hravi_be25@thapar.edu</t>
  </si>
  <si>
    <t>1025090056</t>
  </si>
  <si>
    <t>BHAVNEET KAUR</t>
  </si>
  <si>
    <t>bkaur1_be25</t>
  </si>
  <si>
    <t>Deekshak Bangar</t>
  </si>
  <si>
    <t>AADYA PANDEY</t>
  </si>
  <si>
    <t>apandey2_be25</t>
  </si>
  <si>
    <t>deekshakbangar@gmail.com</t>
  </si>
  <si>
    <t>psharma5_be25</t>
  </si>
  <si>
    <t>psharma5_be25@thapar.edu</t>
  </si>
  <si>
    <t>1025090055</t>
  </si>
  <si>
    <t>KAIZER TANGRI</t>
  </si>
  <si>
    <t>ktangri_be25</t>
  </si>
  <si>
    <t>Dbansal_be25@thapar.edu</t>
  </si>
  <si>
    <t>ktangri_be25@thapar.edu</t>
  </si>
  <si>
    <t>1025090031</t>
  </si>
  <si>
    <t>Drishty</t>
  </si>
  <si>
    <t>UDDISH NAIR</t>
  </si>
  <si>
    <t>unair_be25</t>
  </si>
  <si>
    <t>unair_be25@thapar.edu</t>
  </si>
  <si>
    <t>1025090037</t>
  </si>
  <si>
    <t>1025030775</t>
  </si>
  <si>
    <t>HARDIT SINGH</t>
  </si>
  <si>
    <t>Bansaldrishty001@gmail.com</t>
  </si>
  <si>
    <t>hsingh30_be25</t>
  </si>
  <si>
    <t>hsingh30_be25@thapar.edu</t>
  </si>
  <si>
    <t>1025090047</t>
  </si>
  <si>
    <t>2UoQ</t>
  </si>
  <si>
    <t>LAKSHAY SONI</t>
  </si>
  <si>
    <t>lsoni_be25</t>
  </si>
  <si>
    <t>lsoni_be25@thapar.edu</t>
  </si>
  <si>
    <t>1025090045</t>
  </si>
  <si>
    <t>Rishabh Dev</t>
  </si>
  <si>
    <t>rdev_be25</t>
  </si>
  <si>
    <t>rdev_be25@thapar.edu</t>
  </si>
  <si>
    <t>7266365</t>
  </si>
  <si>
    <t>1025090126</t>
  </si>
  <si>
    <t>dbansal1_ be25@thapar.edu</t>
  </si>
  <si>
    <t>Dhairya Bansal</t>
  </si>
  <si>
    <t>Prabhsimar Singh Sandhu</t>
  </si>
  <si>
    <t>psandhu_be25</t>
  </si>
  <si>
    <t>psandhu_be25@thapar.edu</t>
  </si>
  <si>
    <t>1025090123</t>
  </si>
  <si>
    <t>dhairyabansal182006@gmail.com</t>
  </si>
  <si>
    <t>SAKSHAM DURANGAL</t>
  </si>
  <si>
    <t>sdurangal_be25</t>
  </si>
  <si>
    <t>sdurangal_be25@thapar.edu</t>
  </si>
  <si>
    <t>1025090043</t>
  </si>
  <si>
    <t>gsingh_be25</t>
  </si>
  <si>
    <t>gsingh_be25@thapar.edu</t>
  </si>
  <si>
    <t>1025090033</t>
  </si>
  <si>
    <t>SHIVANSH SANGWAN</t>
  </si>
  <si>
    <t>Dbansal2_be25@thapar.edu</t>
  </si>
  <si>
    <t>ssangwan1_be25</t>
  </si>
  <si>
    <t>ssangwan1_be25@thapar.edu</t>
  </si>
  <si>
    <t>1025090052</t>
  </si>
  <si>
    <t>Disha Bansal</t>
  </si>
  <si>
    <t>ngupta1_be25</t>
  </si>
  <si>
    <t>ngupta1_be25@thapar.edu</t>
  </si>
  <si>
    <t>1025090048</t>
  </si>
  <si>
    <t>TANVI MAHAJAN</t>
  </si>
  <si>
    <t>tmahajan1_be25</t>
  </si>
  <si>
    <t>tmahajan1_be25@thapar.edu</t>
  </si>
  <si>
    <t>1025090044</t>
  </si>
  <si>
    <t>ARMAAN GUPTA</t>
  </si>
  <si>
    <t>agupta10_be25</t>
  </si>
  <si>
    <t>AGAM SINGH GURAM</t>
  </si>
  <si>
    <t>aguram_be25</t>
  </si>
  <si>
    <t>aguram_be25@thapar.edu</t>
  </si>
  <si>
    <t>Disha20070@gmail.com</t>
  </si>
  <si>
    <t>RACHIT BANSAL</t>
  </si>
  <si>
    <t>rbansal3_be25</t>
  </si>
  <si>
    <t>rbansal3_be25@thapar.edu</t>
  </si>
  <si>
    <t>1025090032</t>
  </si>
  <si>
    <t>ISHMEET SINGH BAJWA</t>
  </si>
  <si>
    <t>ibajwa_be25</t>
  </si>
  <si>
    <t>ibajwa_be25@thapar.edu</t>
  </si>
  <si>
    <t>1025090112</t>
  </si>
  <si>
    <t>AARAV BHARDWAJ</t>
  </si>
  <si>
    <t>abhardwaj1_be2</t>
  </si>
  <si>
    <t>Dhruv Bansal</t>
  </si>
  <si>
    <t>Gourish Kumar</t>
  </si>
  <si>
    <t>gkumar_be25</t>
  </si>
  <si>
    <t>gkumar_be25@thapar.edu</t>
  </si>
  <si>
    <t>1025090124</t>
  </si>
  <si>
    <t>dhruvbansal1432@gmail.com</t>
  </si>
  <si>
    <t>asharma47_be25</t>
  </si>
  <si>
    <t>RUSHIL CHAWLA</t>
  </si>
  <si>
    <t>rchawla_be25</t>
  </si>
  <si>
    <t>rchawla_be25@thapar.edu</t>
  </si>
  <si>
    <t>1025090038</t>
  </si>
  <si>
    <t>AARIT SALGOTRA</t>
  </si>
  <si>
    <t>asalgotra_be25</t>
  </si>
  <si>
    <t>VAIBHAV GUPTA</t>
  </si>
  <si>
    <t>vgupta5_be25</t>
  </si>
  <si>
    <t>vgupta5_be25@thapar.edu</t>
  </si>
  <si>
    <t>1025090066</t>
  </si>
  <si>
    <t>devansh2876@gmail.com</t>
  </si>
  <si>
    <t>SRI PRITHIYANGKIRA</t>
  </si>
  <si>
    <t>sprithiyangkir</t>
  </si>
  <si>
    <t>sprithiyangkira_be25@thapar.edu</t>
  </si>
  <si>
    <t>1025090061</t>
  </si>
  <si>
    <t>MAYASHA TRIPATHI</t>
  </si>
  <si>
    <t>mtripathi_be25</t>
  </si>
  <si>
    <t>mtripathi_be25@thapar.edu</t>
  </si>
  <si>
    <t>1025090067</t>
  </si>
  <si>
    <t>GATIK BANSAL</t>
  </si>
  <si>
    <t>gbansal_be25</t>
  </si>
  <si>
    <t>Daksh Bawa</t>
  </si>
  <si>
    <t>gbansal_be25@thapar.edu</t>
  </si>
  <si>
    <t>1025090060</t>
  </si>
  <si>
    <t>RAYHAN ULLAH KHAN</t>
  </si>
  <si>
    <t>rkhan_be25</t>
  </si>
  <si>
    <t>dakshbawa2007@gmail.com</t>
  </si>
  <si>
    <t>rkhan_be25@thapar.edu</t>
  </si>
  <si>
    <t>1025090070</t>
  </si>
  <si>
    <t>NAVYA KATHURIA</t>
  </si>
  <si>
    <t>nkathuria_be25</t>
  </si>
  <si>
    <t>nkathuria_be25@thapar.edu</t>
  </si>
  <si>
    <t>1025090078</t>
  </si>
  <si>
    <t>RAIZEL CHAUHAN</t>
  </si>
  <si>
    <t>7266366</t>
  </si>
  <si>
    <t>rchauhan_be25</t>
  </si>
  <si>
    <t>rchauhan_be25@thapar.edu</t>
  </si>
  <si>
    <t>1025090077</t>
  </si>
  <si>
    <t>Dikshit Chaudhary</t>
  </si>
  <si>
    <t>dikshitchaudhary26@gmail.com</t>
  </si>
  <si>
    <t>KIRANPREET K SINGH</t>
  </si>
  <si>
    <t>ksingh12_be25</t>
  </si>
  <si>
    <t>ksingh12_be25@thapar.edu</t>
  </si>
  <si>
    <t>1025090083</t>
  </si>
  <si>
    <t>PARTH BINDAL</t>
  </si>
  <si>
    <t>pbindal_be25</t>
  </si>
  <si>
    <t>pbindal_be25@thapar.edu</t>
  </si>
  <si>
    <t>1025090081</t>
  </si>
  <si>
    <t>HITEN GUPTA</t>
  </si>
  <si>
    <t>hgupta5_be25</t>
  </si>
  <si>
    <t>hgupta5_be25@thapar.edu</t>
  </si>
  <si>
    <t>1025090068</t>
  </si>
  <si>
    <t>Daksh Chauhan</t>
  </si>
  <si>
    <t>DEVAANSH GULATI</t>
  </si>
  <si>
    <t>dgulati_be25</t>
  </si>
  <si>
    <t>dgulati_be25@thapar.edu</t>
  </si>
  <si>
    <t>1025090095</t>
  </si>
  <si>
    <t>dakshc960@gmail.com</t>
  </si>
  <si>
    <t>RUCHIR JAIN</t>
  </si>
  <si>
    <t>rjain5_be25</t>
  </si>
  <si>
    <t>rjain5_be25@thapar.edu</t>
  </si>
  <si>
    <t>1025090064</t>
  </si>
  <si>
    <t>KRISHNA ARORA</t>
  </si>
  <si>
    <t>karora3_be25</t>
  </si>
  <si>
    <t>karora3_be25@thapar.edu</t>
  </si>
  <si>
    <t>1025090059</t>
  </si>
  <si>
    <t>DEVASHISH GIREESH PANDEY</t>
  </si>
  <si>
    <t>dpandey_be25</t>
  </si>
  <si>
    <t>dpandey_be25@thapar.edu</t>
  </si>
  <si>
    <t>1025090069</t>
  </si>
  <si>
    <t>ANUSHTHA SHARMA</t>
  </si>
  <si>
    <t>asharma10_be25</t>
  </si>
  <si>
    <t>PRATISHTHIT SHARMA</t>
  </si>
  <si>
    <t>psharma13_be25</t>
  </si>
  <si>
    <t>psharma13_be25@thapar.edu</t>
  </si>
  <si>
    <t>1025090074</t>
  </si>
  <si>
    <t>daman16046@gmail.com</t>
  </si>
  <si>
    <t>MAYANK CHAWLA</t>
  </si>
  <si>
    <t>mchawla1_be25</t>
  </si>
  <si>
    <t>mchawla1_be25@thapar.edu</t>
  </si>
  <si>
    <t>1025090085</t>
  </si>
  <si>
    <t>ISHAAN JAIN</t>
  </si>
  <si>
    <t>ijain_be25</t>
  </si>
  <si>
    <t>ijain_be25@thapar.edu</t>
  </si>
  <si>
    <t>1025090118</t>
  </si>
  <si>
    <t>Ddang_be25@thapar.edu</t>
  </si>
  <si>
    <t>ANKUR PATIDAR</t>
  </si>
  <si>
    <t>Dhruv Dang</t>
  </si>
  <si>
    <t>apatidar_be25</t>
  </si>
  <si>
    <t>Dhruvdang2008.02.03@hmail.com</t>
  </si>
  <si>
    <t>BISWAPRIYA PODDER</t>
  </si>
  <si>
    <t>bpodder1_be25</t>
  </si>
  <si>
    <t>ARYAN MEHTA</t>
  </si>
  <si>
    <t>amehta3_be25</t>
  </si>
  <si>
    <t>SHAUNAK AHUJA</t>
  </si>
  <si>
    <t>sahuja3_be25</t>
  </si>
  <si>
    <t>sahuja3_be25@thapar.edu</t>
  </si>
  <si>
    <t>1025090082</t>
  </si>
  <si>
    <t>KARTAVYA PANDA</t>
  </si>
  <si>
    <t>Dibyajyoti Das</t>
  </si>
  <si>
    <t>kpanda_be25</t>
  </si>
  <si>
    <t>kpanda_be25@thapar.edu</t>
  </si>
  <si>
    <t>1025090113</t>
  </si>
  <si>
    <t>VIDHI GUPTA</t>
  </si>
  <si>
    <t>vgupta3_be25</t>
  </si>
  <si>
    <t>vgupta3_be25@thapar.edu</t>
  </si>
  <si>
    <t>dibya47746@gmail.com</t>
  </si>
  <si>
    <t>1025090065</t>
  </si>
  <si>
    <t>ttanveer_be25</t>
  </si>
  <si>
    <t>ttanveer_be25@thapar.edu</t>
  </si>
  <si>
    <t>1025090115</t>
  </si>
  <si>
    <t>KHUSHPREET KAUR</t>
  </si>
  <si>
    <t>kkaur6_be25</t>
  </si>
  <si>
    <t>kkaur6_be25@thapar.edu</t>
  </si>
  <si>
    <t>1025090079</t>
  </si>
  <si>
    <t>HIMANSHI</t>
  </si>
  <si>
    <t>hhimanshi_be25</t>
  </si>
  <si>
    <t>hhimanshi_be25@thapar.edu</t>
  </si>
  <si>
    <t>1025090100</t>
  </si>
  <si>
    <t>JAPNEET KAUR</t>
  </si>
  <si>
    <t>jkaur6_be25</t>
  </si>
  <si>
    <t>jkaur6_be25@thapar.edu</t>
  </si>
  <si>
    <t>1025090099</t>
  </si>
  <si>
    <t>7266367</t>
  </si>
  <si>
    <t>UDHAV GUPTA</t>
  </si>
  <si>
    <t>Devanshi</t>
  </si>
  <si>
    <t>ugupta1_be25</t>
  </si>
  <si>
    <t>ugupta1_be25@thapar.edu</t>
  </si>
  <si>
    <t>1025090109</t>
  </si>
  <si>
    <t>PRAYAS JINDAL</t>
  </si>
  <si>
    <t>pjindal4_be25</t>
  </si>
  <si>
    <t>pjindal4_be25@thapar.edu</t>
  </si>
  <si>
    <t>1025090110</t>
  </si>
  <si>
    <t>SAMRIDH SINGH SANDHU</t>
  </si>
  <si>
    <t>devanshi4510@gmail.com</t>
  </si>
  <si>
    <t>ssandhu_be25</t>
  </si>
  <si>
    <t>ssandhu_be25@thapar.edu</t>
  </si>
  <si>
    <t>1025090087</t>
  </si>
  <si>
    <t>RUDRAANS SHARRMA</t>
  </si>
  <si>
    <t>rsharrma_be25</t>
  </si>
  <si>
    <t>rsharrma_be25@thapar.edu</t>
  </si>
  <si>
    <t>1025090096</t>
  </si>
  <si>
    <t>DEVANSHI SHARMA</t>
  </si>
  <si>
    <t>dsharma8_be25</t>
  </si>
  <si>
    <t>dsharma8_be25@thapar.edu</t>
  </si>
  <si>
    <t>1025090105</t>
  </si>
  <si>
    <t>DEVANSHI SAKHUJA</t>
  </si>
  <si>
    <t>dsakhuja_be25</t>
  </si>
  <si>
    <t>dsakhuja_be25@thapar.edu</t>
  </si>
  <si>
    <t>1025090086</t>
  </si>
  <si>
    <t>AKSHAT NAIR</t>
  </si>
  <si>
    <t>anair_be25</t>
  </si>
  <si>
    <t>dharnidharni66@Gmail.com</t>
  </si>
  <si>
    <t>ABHAY PARTAP SINGH</t>
  </si>
  <si>
    <t>asingh45_be25</t>
  </si>
  <si>
    <t>VIHAAN TYAGI</t>
  </si>
  <si>
    <t>vtyagi_be25</t>
  </si>
  <si>
    <t>vtyagi_be25@thapar.edu</t>
  </si>
  <si>
    <t>1025090107</t>
  </si>
  <si>
    <t>RUHAAN GUPTA</t>
  </si>
  <si>
    <t>rgupta2_be25</t>
  </si>
  <si>
    <t>rgupta2_be25@thapar.edu</t>
  </si>
  <si>
    <t>1025090093</t>
  </si>
  <si>
    <t>Dhruv</t>
  </si>
  <si>
    <t>HARTEJ SINGH SOHI</t>
  </si>
  <si>
    <t>hsohi_be25</t>
  </si>
  <si>
    <t>hsohi_be25@thapar.edu</t>
  </si>
  <si>
    <t>1025090106</t>
  </si>
  <si>
    <t>TANVIR SINGH</t>
  </si>
  <si>
    <t>tdhillon_be25</t>
  </si>
  <si>
    <t>tdhillon_be25@thapar.edu</t>
  </si>
  <si>
    <t>1025090108</t>
  </si>
  <si>
    <t>MEGHVI GOYAL</t>
  </si>
  <si>
    <t>mgoyal_be25</t>
  </si>
  <si>
    <t>mgoyal_be25@thapar.edu</t>
  </si>
  <si>
    <t>1025090102</t>
  </si>
  <si>
    <t>INDERJIT KAUR</t>
  </si>
  <si>
    <t>ikaur_be25</t>
  </si>
  <si>
    <t>Disha</t>
  </si>
  <si>
    <t>ikaur_be25@thapar.edu</t>
  </si>
  <si>
    <t>1025090103</t>
  </si>
  <si>
    <t>PRIYANSHU P BISWAS</t>
  </si>
  <si>
    <t>dishaaggarwal0202@gmail.com</t>
  </si>
  <si>
    <t>pbiswas_be25</t>
  </si>
  <si>
    <t>pbiswas_be25@thapar.edu</t>
  </si>
  <si>
    <t>1025090097</t>
  </si>
  <si>
    <t>ISHAAN SHISHODIA</t>
  </si>
  <si>
    <t>ishishodia_be2</t>
  </si>
  <si>
    <t>ishishodia_be25@thapar.edu</t>
  </si>
  <si>
    <t>1025090116</t>
  </si>
  <si>
    <t>Prabhmilan Singh Bharmi</t>
  </si>
  <si>
    <t>pbharmi_be25</t>
  </si>
  <si>
    <t>pbharmi_be25@thapar.edu</t>
  </si>
  <si>
    <t>1025090125</t>
  </si>
  <si>
    <t>SPARSH MAHESHWARI</t>
  </si>
  <si>
    <t>smaheshwari_be</t>
  </si>
  <si>
    <t>smaheshwari_be25@thapar.edu</t>
  </si>
  <si>
    <t>1025090114</t>
  </si>
  <si>
    <t>Divyani</t>
  </si>
  <si>
    <t>SARTHAK MANIK</t>
  </si>
  <si>
    <t>smanik_be25</t>
  </si>
  <si>
    <t>smanik_be25@thapar.edu</t>
  </si>
  <si>
    <t>divyanigoyal06oct@gmail.com</t>
  </si>
  <si>
    <t>1025090117</t>
  </si>
  <si>
    <t>VANSH MALHOTRA</t>
  </si>
  <si>
    <t>vvansh1_be25</t>
  </si>
  <si>
    <t>vvansh1_be25@thapar.edu</t>
  </si>
  <si>
    <t>1025090101</t>
  </si>
  <si>
    <t>AARSHIYA KOHLI</t>
  </si>
  <si>
    <t>akohli2_be25</t>
  </si>
  <si>
    <t>7266369</t>
  </si>
  <si>
    <t>2NS1</t>
  </si>
  <si>
    <t>SHASHWAT PRATAP SINGH</t>
  </si>
  <si>
    <t>ssingh38_be25</t>
  </si>
  <si>
    <t>ssingh38_be25@thapar.edu</t>
  </si>
  <si>
    <t>102503008</t>
  </si>
  <si>
    <t>divyanshdixit023@gmail.com</t>
  </si>
  <si>
    <t>PANSHUL KALRA</t>
  </si>
  <si>
    <t>pkalra_be25</t>
  </si>
  <si>
    <t>pkalra_be25@thapar.edu</t>
  </si>
  <si>
    <t>1025031076</t>
  </si>
  <si>
    <t>YATHARTH GARG</t>
  </si>
  <si>
    <t>ygarg3_be25</t>
  </si>
  <si>
    <t>ygarg3_be25@thapar.edu</t>
  </si>
  <si>
    <t>1025031049</t>
  </si>
  <si>
    <t>ddrishti1_ be25@thapar.edu</t>
  </si>
  <si>
    <t>Drishti</t>
  </si>
  <si>
    <t>VEER SINGH YADAV</t>
  </si>
  <si>
    <t>vyadav_be25</t>
  </si>
  <si>
    <t>vyadav_be25@thapar.edu</t>
  </si>
  <si>
    <t>drishtichitkara7@gmail.com</t>
  </si>
  <si>
    <t>1025030838</t>
  </si>
  <si>
    <t>AKSHIT KUMAR GORIA</t>
  </si>
  <si>
    <t>agoria_be25</t>
  </si>
  <si>
    <t>MUNDHARINTI SREE KARUNYA</t>
  </si>
  <si>
    <t>mkarunya_be25</t>
  </si>
  <si>
    <t>mkarunya_be25@thapar.edu</t>
  </si>
  <si>
    <t>1025030542</t>
  </si>
  <si>
    <t>Daanish garg</t>
  </si>
  <si>
    <t>ARJUN KOHLI</t>
  </si>
  <si>
    <t>akohli1_be25</t>
  </si>
  <si>
    <t>daanishgarg2007@gmail.com</t>
  </si>
  <si>
    <t>VIKRAMADITYA SINDHU</t>
  </si>
  <si>
    <t>vsindhu_be25</t>
  </si>
  <si>
    <t>vsindhu_be25@thapar.edu</t>
  </si>
  <si>
    <t>1025030608</t>
  </si>
  <si>
    <t>MOULIK NARULA</t>
  </si>
  <si>
    <t>mnarula_be25</t>
  </si>
  <si>
    <t>mnarula_be25@thapar.edu</t>
  </si>
  <si>
    <t>1025030558</t>
  </si>
  <si>
    <t>RYKA CHOPRA</t>
  </si>
  <si>
    <t>Dgarg11_be25@thapar.edu</t>
  </si>
  <si>
    <t>rchopra_be25</t>
  </si>
  <si>
    <t>rchopra_be25@thapar.edu</t>
  </si>
  <si>
    <t>1025031096</t>
  </si>
  <si>
    <t>Devansh garg</t>
  </si>
  <si>
    <t>TANISHQ JAIN</t>
  </si>
  <si>
    <t>tjain_be25</t>
  </si>
  <si>
    <t>tjain_be25@thapar.edu</t>
  </si>
  <si>
    <t>1025030072</t>
  </si>
  <si>
    <t>2QN1</t>
  </si>
  <si>
    <t>ATHARV SHARMA</t>
  </si>
  <si>
    <t>asharma42_be25</t>
  </si>
  <si>
    <t>NIKHIL SHARMA</t>
  </si>
  <si>
    <t>nsharma1_be25</t>
  </si>
  <si>
    <t>nsharma1_be25@thapar.edu</t>
  </si>
  <si>
    <t>1025030474</t>
  </si>
  <si>
    <t>HARSHITA RANA</t>
  </si>
  <si>
    <t>hrana_be25</t>
  </si>
  <si>
    <t>Daiwik Garg</t>
  </si>
  <si>
    <t>hrana_be25@thapar.edu</t>
  </si>
  <si>
    <t>1025030472</t>
  </si>
  <si>
    <t>ADITYA BHATIA</t>
  </si>
  <si>
    <t>abhatia_be25</t>
  </si>
  <si>
    <t>daiwikgarg07@gmail.com</t>
  </si>
  <si>
    <t>abhatia_be25@thapar.edu</t>
  </si>
  <si>
    <t>1025031004</t>
  </si>
  <si>
    <t>RAGHAV BHASIN</t>
  </si>
  <si>
    <t>rbhasin_be25</t>
  </si>
  <si>
    <t>rbhasin_be25@thapar.edu</t>
  </si>
  <si>
    <t>1025030760</t>
  </si>
  <si>
    <t>ANANDINI KATHURIA</t>
  </si>
  <si>
    <t>akathuria1_be2</t>
  </si>
  <si>
    <t>Devansh Garg</t>
  </si>
  <si>
    <t>DRISTY BANSAL</t>
  </si>
  <si>
    <t>dbansal_be25</t>
  </si>
  <si>
    <t>dbansal_be25@thapar.edu</t>
  </si>
  <si>
    <t>gargdevansh980@gmail.com</t>
  </si>
  <si>
    <t>KORUPOLU GEETHA KARTHIK</t>
  </si>
  <si>
    <t>kkarthik_be25</t>
  </si>
  <si>
    <t>kkarthik_be25@thapar.edu</t>
  </si>
  <si>
    <t>1025030318</t>
  </si>
  <si>
    <t>psharma6_be25</t>
  </si>
  <si>
    <t>psharma6_be25@thapar.edu</t>
  </si>
  <si>
    <t>1025030639</t>
  </si>
  <si>
    <t>7266371</t>
  </si>
  <si>
    <t>RUDRAKSH DHINGRA</t>
  </si>
  <si>
    <t>rdhingra_be25</t>
  </si>
  <si>
    <t>rdhingra_be25@thapar.edu</t>
  </si>
  <si>
    <t>1025030295</t>
  </si>
  <si>
    <t>ANTERPAL SINGH</t>
  </si>
  <si>
    <t>Dhruv Garg</t>
  </si>
  <si>
    <t>asingh26_be25</t>
  </si>
  <si>
    <t>HRYDAY GUPTA</t>
  </si>
  <si>
    <t>hgupta6_be25</t>
  </si>
  <si>
    <t>gargdhruv237@gmail.com</t>
  </si>
  <si>
    <t>hgupta6_be25@thapar.edu</t>
  </si>
  <si>
    <t>1025030943</t>
  </si>
  <si>
    <t>amadaan_be25</t>
  </si>
  <si>
    <t>ARMAAN ALI KHAN</t>
  </si>
  <si>
    <t>dgoyal_be25@thapar.edu</t>
  </si>
  <si>
    <t>akhan_be25</t>
  </si>
  <si>
    <t>akhan_be25@thapar.edu</t>
  </si>
  <si>
    <t>1025030749</t>
  </si>
  <si>
    <t>Dhruv goyal</t>
  </si>
  <si>
    <t>PHANEESH GURURAJ</t>
  </si>
  <si>
    <t>pgururaj_be25</t>
  </si>
  <si>
    <t>1025230053</t>
  </si>
  <si>
    <t>pgururaj_be25@thapar.edu</t>
  </si>
  <si>
    <t>1025030102</t>
  </si>
  <si>
    <t>YASH KAPOOR</t>
  </si>
  <si>
    <t>ykapoor_be25</t>
  </si>
  <si>
    <t>ykapoor_be25@thapar.edu</t>
  </si>
  <si>
    <t>1025030002</t>
  </si>
  <si>
    <t>PAMARTHI GIRISH CHANDRA</t>
  </si>
  <si>
    <t>pchandra_be25</t>
  </si>
  <si>
    <t>pchandra_be25@thapar.edu</t>
  </si>
  <si>
    <t>1025030547</t>
  </si>
  <si>
    <t>Divyam Goyal</t>
  </si>
  <si>
    <t>AANYA SACHDEVA</t>
  </si>
  <si>
    <t>thapar_7251</t>
  </si>
  <si>
    <t>AARAV SRIVASTAVA</t>
  </si>
  <si>
    <t>thapar_7252</t>
  </si>
  <si>
    <t>divyamgoyal68@gmail.com</t>
  </si>
  <si>
    <t>KRISHNA AGGARWAL</t>
  </si>
  <si>
    <t>thapar_7253</t>
  </si>
  <si>
    <t>kaggarwal2_be25@thapar.edu</t>
  </si>
  <si>
    <t>1025090092</t>
  </si>
  <si>
    <t>Yuvraj Kukreja</t>
  </si>
  <si>
    <t>bliss_quest_74</t>
  </si>
  <si>
    <t>ykukreja1_be25@thapar.edu</t>
  </si>
  <si>
    <t>1025160026</t>
  </si>
  <si>
    <t>Dgoyal2_be25@thapar.edu</t>
  </si>
  <si>
    <t>Parth Adlakha</t>
  </si>
  <si>
    <t>Dorothy</t>
  </si>
  <si>
    <t>gang_moles_38</t>
  </si>
  <si>
    <t>padlakha_be25@thapar.edu</t>
  </si>
  <si>
    <t>1025160128</t>
  </si>
  <si>
    <t>Dorothyg1028@gmail.com</t>
  </si>
  <si>
    <t>raw_magic_90</t>
  </si>
  <si>
    <t>mmanika_be25@thapar.edu</t>
  </si>
  <si>
    <t>1025160123</t>
  </si>
  <si>
    <t>gleam_pine_95</t>
  </si>
  <si>
    <t>young_geese_60</t>
  </si>
  <si>
    <t>Devaansh Gulati</t>
  </si>
  <si>
    <t>Parth Bhutna</t>
  </si>
  <si>
    <t>giddy_spice_25</t>
  </si>
  <si>
    <t>pbhutna_be25@thapar.edu</t>
  </si>
  <si>
    <t>1025160124</t>
  </si>
  <si>
    <t>devaanshgulati55@gmail.com</t>
  </si>
  <si>
    <t>crowd_quilt_79</t>
  </si>
  <si>
    <t>Shivam Thakur</t>
  </si>
  <si>
    <t>sweet_field_09</t>
  </si>
  <si>
    <t>sthakur_be25@thapar.edu</t>
  </si>
  <si>
    <t>1025230028</t>
  </si>
  <si>
    <t>dgupta2_be25@thapr.edu</t>
  </si>
  <si>
    <t>Dhruv Gupta</t>
  </si>
  <si>
    <t>Raghav Anand</t>
  </si>
  <si>
    <t>calm_dawn_80</t>
  </si>
  <si>
    <t>ranand_be25@thapar.edu</t>
  </si>
  <si>
    <t>1025230075</t>
  </si>
  <si>
    <t>dhruvg1801@gmail.com</t>
  </si>
  <si>
    <t>Rishi Pahwa</t>
  </si>
  <si>
    <t>plague_apes_86</t>
  </si>
  <si>
    <t>7266372</t>
  </si>
  <si>
    <t>rpahwa_be25@thapar.edu</t>
  </si>
  <si>
    <t>1025230068</t>
  </si>
  <si>
    <t>glow_luck_66</t>
  </si>
  <si>
    <t>Neelakshi Neelakshi</t>
  </si>
  <si>
    <t>Drishti Gupta</t>
  </si>
  <si>
    <t>young_coast_09</t>
  </si>
  <si>
    <t>nneelakshi_be25@thapar.edu</t>
  </si>
  <si>
    <t>1025230035</t>
  </si>
  <si>
    <t>drishtipulkit208@gmail.com</t>
  </si>
  <si>
    <t>avid_bliss_16</t>
  </si>
  <si>
    <t>asaini5_be25@thapar.edu</t>
  </si>
  <si>
    <t>1025230031</t>
  </si>
  <si>
    <t>aryamann002</t>
  </si>
  <si>
    <t>Shravan Gupta</t>
  </si>
  <si>
    <t>thapar_8346</t>
  </si>
  <si>
    <t>Sgupta9_be25@thapar.edu</t>
  </si>
  <si>
    <t>102530073</t>
  </si>
  <si>
    <t>Devashish Singh Gusain</t>
  </si>
  <si>
    <t>Harsh Pruthi</t>
  </si>
  <si>
    <t>thapar_8357</t>
  </si>
  <si>
    <t>hpruthi_be25@thapar.edu</t>
  </si>
  <si>
    <t>dev.paari11@gmail.com</t>
  </si>
  <si>
    <t>1025150192</t>
  </si>
  <si>
    <t>2TCD</t>
  </si>
  <si>
    <t>Arjun Chawla</t>
  </si>
  <si>
    <t>thapar_8358</t>
  </si>
  <si>
    <t>achawla1_be25@thapar.edu</t>
  </si>
  <si>
    <t>1025150378</t>
  </si>
  <si>
    <t>samaira sood</t>
  </si>
  <si>
    <t>thapar_8359</t>
  </si>
  <si>
    <t>ssood_be25@thapar.edu</t>
  </si>
  <si>
    <t>1025150400</t>
  </si>
  <si>
    <t>Diya handa</t>
  </si>
  <si>
    <t>Mayun Bhrasadia</t>
  </si>
  <si>
    <t>thapar_8362</t>
  </si>
  <si>
    <t>mbhrasadia_be25@thapar.edu</t>
  </si>
  <si>
    <t>1025160003</t>
  </si>
  <si>
    <t>diya. handa2006@gmail.com</t>
  </si>
  <si>
    <t>Tanmay Rai</t>
  </si>
  <si>
    <t>thapar_8363</t>
  </si>
  <si>
    <t>trai_be25@thapar.edu</t>
  </si>
  <si>
    <t>1025160004</t>
  </si>
  <si>
    <t>Harshal Verma</t>
  </si>
  <si>
    <t>thapar_8366</t>
  </si>
  <si>
    <t>hverma1_be25@thapar.edu</t>
  </si>
  <si>
    <t>1025160007</t>
  </si>
  <si>
    <t>harshil ahuja</t>
  </si>
  <si>
    <t>harshil_10</t>
  </si>
  <si>
    <t>hahuja_be25@thapar.edu</t>
  </si>
  <si>
    <t>1025160009</t>
  </si>
  <si>
    <t>Dev Jain</t>
  </si>
  <si>
    <t>thapar_8373</t>
  </si>
  <si>
    <t>devjain9330@gmail.com</t>
  </si>
  <si>
    <t>thapar_8374</t>
  </si>
  <si>
    <t>Pradhumn Pateriya</t>
  </si>
  <si>
    <t>thapar_8385</t>
  </si>
  <si>
    <t>ppateriya_be25@thapar.edu</t>
  </si>
  <si>
    <t>1025160027</t>
  </si>
  <si>
    <t>Djain3_be25@thapar.edu</t>
  </si>
  <si>
    <t>Dhunn</t>
  </si>
  <si>
    <t>thapar_8386</t>
  </si>
  <si>
    <t>dhunnjain01@gmail.com</t>
  </si>
  <si>
    <t>Varnit Bisht</t>
  </si>
  <si>
    <t>thapar_8387</t>
  </si>
  <si>
    <t>vbisht_be25@thapar.edu</t>
  </si>
  <si>
    <t>1025160029</t>
  </si>
  <si>
    <t>Rudransh Thakur</t>
  </si>
  <si>
    <t>thapar_8390</t>
  </si>
  <si>
    <t>rthakur1_be25@thapar.edu</t>
  </si>
  <si>
    <t>1025160033</t>
  </si>
  <si>
    <t>Keshav Gupta</t>
  </si>
  <si>
    <t>thapar_8391</t>
  </si>
  <si>
    <t>Kgupta3_be25@thapar.edu</t>
  </si>
  <si>
    <t>1025160034</t>
  </si>
  <si>
    <t>7266373</t>
  </si>
  <si>
    <t>Mann Dhupia</t>
  </si>
  <si>
    <t>thapar_8392</t>
  </si>
  <si>
    <t>mdhupia_be25@thapar.edu</t>
  </si>
  <si>
    <t>1025160035</t>
  </si>
  <si>
    <t>nerdivyansh08@gmail.com</t>
  </si>
  <si>
    <t>Pragun Gupta</t>
  </si>
  <si>
    <t>thapar_8393</t>
  </si>
  <si>
    <t>pgupta7_be25@thapar.edu</t>
  </si>
  <si>
    <t>1025160036</t>
  </si>
  <si>
    <t>Manpreet Singh</t>
  </si>
  <si>
    <t>thapar_8394</t>
  </si>
  <si>
    <t>msingh5_be25@thapar.edu</t>
  </si>
  <si>
    <t>1025160037</t>
  </si>
  <si>
    <t>thapar_8396</t>
  </si>
  <si>
    <t>Ditya Jindal</t>
  </si>
  <si>
    <t>Yash Bansal</t>
  </si>
  <si>
    <t>thapar_8397</t>
  </si>
  <si>
    <t>jindalditya22@gmail.com</t>
  </si>
  <si>
    <t>ybansal_be25@thapar.edu</t>
  </si>
  <si>
    <t>1025160040</t>
  </si>
  <si>
    <t>thapar_8401</t>
  </si>
  <si>
    <t>Ekta Goyal</t>
  </si>
  <si>
    <t>thapar_8402</t>
  </si>
  <si>
    <t>djindal2_b25@thapar.edu</t>
  </si>
  <si>
    <t>egoyal_be25@thapar.edu</t>
  </si>
  <si>
    <t>1025160045</t>
  </si>
  <si>
    <t>Daksh Jindal</t>
  </si>
  <si>
    <t>Vansh Agarwal</t>
  </si>
  <si>
    <t>thapar_8408</t>
  </si>
  <si>
    <t>vagarwal_be25@thapar.edu</t>
  </si>
  <si>
    <t>1025160053</t>
  </si>
  <si>
    <t>ruchijindal078@gmail.com</t>
  </si>
  <si>
    <t>Yash garg</t>
  </si>
  <si>
    <t>thapar_8409</t>
  </si>
  <si>
    <t>ygarg_be25@thapar.edu</t>
  </si>
  <si>
    <t>1025160054</t>
  </si>
  <si>
    <t>Tushant</t>
  </si>
  <si>
    <t>thapar_8412</t>
  </si>
  <si>
    <t>ttushant_be25@thapar.edu</t>
  </si>
  <si>
    <t>1025160059</t>
  </si>
  <si>
    <t>Shrey Dwivedi</t>
  </si>
  <si>
    <t>thapar_8416</t>
  </si>
  <si>
    <t>sdwivedi_be25@thapar.edu</t>
  </si>
  <si>
    <t>Daksh Juneja</t>
  </si>
  <si>
    <t>1025160063</t>
  </si>
  <si>
    <t>Priyanshu Kumar</t>
  </si>
  <si>
    <t>thapar_8418</t>
  </si>
  <si>
    <t>pkumar4_be25@thapar.edu</t>
  </si>
  <si>
    <t>dakshjunejaggn@gmail.com</t>
  </si>
  <si>
    <t>1025160065</t>
  </si>
  <si>
    <t>PULKIT PANDEY</t>
  </si>
  <si>
    <t>thapar_8422</t>
  </si>
  <si>
    <t>ppandey_be25@thapar.edu</t>
  </si>
  <si>
    <t>1025160070</t>
  </si>
  <si>
    <t>Kaavish Gupta</t>
  </si>
  <si>
    <t>thapar_8426</t>
  </si>
  <si>
    <t>kgupta12_be25@thapar.edu</t>
  </si>
  <si>
    <t>1025160074</t>
  </si>
  <si>
    <t>Jyotirmoy Dey</t>
  </si>
  <si>
    <t>jyotirmoydey</t>
  </si>
  <si>
    <t>jdey_be25@thapar.edu</t>
  </si>
  <si>
    <t>1025160075</t>
  </si>
  <si>
    <t>dakshkahlon007@gmail.com</t>
  </si>
  <si>
    <t>thapar_8430</t>
  </si>
  <si>
    <t>thapar_8431</t>
  </si>
  <si>
    <t>Vaibhav Gupta</t>
  </si>
  <si>
    <t>thapar_8434</t>
  </si>
  <si>
    <t>Vgupta6_25@thapar.edu</t>
  </si>
  <si>
    <t>1025160083</t>
  </si>
  <si>
    <t>Prabhasees Singh</t>
  </si>
  <si>
    <t>Daanbir singh kanwar</t>
  </si>
  <si>
    <t>thapar_8441</t>
  </si>
  <si>
    <t>psingh12_be25@thapar.edu</t>
  </si>
  <si>
    <t>1025160090</t>
  </si>
  <si>
    <t>Yuvraj Dahiya</t>
  </si>
  <si>
    <t>thapar_8452</t>
  </si>
  <si>
    <t>ydahiya_be25@thapar.edu</t>
  </si>
  <si>
    <t>1025160102</t>
  </si>
  <si>
    <t>7266374</t>
  </si>
  <si>
    <t>daanbirsinghkanwar@gmail.com</t>
  </si>
  <si>
    <t>thapar_8454</t>
  </si>
  <si>
    <t>thapar_8466</t>
  </si>
  <si>
    <t>Dhruvjit singh</t>
  </si>
  <si>
    <t>thapar_8467</t>
  </si>
  <si>
    <t>Dsingh5_be25@thapat.edu</t>
  </si>
  <si>
    <t>1025160119</t>
  </si>
  <si>
    <t>Daksh Kanwar</t>
  </si>
  <si>
    <t>Yashander Hooda</t>
  </si>
  <si>
    <t>thapar_8469</t>
  </si>
  <si>
    <t>yhooda_be25@thapar.edu</t>
  </si>
  <si>
    <t>1025160121</t>
  </si>
  <si>
    <t>Vyom Garg</t>
  </si>
  <si>
    <t>thapar_8470</t>
  </si>
  <si>
    <t>vgarg8_be25@thapar.edu</t>
  </si>
  <si>
    <t>kanwardaksh07@gmail.com</t>
  </si>
  <si>
    <t>1025160122</t>
  </si>
  <si>
    <t>Sahil Khunger</t>
  </si>
  <si>
    <t>thapar_8477</t>
  </si>
  <si>
    <t>skhunger_be25@thapar.edu</t>
  </si>
  <si>
    <t>1025160129</t>
  </si>
  <si>
    <t>Shadab Ahmed</t>
  </si>
  <si>
    <t>thapar_8479</t>
  </si>
  <si>
    <t>sahmed_be25@thapar.edu</t>
  </si>
  <si>
    <t>1025160131</t>
  </si>
  <si>
    <t>Krittika</t>
  </si>
  <si>
    <t>thapar_8481</t>
  </si>
  <si>
    <t>kkrittika_be25@thapar.edu</t>
  </si>
  <si>
    <t>Daksh Kapoor</t>
  </si>
  <si>
    <t>1025230016</t>
  </si>
  <si>
    <t>thapar_8482</t>
  </si>
  <si>
    <t>Dkboss7125@gmail.com</t>
  </si>
  <si>
    <t>Guntesh singh</t>
  </si>
  <si>
    <t>thapar_8483</t>
  </si>
  <si>
    <t>gsingh4_be25@thapar.edu</t>
  </si>
  <si>
    <t>1025230024</t>
  </si>
  <si>
    <t>thapar_8484</t>
  </si>
  <si>
    <t>Harmandeep singh</t>
  </si>
  <si>
    <t>thapar_8485</t>
  </si>
  <si>
    <t>hsingh11_be25@thapar.edu</t>
  </si>
  <si>
    <t>1025230026</t>
  </si>
  <si>
    <t>Dhruv Kapoor</t>
  </si>
  <si>
    <t>Rehan Bir Singh</t>
  </si>
  <si>
    <t>thapar_8486</t>
  </si>
  <si>
    <t>rsingh8_be25@thapar.edu</t>
  </si>
  <si>
    <t>1025230027</t>
  </si>
  <si>
    <t>kapoordhruv36@gmail.com</t>
  </si>
  <si>
    <t>Manan sood</t>
  </si>
  <si>
    <t>thapar_8488</t>
  </si>
  <si>
    <t>msood_be25@thapar.edu</t>
  </si>
  <si>
    <t>1025230029</t>
  </si>
  <si>
    <t>Prabal Kaushik</t>
  </si>
  <si>
    <t>thapar_8489</t>
  </si>
  <si>
    <t>pkaushik_be25@thapar.edu</t>
  </si>
  <si>
    <t>1025230030</t>
  </si>
  <si>
    <t>Darsh Marwaha</t>
  </si>
  <si>
    <t>thapar_8491</t>
  </si>
  <si>
    <t>dmarwaha_be25@thapar.edu</t>
  </si>
  <si>
    <t>1025230032</t>
  </si>
  <si>
    <t>7266375</t>
  </si>
  <si>
    <t>Daksh Kathuria</t>
  </si>
  <si>
    <t>Suhan Khan</t>
  </si>
  <si>
    <t>thapar_8492</t>
  </si>
  <si>
    <t>skhan_be25@thapar.edu</t>
  </si>
  <si>
    <t>1025230033</t>
  </si>
  <si>
    <t>daksh.kathuria@gmail.com</t>
  </si>
  <si>
    <t>Prashaant Sharma</t>
  </si>
  <si>
    <t>thapar_8493</t>
  </si>
  <si>
    <t>psharma12_be25@thapar.edu</t>
  </si>
  <si>
    <t>1025230034</t>
  </si>
  <si>
    <t>Mehar Marwah</t>
  </si>
  <si>
    <t>thapar_8495</t>
  </si>
  <si>
    <t>mmarwah_be25@thapar.edu</t>
  </si>
  <si>
    <t>1025230036</t>
  </si>
  <si>
    <t>Raghav Semwal</t>
  </si>
  <si>
    <t>raghavs_semwal</t>
  </si>
  <si>
    <t>rsemwal_be25@thapar.edu</t>
  </si>
  <si>
    <t>1025230037</t>
  </si>
  <si>
    <t>Lakshya kapoor</t>
  </si>
  <si>
    <t>thapar_8497</t>
  </si>
  <si>
    <t>Lkapoor_be25@thapar.edu</t>
  </si>
  <si>
    <t>1025230038</t>
  </si>
  <si>
    <t>Devansh Kaushik</t>
  </si>
  <si>
    <t>thapar_8498</t>
  </si>
  <si>
    <t>kaushikdevansh677@gmail.com</t>
  </si>
  <si>
    <t>Naman Rawal</t>
  </si>
  <si>
    <t>thapar_8499</t>
  </si>
  <si>
    <t>Nrawal_be25@thapar.edu</t>
  </si>
  <si>
    <t>1025230040</t>
  </si>
  <si>
    <t>Pari Siwach</t>
  </si>
  <si>
    <t>thapar_8500</t>
  </si>
  <si>
    <t>Psiwach_be25@thapar.edu</t>
  </si>
  <si>
    <t>1025230041</t>
  </si>
  <si>
    <t>thapar_8501</t>
  </si>
  <si>
    <t>Deepak Kumar khatri</t>
  </si>
  <si>
    <t>Janhavi</t>
  </si>
  <si>
    <t>thapar_8502</t>
  </si>
  <si>
    <t>jjanhavi_be25@thapar.edu</t>
  </si>
  <si>
    <t>1025230043</t>
  </si>
  <si>
    <t>dk484145@gmail.com</t>
  </si>
  <si>
    <t>Madhav Aggarwal</t>
  </si>
  <si>
    <t>thapar_8503</t>
  </si>
  <si>
    <t>maggarwal_be25@thapar.edu</t>
  </si>
  <si>
    <t>1025230044</t>
  </si>
  <si>
    <t>thapar_8504</t>
  </si>
  <si>
    <t>Dilshan Singh Khinda</t>
  </si>
  <si>
    <t>Manshika</t>
  </si>
  <si>
    <t>thapar_8505</t>
  </si>
  <si>
    <t>mmanshika_be25@thapar.edu</t>
  </si>
  <si>
    <t>1025230046</t>
  </si>
  <si>
    <t>dilshansingh1233@gmail.com</t>
  </si>
  <si>
    <t>Mahima Gupta</t>
  </si>
  <si>
    <t>thapar_8506</t>
  </si>
  <si>
    <t>mgupta2_be25@thapar.edu</t>
  </si>
  <si>
    <t>1025230047</t>
  </si>
  <si>
    <t>7266376</t>
  </si>
  <si>
    <t>Mitul Patel</t>
  </si>
  <si>
    <t>thapar_8507</t>
  </si>
  <si>
    <t>mpatel_be25@thapar.edu</t>
  </si>
  <si>
    <t>1025230048</t>
  </si>
  <si>
    <t>thapar_8508</t>
  </si>
  <si>
    <t>Divansh Khullar</t>
  </si>
  <si>
    <t>Janisha Johri</t>
  </si>
  <si>
    <t>thapar_8509</t>
  </si>
  <si>
    <t>jjohri_be25@thapar.edu</t>
  </si>
  <si>
    <t>1025230050</t>
  </si>
  <si>
    <t>khullardivansh@gmail.com</t>
  </si>
  <si>
    <t>Narayan Singh</t>
  </si>
  <si>
    <t>thapar_8510</t>
  </si>
  <si>
    <t>nsingh14_be25@thapar.edu</t>
  </si>
  <si>
    <t>1025230051</t>
  </si>
  <si>
    <t>Mridul Agarwal</t>
  </si>
  <si>
    <t>thapar_8511</t>
  </si>
  <si>
    <t>magarwal1_be25@thapar.edu</t>
  </si>
  <si>
    <t>1025230052</t>
  </si>
  <si>
    <t>thapar_8512</t>
  </si>
  <si>
    <t>Ujjawal Jolly</t>
  </si>
  <si>
    <t>thapar_8513</t>
  </si>
  <si>
    <t>Deepit Koul</t>
  </si>
  <si>
    <t>ujolly_be25@thapar.edu</t>
  </si>
  <si>
    <t>1025230054</t>
  </si>
  <si>
    <t>Himanshi Kawatra</t>
  </si>
  <si>
    <t>thapar_8514</t>
  </si>
  <si>
    <t>hkawatra_be25@thapar.edu</t>
  </si>
  <si>
    <t>deepitkoul0910@gmail.com</t>
  </si>
  <si>
    <t>1025230055</t>
  </si>
  <si>
    <t>Divyansh Puri</t>
  </si>
  <si>
    <t>thapar_8515</t>
  </si>
  <si>
    <t>dpuri1_be25@thapar.edu</t>
  </si>
  <si>
    <t>1025230056</t>
  </si>
  <si>
    <t>thapar_8517</t>
  </si>
  <si>
    <t>Krish kansal</t>
  </si>
  <si>
    <t>thapar_8518</t>
  </si>
  <si>
    <t>kkansal_be25@thapar.edu</t>
  </si>
  <si>
    <t>1025230059</t>
  </si>
  <si>
    <t>Dhruv Kumar</t>
  </si>
  <si>
    <t>Mannat Sethi</t>
  </si>
  <si>
    <t>thapar_8519</t>
  </si>
  <si>
    <t>msethi_be25@thapar.edu</t>
  </si>
  <si>
    <t>1025230060</t>
  </si>
  <si>
    <t>dhruvkumar11007@gmail.com</t>
  </si>
  <si>
    <t>Talveen Kaur</t>
  </si>
  <si>
    <t>thapar_8520</t>
  </si>
  <si>
    <t>tkaur2_be25@thapar.edu</t>
  </si>
  <si>
    <t>1025230061</t>
  </si>
  <si>
    <t>thapar_8521</t>
  </si>
  <si>
    <t>Sharanjot Singh</t>
  </si>
  <si>
    <t>thapar_8522</t>
  </si>
  <si>
    <t>ssingh29_be25@thapar.edu</t>
  </si>
  <si>
    <t>1025230063</t>
  </si>
  <si>
    <t>Dhairya Kumar</t>
  </si>
  <si>
    <t>Harshita garg</t>
  </si>
  <si>
    <t>thapar_8523</t>
  </si>
  <si>
    <t>hgarg6_be25@thapar.edu</t>
  </si>
  <si>
    <t>1025230064</t>
  </si>
  <si>
    <t>Parminderjeet singh</t>
  </si>
  <si>
    <t>thapar_8524</t>
  </si>
  <si>
    <t>7266377</t>
  </si>
  <si>
    <t>psingh7_be25@thapar.edu</t>
  </si>
  <si>
    <t>dhairyakumar2610@gmail.com</t>
  </si>
  <si>
    <t>1025230066</t>
  </si>
  <si>
    <t>Meenal Singh Rawat</t>
  </si>
  <si>
    <t>thapar_8526</t>
  </si>
  <si>
    <t>mrawat_be25@thapar.edu</t>
  </si>
  <si>
    <t>1025230069</t>
  </si>
  <si>
    <t>Ridhi Sharma</t>
  </si>
  <si>
    <t>thapar_8528</t>
  </si>
  <si>
    <t>rsharma8_be25@thapar.edu</t>
  </si>
  <si>
    <t>1025230072</t>
  </si>
  <si>
    <t>Divisha Kumari</t>
  </si>
  <si>
    <t>Kanaldeep Singh</t>
  </si>
  <si>
    <t>thapar_8531</t>
  </si>
  <si>
    <t>Ksingh3_be25@thapar.edu</t>
  </si>
  <si>
    <t>1025230076</t>
  </si>
  <si>
    <t>divishakumari411@gmail.com</t>
  </si>
  <si>
    <t>Khushi Singh</t>
  </si>
  <si>
    <t>thapar_8532</t>
  </si>
  <si>
    <t>ksingh10_be25@thapar.edu</t>
  </si>
  <si>
    <t>1025230077</t>
  </si>
  <si>
    <t>Tanmay</t>
  </si>
  <si>
    <t>thapar_8533</t>
  </si>
  <si>
    <t>ttanmay_be25@thapar.edu</t>
  </si>
  <si>
    <t>1025230078</t>
  </si>
  <si>
    <t>Sukhmanpreet kaur</t>
  </si>
  <si>
    <t>thapar_8534</t>
  </si>
  <si>
    <t>skaur4_be25@thapar.edu</t>
  </si>
  <si>
    <t>1025230079</t>
  </si>
  <si>
    <t>Kshitij Dhariwal</t>
  </si>
  <si>
    <t>thapar_8535</t>
  </si>
  <si>
    <t>Kkshitij_be25@thapar.edu</t>
  </si>
  <si>
    <t>1025230080</t>
  </si>
  <si>
    <t>Dhamchos Legzesma</t>
  </si>
  <si>
    <t>Mohammad Gufran Ul Haq</t>
  </si>
  <si>
    <t>thapar_8536</t>
  </si>
  <si>
    <t>mhaq_be25@thapar.edu</t>
  </si>
  <si>
    <t>1025230081</t>
  </si>
  <si>
    <t>dlegzesma@gmail.com</t>
  </si>
  <si>
    <t>thapar_8537</t>
  </si>
  <si>
    <t>thapar_8538</t>
  </si>
  <si>
    <t>Dmadan_be25@thapar.edu</t>
  </si>
  <si>
    <t>Mahi Mahajan</t>
  </si>
  <si>
    <t>Divya Madan</t>
  </si>
  <si>
    <t>thapar_8539</t>
  </si>
  <si>
    <t>mmahajan_be25@thapar.edu</t>
  </si>
  <si>
    <t>1025230086</t>
  </si>
  <si>
    <t>Madandivya24@gmail.com</t>
  </si>
  <si>
    <t>thapar_8540</t>
  </si>
  <si>
    <t>ttanvi_be25@thapar.edu</t>
  </si>
  <si>
    <t>1025230087</t>
  </si>
  <si>
    <t>Ryan Nagpal</t>
  </si>
  <si>
    <t>thapar_8541</t>
  </si>
  <si>
    <t>rnagpal1_be25@thapar.edu</t>
  </si>
  <si>
    <t>1025230088</t>
  </si>
  <si>
    <t>7266378</t>
  </si>
  <si>
    <t>Ishan Kumar</t>
  </si>
  <si>
    <t>thapar_8542</t>
  </si>
  <si>
    <t>ikumar_be25@thapar.edu</t>
  </si>
  <si>
    <t>1025230089</t>
  </si>
  <si>
    <t>Dev Mahavar</t>
  </si>
  <si>
    <t>Shaleen Aggarwal</t>
  </si>
  <si>
    <t>thapar_8543</t>
  </si>
  <si>
    <t>saggarwal3_be25@thapar.edu</t>
  </si>
  <si>
    <t>dev.mahawar2005@gmail.com</t>
  </si>
  <si>
    <t>1025230091</t>
  </si>
  <si>
    <t>Harshit Midha</t>
  </si>
  <si>
    <t>thapar_8544</t>
  </si>
  <si>
    <t>Hmidha_be25@thapar.edu</t>
  </si>
  <si>
    <t>1025230092</t>
  </si>
  <si>
    <t>Yash Dhaked</t>
  </si>
  <si>
    <t>Dmaheshwari_be25@thapar.edu</t>
  </si>
  <si>
    <t>thapar_8545</t>
  </si>
  <si>
    <t>ydhaked_be25@thapar.edu</t>
  </si>
  <si>
    <t>1025230093</t>
  </si>
  <si>
    <t>Devansha Maheshwari</t>
  </si>
  <si>
    <t>Jiya Wadhwa</t>
  </si>
  <si>
    <t>thapar_8546</t>
  </si>
  <si>
    <t>jwadhwa_be25@thapar.edu</t>
  </si>
  <si>
    <t>1025230094</t>
  </si>
  <si>
    <t>Ridhanshu Jindal</t>
  </si>
  <si>
    <t>thapar_8547</t>
  </si>
  <si>
    <t>rjindal1_be25@thapar.edu</t>
  </si>
  <si>
    <t>maheshwaridevansha@gmail.com</t>
  </si>
  <si>
    <t>1025230095</t>
  </si>
  <si>
    <t>thapar_8548</t>
  </si>
  <si>
    <t>thapar_8549</t>
  </si>
  <si>
    <t>Yash Raj Soni</t>
  </si>
  <si>
    <t>thapar_8550</t>
  </si>
  <si>
    <t>ysoni_be25@thapar.edu</t>
  </si>
  <si>
    <t>1025230098</t>
  </si>
  <si>
    <t>Siddharth Soni</t>
  </si>
  <si>
    <t>thapar_8551</t>
  </si>
  <si>
    <t>ssoni3_be25@thapar.edu</t>
  </si>
  <si>
    <t>1025230099</t>
  </si>
  <si>
    <t>marwahadarsh27@gmail.com</t>
  </si>
  <si>
    <t>Mankirat Singh</t>
  </si>
  <si>
    <t>thapar_8552</t>
  </si>
  <si>
    <t>msingh4_be25@thapar.edu</t>
  </si>
  <si>
    <t>1025230100</t>
  </si>
  <si>
    <t>Radhika</t>
  </si>
  <si>
    <t>thapar_8553</t>
  </si>
  <si>
    <t>rradhika2_be25@thapar.edu</t>
  </si>
  <si>
    <t>1025230101</t>
  </si>
  <si>
    <t>Mannat sharma</t>
  </si>
  <si>
    <t>thapar_8554</t>
  </si>
  <si>
    <t>msharma5_be25@thapar.edu</t>
  </si>
  <si>
    <t>1025230102</t>
  </si>
  <si>
    <t>Divyanshu Marwaha</t>
  </si>
  <si>
    <t>Hunar Partap Singh Nagra</t>
  </si>
  <si>
    <t>thapar_8555</t>
  </si>
  <si>
    <t>hsingh21_be25@thapar.edu</t>
  </si>
  <si>
    <t>1025230104</t>
  </si>
  <si>
    <t>Marwahadivyanshu1409@gmail.com</t>
  </si>
  <si>
    <t>Kaustav Raha</t>
  </si>
  <si>
    <t>thapar_8556</t>
  </si>
  <si>
    <t>kraha_be25@thapar.edu</t>
  </si>
  <si>
    <t>1025230105</t>
  </si>
  <si>
    <t>Paramraj Singh Chahal</t>
  </si>
  <si>
    <t>thapar_8557</t>
  </si>
  <si>
    <t>pchahal_be25@thapar.edu</t>
  </si>
  <si>
    <t>1025230106</t>
  </si>
  <si>
    <t>Shiv Om Garg</t>
  </si>
  <si>
    <t>thapar_8558</t>
  </si>
  <si>
    <t>sgarg3_be25@thapar.edu</t>
  </si>
  <si>
    <t>1025230108</t>
  </si>
  <si>
    <t>Dishika Mathur</t>
  </si>
  <si>
    <t>7266379</t>
  </si>
  <si>
    <t>Saloni Mourya</t>
  </si>
  <si>
    <t>thapar_8559</t>
  </si>
  <si>
    <t>Smourya_be25@thapar.edu</t>
  </si>
  <si>
    <t>1025230109</t>
  </si>
  <si>
    <t>Ojas Jain</t>
  </si>
  <si>
    <t>thapar_8560</t>
  </si>
  <si>
    <t>ojain_be25@thapar.edu</t>
  </si>
  <si>
    <t>1025230110</t>
  </si>
  <si>
    <t>dishikamathur03@gmail.com</t>
  </si>
  <si>
    <t>Ruhaan Jain</t>
  </si>
  <si>
    <t>thapar_8561</t>
  </si>
  <si>
    <t>rjain6_be25@thapar.edu</t>
  </si>
  <si>
    <t>1025230111</t>
  </si>
  <si>
    <t>Sanjana Sharma</t>
  </si>
  <si>
    <t>thapar_8562</t>
  </si>
  <si>
    <t>ssharma8_be25@thapar.edu</t>
  </si>
  <si>
    <t>1025230112</t>
  </si>
  <si>
    <t>thapar_8563</t>
  </si>
  <si>
    <t>Drishti Mittal</t>
  </si>
  <si>
    <t>Nabhansh Kachhawa</t>
  </si>
  <si>
    <t>thapar_8564</t>
  </si>
  <si>
    <t>nkachhawa_be25@thapar.edu</t>
  </si>
  <si>
    <t>1025230115</t>
  </si>
  <si>
    <t>Raghav Vyas</t>
  </si>
  <si>
    <t>thapar_8565</t>
  </si>
  <si>
    <t>rvyas_be25@thapar.edu</t>
  </si>
  <si>
    <t>1025230116</t>
  </si>
  <si>
    <t>P Shashanth</t>
  </si>
  <si>
    <t>thapar_8566</t>
  </si>
  <si>
    <t>pshashanth_be25@thapar.edu</t>
  </si>
  <si>
    <t>1025230117</t>
  </si>
  <si>
    <t>Divyansh Modawal</t>
  </si>
  <si>
    <t>Vashu</t>
  </si>
  <si>
    <t>thapar_8567</t>
  </si>
  <si>
    <t>vvashu_be25@thapar.edu</t>
  </si>
  <si>
    <t>1025230118</t>
  </si>
  <si>
    <t>Evaan Thukral</t>
  </si>
  <si>
    <t>thapar_8568</t>
  </si>
  <si>
    <t>ethukral_be25@thapar.edu</t>
  </si>
  <si>
    <t>1025230119</t>
  </si>
  <si>
    <t>divyanshmodawal6@gmail.com</t>
  </si>
  <si>
    <t>Himanshu</t>
  </si>
  <si>
    <t>thapar_8569</t>
  </si>
  <si>
    <t>hsangwan1_be25@thapar.edu</t>
  </si>
  <si>
    <t>1025230120</t>
  </si>
  <si>
    <t>thapar_8570</t>
  </si>
  <si>
    <t>thapar_8571</t>
  </si>
  <si>
    <t>Devashish Pandey</t>
  </si>
  <si>
    <t>Hitanshi Dhingra</t>
  </si>
  <si>
    <t>thapar_8572</t>
  </si>
  <si>
    <t>hdhingra_be25@thapar.edu</t>
  </si>
  <si>
    <t>1025230125</t>
  </si>
  <si>
    <t>Devashish1349@gmail.com</t>
  </si>
  <si>
    <t>Tahoor Fatima</t>
  </si>
  <si>
    <t>thapar_8573</t>
  </si>
  <si>
    <t>Tfatima_be25@thapar.edu</t>
  </si>
  <si>
    <t>1025230126</t>
  </si>
  <si>
    <t>Jhanvi Raj</t>
  </si>
  <si>
    <t>thapar_8574</t>
  </si>
  <si>
    <t>jraj_be25@thapar.edu</t>
  </si>
  <si>
    <t>1025230127</t>
  </si>
  <si>
    <t>Kushal Bhatnagar</t>
  </si>
  <si>
    <t>thapar_8575</t>
  </si>
  <si>
    <t>kbhatnagar_be25@thapar.edu</t>
  </si>
  <si>
    <t>1025230128</t>
  </si>
  <si>
    <t>thapar_8576</t>
  </si>
  <si>
    <t>Divyansh Pandey</t>
  </si>
  <si>
    <t>7266380</t>
  </si>
  <si>
    <t>thapar_8577</t>
  </si>
  <si>
    <t>divyanshpandey130607@gmail.com</t>
  </si>
  <si>
    <t>thapar_8578</t>
  </si>
  <si>
    <t>thapar_8579</t>
  </si>
  <si>
    <t>VIBHOR TRIPATHI</t>
  </si>
  <si>
    <t>thapar_8580</t>
  </si>
  <si>
    <t>vtripathi_be25@thapar.edu</t>
  </si>
  <si>
    <t>1025230134</t>
  </si>
  <si>
    <t>Sarthak Dhiman</t>
  </si>
  <si>
    <t>puridivyansh39@gmail.com</t>
  </si>
  <si>
    <t>thapar_8581</t>
  </si>
  <si>
    <t>sdhiman3_be25@thapar.edu</t>
  </si>
  <si>
    <t>1025230140</t>
  </si>
  <si>
    <t>Gurdeep Singh Sohal</t>
  </si>
  <si>
    <t>gurdeep_06</t>
  </si>
  <si>
    <t>gsohal_be25@thapar.edu</t>
  </si>
  <si>
    <t>1025230141</t>
  </si>
  <si>
    <t>Dhruva Sharma</t>
  </si>
  <si>
    <t>thapar_8583</t>
  </si>
  <si>
    <t>dsharma9_be25@thapar.edu</t>
  </si>
  <si>
    <t>1025230142</t>
  </si>
  <si>
    <t>Divyanshu Rawat</t>
  </si>
  <si>
    <t>rawatdivyanshu567@gmail.com</t>
  </si>
  <si>
    <t>Deepanshi Sahni</t>
  </si>
  <si>
    <t>deepanshisahni1006@gmail.com</t>
  </si>
  <si>
    <t>Dsakhuja_be25@thapar.edu</t>
  </si>
  <si>
    <t>Devanshi sakhuja</t>
  </si>
  <si>
    <t>devanshisakhuja@gmail.com</t>
  </si>
  <si>
    <t>7266381</t>
  </si>
  <si>
    <t>Dhruv Sharda</t>
  </si>
  <si>
    <t>dhruvsharda33@gmail.com</t>
  </si>
  <si>
    <t>dsharma_10be25@thapar.edu</t>
  </si>
  <si>
    <t>Drishti sharma</t>
  </si>
  <si>
    <t>drishti5312@gmail.com</t>
  </si>
  <si>
    <t>Divanshi Sharma</t>
  </si>
  <si>
    <t>divanshi2676@gmail.com</t>
  </si>
  <si>
    <t>Devanshi Sharma</t>
  </si>
  <si>
    <t>7266382</t>
  </si>
  <si>
    <t>dhrs5353@gmail.com</t>
  </si>
  <si>
    <t>Dakshdeep Singh</t>
  </si>
  <si>
    <t>dakshdeep.100@gmail.com</t>
  </si>
  <si>
    <t>Diya Singh</t>
  </si>
  <si>
    <t>Sdiya0012@gmail.com</t>
  </si>
  <si>
    <t>Daljeet Singh</t>
  </si>
  <si>
    <t>Singhdaljeet2006@gmail.com</t>
  </si>
  <si>
    <t>7266383</t>
  </si>
  <si>
    <t>singhdilshan005@gmail.com</t>
  </si>
  <si>
    <t>Dhruvrajput00007@gmail.com</t>
  </si>
  <si>
    <t>Dilnoor Singh</t>
  </si>
  <si>
    <t>Diveshwar Singh</t>
  </si>
  <si>
    <t>Divyansh Singla</t>
  </si>
  <si>
    <t>1divyansh06@gmail.com</t>
  </si>
  <si>
    <t>Dipanshu singla</t>
  </si>
  <si>
    <t>dipanshusingla0@gmail.com</t>
  </si>
  <si>
    <t>7266384</t>
  </si>
  <si>
    <t>Diya Singla</t>
  </si>
  <si>
    <t>diyasingla2506@gmail.com</t>
  </si>
  <si>
    <t>Dilpreet Kaur Soni</t>
  </si>
  <si>
    <t>dpreet0607@gmail.com</t>
  </si>
  <si>
    <t>Divyanka soni</t>
  </si>
  <si>
    <t>divyanka857@gmail.com</t>
  </si>
  <si>
    <t>Divya suneja</t>
  </si>
  <si>
    <t>divyasuneja07@gmail.com</t>
  </si>
  <si>
    <t>Damanpreet Singh Takkar</t>
  </si>
  <si>
    <t>damanpreetsingh1979@gmail.com</t>
  </si>
  <si>
    <t>Daksh Tonni</t>
  </si>
  <si>
    <t>7266385</t>
  </si>
  <si>
    <t>dakshtonni@gmail.com</t>
  </si>
  <si>
    <t>Deep Divyansh Upadhyay</t>
  </si>
  <si>
    <t>deepdiv17@gmail.com</t>
  </si>
  <si>
    <t>Dhruv vashist</t>
  </si>
  <si>
    <t>vashistd743@gmail.com</t>
  </si>
  <si>
    <t>Devansh Verma</t>
  </si>
  <si>
    <t>keshavchoudhary22445@gmail.com</t>
  </si>
  <si>
    <t>Daksh Wadhwa</t>
  </si>
  <si>
    <t>lakshwadhwa13@gmail.com</t>
  </si>
  <si>
    <t>7266386</t>
  </si>
  <si>
    <t>Dhairya Yash</t>
  </si>
  <si>
    <t>dhairya3107sxs@gmail.com</t>
  </si>
  <si>
    <t>Elina Arora</t>
  </si>
  <si>
    <t>elinaarora9@gmail.com</t>
  </si>
  <si>
    <t>goyalekta773@gmail.com</t>
  </si>
  <si>
    <t>Ekjot Kaur</t>
  </si>
  <si>
    <t>Ekarth Panwar</t>
  </si>
  <si>
    <t>ekarthpanwar4950@gmail.com</t>
  </si>
  <si>
    <t>7266387</t>
  </si>
  <si>
    <t>Emaanjit Singh Sandhu</t>
  </si>
  <si>
    <t>vdhaka_be25@thapar</t>
  </si>
  <si>
    <t>eshikaasodhi@gmail.com</t>
  </si>
  <si>
    <t>Ekta Taneja</t>
  </si>
  <si>
    <t>ektataneja2007@gmail.com</t>
  </si>
  <si>
    <t>Esha vidhya thalla</t>
  </si>
  <si>
    <t>7266388</t>
  </si>
  <si>
    <t>Evaanthukral@gmail.com</t>
  </si>
  <si>
    <t>Enayata Verma</t>
  </si>
  <si>
    <t>enayata.env@gmail.com</t>
  </si>
  <si>
    <t>Ekam Walia</t>
  </si>
  <si>
    <t>ekam.tiet@gmail.com</t>
  </si>
  <si>
    <t>Falak Mittal</t>
  </si>
  <si>
    <t>falakmittal25@gmail.com</t>
  </si>
  <si>
    <t>7266389</t>
  </si>
  <si>
    <t>faniza</t>
  </si>
  <si>
    <t>fanizarani96@gmail.com</t>
  </si>
  <si>
    <t>Gabbi_be25@thapar.edu</t>
  </si>
  <si>
    <t>Gunik Abbi</t>
  </si>
  <si>
    <t>Gunikabbi206@gmail.com</t>
  </si>
  <si>
    <t>Gurshwinder Singh</t>
  </si>
  <si>
    <t>gurshwinder10@gmail.com</t>
  </si>
  <si>
    <t>7266390</t>
  </si>
  <si>
    <t>Gatik bansal</t>
  </si>
  <si>
    <t>Bansal.gatik06@gmail.com</t>
  </si>
  <si>
    <t>Gurinderpreet Singh Brraich</t>
  </si>
  <si>
    <t>gurinderpreetbrraich@gmail.com</t>
  </si>
  <si>
    <t>Guraansh Rai</t>
  </si>
  <si>
    <t>guraanshr@gmail.com</t>
  </si>
  <si>
    <t>Guntapudi Dhanyata</t>
  </si>
  <si>
    <t>7266391</t>
  </si>
  <si>
    <t>Gulnaaz Kaur Dhillon</t>
  </si>
  <si>
    <t>gulnaazdhillon.24@gmail.com</t>
  </si>
  <si>
    <t>Ganika</t>
  </si>
  <si>
    <t>ganika067@gmail.com</t>
  </si>
  <si>
    <t>Garima</t>
  </si>
  <si>
    <t>7266392</t>
  </si>
  <si>
    <t>Gauransh</t>
  </si>
  <si>
    <t>Garima Gautam</t>
  </si>
  <si>
    <t>garimagautam476@gmail.com</t>
  </si>
  <si>
    <t>Gurman Gill</t>
  </si>
  <si>
    <t>gurmangill2509@gmail.com</t>
  </si>
  <si>
    <t>7266393</t>
  </si>
  <si>
    <t>Girisha</t>
  </si>
  <si>
    <t>singlagirisha498@gmail.com</t>
  </si>
  <si>
    <t>Ggirotra_be25@thapar.edu</t>
  </si>
  <si>
    <t>Gautam Girotra</t>
  </si>
  <si>
    <t>Gautam.girotra2020@gmail.com</t>
  </si>
  <si>
    <t>Gourika</t>
  </si>
  <si>
    <t>gourikataneja1234@gmail.com</t>
  </si>
  <si>
    <t>Gauri Goyal</t>
  </si>
  <si>
    <t>gaurigoyal7817@gmail.com</t>
  </si>
  <si>
    <t>7266394</t>
  </si>
  <si>
    <t>Gautam Goyal</t>
  </si>
  <si>
    <t>gautamgoyal805@gmail.com</t>
  </si>
  <si>
    <t>Gunjan</t>
  </si>
  <si>
    <t>gunjan.dcmi@gmail.com</t>
  </si>
  <si>
    <t>Ggupta1_be25@thapar.edu</t>
  </si>
  <si>
    <t>Garvit Gupta</t>
  </si>
  <si>
    <t>Garvit2007gupta@gmail.com</t>
  </si>
  <si>
    <t>Geetika Gupta</t>
  </si>
  <si>
    <t>7266395</t>
  </si>
  <si>
    <t>geetika.g0407@gmail.com</t>
  </si>
  <si>
    <t>Gurbaz Singh Hunjan</t>
  </si>
  <si>
    <t>Gaurish Jaidka</t>
  </si>
  <si>
    <t>jaidkagaurish@gmail.com</t>
  </si>
  <si>
    <t>goutamj9999@gmail.com</t>
  </si>
  <si>
    <t>Gunika jalota</t>
  </si>
  <si>
    <t>7266396</t>
  </si>
  <si>
    <t>shivanijalota@gmail.com</t>
  </si>
  <si>
    <t>Gagan Jindal</t>
  </si>
  <si>
    <t>gaganjindal2407@gmail.com</t>
  </si>
  <si>
    <t>Gouranshjindal@gmail.com</t>
  </si>
  <si>
    <t>gkaur1_be25@gmail.com</t>
  </si>
  <si>
    <t>Gurleen Kaur</t>
  </si>
  <si>
    <t>7266397</t>
  </si>
  <si>
    <t>gurleentejay1222@gmail.com</t>
  </si>
  <si>
    <t>Gundeep Kaur</t>
  </si>
  <si>
    <t>gundeepkaur555@gmail.com</t>
  </si>
  <si>
    <t>kaurgurjot1618@gmail.com</t>
  </si>
  <si>
    <t>Gurneer Kaur</t>
  </si>
  <si>
    <t>neermp1945@gmail.com</t>
  </si>
  <si>
    <t>7266398</t>
  </si>
  <si>
    <t>gursidakkaur013@gmail.com</t>
  </si>
  <si>
    <t>Gaurav Kochhar</t>
  </si>
  <si>
    <t>gauravkochhar1304@gmail.com</t>
  </si>
  <si>
    <t>Gursifat Singh Kohli</t>
  </si>
  <si>
    <t>gursifatsinghkohli@gmail.com</t>
  </si>
  <si>
    <t>Gourish kumar</t>
  </si>
  <si>
    <t>7266399</t>
  </si>
  <si>
    <t>Kumargourish27@gmail.com</t>
  </si>
  <si>
    <t>Gantavya Mahipal</t>
  </si>
  <si>
    <t>mahipalgantavya@gmail.com</t>
  </si>
  <si>
    <t>Garima Narula</t>
  </si>
  <si>
    <t>garimanarula297@gmail.com</t>
  </si>
  <si>
    <t>garimapanesar18@gmail.com</t>
  </si>
  <si>
    <t>7266400</t>
  </si>
  <si>
    <t>Gurasees Singh Randhawa</t>
  </si>
  <si>
    <t>Guraseesrandhawa12@gmail.com</t>
  </si>
  <si>
    <t>Grohila_be25@thapar.edu</t>
  </si>
  <si>
    <t>Gauri Rohila</t>
  </si>
  <si>
    <t>Gauri.rohila07@gmail.com</t>
  </si>
  <si>
    <t>Gurnoor Singh Sandhu</t>
  </si>
  <si>
    <t>sandhugurnoor3113@gmail.com</t>
  </si>
  <si>
    <t>Guntaas Singh Sekhon</t>
  </si>
  <si>
    <t>7266401</t>
  </si>
  <si>
    <t>sekhonguntaas@gmail.com</t>
  </si>
  <si>
    <t>Gsharma_be25@thapar.edu</t>
  </si>
  <si>
    <t>Girick sharma</t>
  </si>
  <si>
    <t>sharmagirick123@gmail.com</t>
  </si>
  <si>
    <t>Garvit Sharma</t>
  </si>
  <si>
    <t>garvit0307@gmail.com</t>
  </si>
  <si>
    <t>Gautam Sharma</t>
  </si>
  <si>
    <t>gautamsharma.07012006@gmail.con</t>
  </si>
  <si>
    <t>7266402</t>
  </si>
  <si>
    <t>Garv sharma</t>
  </si>
  <si>
    <t>garvcse19@gmail.com</t>
  </si>
  <si>
    <t>Gurshan Singh Shergill</t>
  </si>
  <si>
    <t>gurshanshergill10@gmail.com</t>
  </si>
  <si>
    <t>Gurmantaj Singh Sidhu</t>
  </si>
  <si>
    <t>gurmantajsidhu@gmail.com</t>
  </si>
  <si>
    <t>Gurnoor singh</t>
  </si>
  <si>
    <t>gurnoorsinghsarna@gmail.com</t>
  </si>
  <si>
    <t>Gauravdeep Singh</t>
  </si>
  <si>
    <t>7266403</t>
  </si>
  <si>
    <t>gauravdeepsingh467@gmail.com</t>
  </si>
  <si>
    <t>Gurkirat singh</t>
  </si>
  <si>
    <t>gurkiratthind5321@gmail.com</t>
  </si>
  <si>
    <t>gursehaj Singh</t>
  </si>
  <si>
    <t>gursehajsingh2006@gmail.com</t>
  </si>
  <si>
    <t>abc@thapar.edu</t>
  </si>
  <si>
    <t>gurkiratbo588@gmail.com</t>
  </si>
  <si>
    <t>Gurnoor Singh</t>
  </si>
  <si>
    <t>7266404</t>
  </si>
  <si>
    <t>Gunraj Singh</t>
  </si>
  <si>
    <t>singhgunraj2007@gmail.com</t>
  </si>
  <si>
    <t>Gsingh22_be25@thapar.edu</t>
  </si>
  <si>
    <t>Gagandeep singh</t>
  </si>
  <si>
    <t>rockgagan2007@gmail.com</t>
  </si>
  <si>
    <t>Gurinder Singh</t>
  </si>
  <si>
    <t>7266405</t>
  </si>
  <si>
    <t>gurinder10k22@gmail.com</t>
  </si>
  <si>
    <t>Graunit Singla</t>
  </si>
  <si>
    <t>singlagraunit81@gmail.com</t>
  </si>
  <si>
    <t>gurdeepssohal2006@gmail.com</t>
  </si>
  <si>
    <t>Gauransh Srivastav</t>
  </si>
  <si>
    <t>gauranshsrivastav@gmail.com</t>
  </si>
  <si>
    <t>7266406</t>
  </si>
  <si>
    <t>Garv Tomar</t>
  </si>
  <si>
    <t>garvit20044@gmail.com</t>
  </si>
  <si>
    <t>Geetagya Tyagi</t>
  </si>
  <si>
    <t>tyagi.geetagya7@gmail.com</t>
  </si>
  <si>
    <t>himanyaaggarwal0@gmail.com</t>
  </si>
  <si>
    <t>harshilahuja10@gmai.com</t>
  </si>
  <si>
    <t>7266407</t>
  </si>
  <si>
    <t>Hammad Ali</t>
  </si>
  <si>
    <t>hammaddps90@gmail.com</t>
  </si>
  <si>
    <t>Hanand_be25@thapar.edu</t>
  </si>
  <si>
    <t>Harsh anand</t>
  </si>
  <si>
    <t>Harshanand18121@gmail.com</t>
  </si>
  <si>
    <t>harmannabha954@gmail.com</t>
  </si>
  <si>
    <t>Harman singh</t>
  </si>
  <si>
    <t>Harshita_be25@thapar.edu</t>
  </si>
  <si>
    <t>Harshita</t>
  </si>
  <si>
    <t>Hharshita_be25@thapar.edu</t>
  </si>
  <si>
    <t>7266408</t>
  </si>
  <si>
    <t>Hitaarth Arya</t>
  </si>
  <si>
    <t>ahitaarth@gmail.com</t>
  </si>
  <si>
    <t>Himank Bansal</t>
  </si>
  <si>
    <t>himankbansal64@gmail.com</t>
  </si>
  <si>
    <t>hbansal2_be25@thapar.edu</t>
  </si>
  <si>
    <t>Hiten Bansal</t>
  </si>
  <si>
    <t>1025230139</t>
  </si>
  <si>
    <t>hiten.bansal0012@gmail.com</t>
  </si>
  <si>
    <t>Himank Berwal</t>
  </si>
  <si>
    <t>himankberwal21@gmail.com</t>
  </si>
  <si>
    <t>7266409</t>
  </si>
  <si>
    <t>Hunar Bhardwaj</t>
  </si>
  <si>
    <t>hunarmlk0102@gmail.com</t>
  </si>
  <si>
    <t>Hbhasin_be25@thapar.edu</t>
  </si>
  <si>
    <t>Hetal Bhasin</t>
  </si>
  <si>
    <t>bhasinhetal@gmail.com</t>
  </si>
  <si>
    <t>Harshmeet Kaur</t>
  </si>
  <si>
    <t>kaurharshmeet259@gmail.com</t>
  </si>
  <si>
    <t>Haymanvir Singh Birring</t>
  </si>
  <si>
    <t>haymanvirsingh@gmail.com</t>
  </si>
  <si>
    <t>Harshita Chanana</t>
  </si>
  <si>
    <t>7266410</t>
  </si>
  <si>
    <t>Himanshu Kumar Choudhary</t>
  </si>
  <si>
    <t>kumarhimanshutiet2025@gmail.com</t>
  </si>
  <si>
    <t>hitanshi.dhingra25@gmail.com</t>
  </si>
  <si>
    <t>Hgarg_be25@thapar.edu</t>
  </si>
  <si>
    <t>Harshit Garg</t>
  </si>
  <si>
    <t>Harshitgargg01@gmail.com</t>
  </si>
  <si>
    <t>Hansika Garg</t>
  </si>
  <si>
    <t>hansikagarg31@gmail.com</t>
  </si>
  <si>
    <t>Harshita Garg</t>
  </si>
  <si>
    <t>7266411</t>
  </si>
  <si>
    <t>harshitagarg.rampura@gmail.com</t>
  </si>
  <si>
    <t>Himanya Garg</t>
  </si>
  <si>
    <t>himanyagarg1011@gmail.com</t>
  </si>
  <si>
    <t>Hitul Garg</t>
  </si>
  <si>
    <t>hitul8d6831@gmail.com</t>
  </si>
  <si>
    <t>harshitagrg2002@gmail.com</t>
  </si>
  <si>
    <t>7266412</t>
  </si>
  <si>
    <t>Hanoor Kaur Gill</t>
  </si>
  <si>
    <t>gillharnoor12@gmail.com</t>
  </si>
  <si>
    <t>Harshiv Goyal</t>
  </si>
  <si>
    <t>harshivexam@gmail.com</t>
  </si>
  <si>
    <t>Himanshi Goyal</t>
  </si>
  <si>
    <t>groverhemakshi@gmail.com</t>
  </si>
  <si>
    <t>7266413</t>
  </si>
  <si>
    <t>hgupta1_be25@gmail.com</t>
  </si>
  <si>
    <t>Hardik Gupta</t>
  </si>
  <si>
    <t>hardikr1113@gmail.com</t>
  </si>
  <si>
    <t>hardikshalabh@gmail.com</t>
  </si>
  <si>
    <t>Harsha Gupta</t>
  </si>
  <si>
    <t>Hgupta4_be25@thapar.edu</t>
  </si>
  <si>
    <t>Hemank Gupta</t>
  </si>
  <si>
    <t>Hg007hghemank@gmail.com</t>
  </si>
  <si>
    <t>7266414</t>
  </si>
  <si>
    <t>Hiten Gupta</t>
  </si>
  <si>
    <t>hitengupta07@gmail.com</t>
  </si>
  <si>
    <t>Hitesh Gupta</t>
  </si>
  <si>
    <t>hiteshguptacoder123@gmail.com</t>
  </si>
  <si>
    <t>Hansujaa</t>
  </si>
  <si>
    <t>hansujaagupta@gmail.com</t>
  </si>
  <si>
    <t>7266415</t>
  </si>
  <si>
    <t>Himesh Raj Harshit</t>
  </si>
  <si>
    <t>goithimesh2500@gmail.com</t>
  </si>
  <si>
    <t>harshitahooda0@gmail.com</t>
  </si>
  <si>
    <t>Harshmitha</t>
  </si>
  <si>
    <t>Hemangi</t>
  </si>
  <si>
    <t>hemangi05107@gmail.com</t>
  </si>
  <si>
    <t>Himanshi</t>
  </si>
  <si>
    <t>7266416</t>
  </si>
  <si>
    <t>himanshusheoran250408@gmail.com</t>
  </si>
  <si>
    <t>Harshit Jain</t>
  </si>
  <si>
    <t>23harshitjain@gmail.com</t>
  </si>
  <si>
    <t>Hjindal_be25@thapar.edu</t>
  </si>
  <si>
    <t>Hanu jindal</t>
  </si>
  <si>
    <t>Hanujindal999@gmail.com</t>
  </si>
  <si>
    <t>Harshit jindal</t>
  </si>
  <si>
    <t>harshitjindal7774@gmail.com</t>
  </si>
  <si>
    <t>7266417</t>
  </si>
  <si>
    <t>Harsh kaler</t>
  </si>
  <si>
    <t>troyg5795@gmail.com</t>
  </si>
  <si>
    <t>Hriday Kapoor</t>
  </si>
  <si>
    <t>hridaykapoor11@gmail.com</t>
  </si>
  <si>
    <t>Harshit kapoor</t>
  </si>
  <si>
    <t>harshitkapoor849@gmail.comm</t>
  </si>
  <si>
    <t>hiya28march@gmail.com</t>
  </si>
  <si>
    <t>Harshman Kaur</t>
  </si>
  <si>
    <t>7266418</t>
  </si>
  <si>
    <t>harshmannk@gmail.com</t>
  </si>
  <si>
    <t>Harshvir Kaur</t>
  </si>
  <si>
    <t>harshrattol18@gmail.com</t>
  </si>
  <si>
    <t>Harnoor Kaur</t>
  </si>
  <si>
    <t>noor.kaur272007@gmail.com</t>
  </si>
  <si>
    <t>Harsimran kaur</t>
  </si>
  <si>
    <t>Harleen Kaur</t>
  </si>
  <si>
    <t>harleennk07@gmail.com</t>
  </si>
  <si>
    <t>Harseerat kaur</t>
  </si>
  <si>
    <t>seeeeeerat@23</t>
  </si>
  <si>
    <t>hkaur4_be25@thapar.edu</t>
  </si>
  <si>
    <t>1025230010</t>
  </si>
  <si>
    <t>harleenkaurhundal13@gmail.com</t>
  </si>
  <si>
    <t>Harmanpreet Kaur</t>
  </si>
  <si>
    <t>7266419</t>
  </si>
  <si>
    <t>harmanpreetkk2005@gmail.com</t>
  </si>
  <si>
    <t>harnoor182006@gmail.com</t>
  </si>
  <si>
    <t>Har Kaur</t>
  </si>
  <si>
    <t>harkaur141107@gmail.com</t>
  </si>
  <si>
    <t>himanshikawatra138@gmail.com</t>
  </si>
  <si>
    <t>Hardik Kharbanda</t>
  </si>
  <si>
    <t>Hardikkharbanda1803@gmail.con</t>
  </si>
  <si>
    <t>Harshit Khatri</t>
  </si>
  <si>
    <t>harshitkhatri654123@gmail.com</t>
  </si>
  <si>
    <t>7266420</t>
  </si>
  <si>
    <t>Harsh Kumar</t>
  </si>
  <si>
    <t>Hitesh Kumar</t>
  </si>
  <si>
    <t>hitesh.hk16690@gmail.com</t>
  </si>
  <si>
    <t>Harshitbatra124@gmail.com</t>
  </si>
  <si>
    <t>maanharleenkaur9@gmail.com</t>
  </si>
  <si>
    <t>Hitpriya Mangla</t>
  </si>
  <si>
    <t>hitpriyamangla@gamil.com</t>
  </si>
  <si>
    <t>7266421</t>
  </si>
  <si>
    <t>Hiten Mankoo</t>
  </si>
  <si>
    <t>hitennmankoo@gmail.com</t>
  </si>
  <si>
    <t>midhasahab08@gmail.com</t>
  </si>
  <si>
    <t>Hnehra_be25@thapar.edu</t>
  </si>
  <si>
    <t>Hemant Nehra</t>
  </si>
  <si>
    <t>Hemant1nehra@gmail.com</t>
  </si>
  <si>
    <t>Harsh Premchandani</t>
  </si>
  <si>
    <t>harshpremchandani02@gmail.com</t>
  </si>
  <si>
    <t>Hetal Priya</t>
  </si>
  <si>
    <t>7266422</t>
  </si>
  <si>
    <t>Harshita Rana</t>
  </si>
  <si>
    <t>harshitarana1206@gmail.com</t>
  </si>
  <si>
    <t>Harshit Ravi</t>
  </si>
  <si>
    <t>harshitravi6107@gmail.com</t>
  </si>
  <si>
    <t>Hiransh Saini</t>
  </si>
  <si>
    <t>sainihiransh2008@gmail.com</t>
  </si>
  <si>
    <t>Himanshu Sangwan</t>
  </si>
  <si>
    <t>himanshusangwan250@gmail.com</t>
  </si>
  <si>
    <t>sangwanhimanshu77@gmail.com</t>
  </si>
  <si>
    <t>7266423</t>
  </si>
  <si>
    <t>Hitakshi Sarwal</t>
  </si>
  <si>
    <t>sarwalhitakshi@gmail.com</t>
  </si>
  <si>
    <t>Harshil Sharma</t>
  </si>
  <si>
    <t>harshilsharma205@gmail.com</t>
  </si>
  <si>
    <t>Harshita Sharma</t>
  </si>
  <si>
    <t>harshitahs813@gmail.com</t>
  </si>
  <si>
    <t>Harsh Sharma</t>
  </si>
  <si>
    <t>sbc08411@gmail.com</t>
  </si>
  <si>
    <t>Harasees Singh Sidhu</t>
  </si>
  <si>
    <t>sidhuhs2007@gmail.con</t>
  </si>
  <si>
    <t>7266424</t>
  </si>
  <si>
    <t>Harshandeep Kaur Sidhu</t>
  </si>
  <si>
    <t>harsh.an19sidhu@gmail.com</t>
  </si>
  <si>
    <t>Harmanjot Singh</t>
  </si>
  <si>
    <t>Harmanchaudhary4915@gmail.com</t>
  </si>
  <si>
    <t>harmanharman.30.4.8@gmail.com</t>
  </si>
  <si>
    <t>Harmanveer Singh</t>
  </si>
  <si>
    <t>harmanveersingh1107@gmail.com</t>
  </si>
  <si>
    <t>Harsh Kumar Singh</t>
  </si>
  <si>
    <t>harsh.kumaars25@gmail.com</t>
  </si>
  <si>
    <t>hirdey.jeet795@gmail.com</t>
  </si>
  <si>
    <t>7266425</t>
  </si>
  <si>
    <t>hunarsingh2006@gmail.com</t>
  </si>
  <si>
    <t>Husanpreet Singh</t>
  </si>
  <si>
    <t>Hsingh26_be25@thapar.edu</t>
  </si>
  <si>
    <t>Harshdeep Singh</t>
  </si>
  <si>
    <t>singhharshdeep775@gmail.com</t>
  </si>
  <si>
    <t>harshdeepsingh1108@gmail.com</t>
  </si>
  <si>
    <t>Hsingh30_be25@thapar.edu</t>
  </si>
  <si>
    <t>Hardit singh</t>
  </si>
  <si>
    <t>Hardit.syan@gmail.com</t>
  </si>
  <si>
    <t>Hardeep.sekhon444@gmail.com</t>
  </si>
  <si>
    <t>7266426</t>
  </si>
  <si>
    <t>gillharmandeepsingh1@gmail.com</t>
  </si>
  <si>
    <t>Harshil Singh</t>
  </si>
  <si>
    <t>harsilsingh21@gmail.com</t>
  </si>
  <si>
    <t>Harjas Deep Singh</t>
  </si>
  <si>
    <t>harjassingh11.hs@gmail.com</t>
  </si>
  <si>
    <t>iharkiratsingh116@gmail.com</t>
  </si>
  <si>
    <t>Hsingh8_be25@thapar.edu</t>
  </si>
  <si>
    <t>Harleen Singh</t>
  </si>
  <si>
    <t>Harleensinghmehmi@gmail.com</t>
  </si>
  <si>
    <t>Harshil Singhi</t>
  </si>
  <si>
    <t>singhiharshil1980@gnail.com</t>
  </si>
  <si>
    <t>Hartej Singh Sohi</t>
  </si>
  <si>
    <t>7266427</t>
  </si>
  <si>
    <t>Harshit Syal</t>
  </si>
  <si>
    <t>harshitsyal351@gmail.com</t>
  </si>
  <si>
    <t>Heman Tanwar</t>
  </si>
  <si>
    <t>tanwarheman324@gmail.com</t>
  </si>
  <si>
    <t>Hardik Trikha</t>
  </si>
  <si>
    <t>trikhardik15@gmail.com</t>
  </si>
  <si>
    <t>Harishree Trivedi</t>
  </si>
  <si>
    <t>diondebonair09@gmail.com</t>
  </si>
  <si>
    <t>Harsimrat Uppal</t>
  </si>
  <si>
    <t>9876967919, 9872460999</t>
  </si>
  <si>
    <t>7266428</t>
  </si>
  <si>
    <t>Himanshu Verma</t>
  </si>
  <si>
    <t>hmnshu172@gmail.com</t>
  </si>
  <si>
    <t>vermaharshal54@gmail.com</t>
  </si>
  <si>
    <t>Iaggarwal_be25@thapar.edu</t>
  </si>
  <si>
    <t>Ishan Aggarwal</t>
  </si>
  <si>
    <t>Ishita Agrawal</t>
  </si>
  <si>
    <t>ishitaagrawal3131@gmail.com</t>
  </si>
  <si>
    <t>Ishan Ahuja</t>
  </si>
  <si>
    <t>ishanahuja009@gmail.com</t>
  </si>
  <si>
    <t>Ishita Arora</t>
  </si>
  <si>
    <t>7266429</t>
  </si>
  <si>
    <t>ishitaarora1707@gmail.com</t>
  </si>
  <si>
    <t>Ishmeet Singh Bajwa</t>
  </si>
  <si>
    <t>ishmeetbajwa77@gmail.com</t>
  </si>
  <si>
    <t>Charishma Inaganti</t>
  </si>
  <si>
    <t>Charishma.inaganti@gmail.com</t>
  </si>
  <si>
    <t>Ishan</t>
  </si>
  <si>
    <t>1025030257</t>
  </si>
  <si>
    <t>Ishangoyal735@gmail.com</t>
  </si>
  <si>
    <t>Igoyal1_be25@thapar.edu</t>
  </si>
  <si>
    <t>Ishank Goyal</t>
  </si>
  <si>
    <t>Ishankgoyal416@gmail.com</t>
  </si>
  <si>
    <t>Ipsa Gupta</t>
  </si>
  <si>
    <t>Novemberipsa@gmail.com</t>
  </si>
  <si>
    <t>7266430</t>
  </si>
  <si>
    <t>Ihit</t>
  </si>
  <si>
    <t>Ihit1600@gmail.com</t>
  </si>
  <si>
    <t>Ishaan Jain</t>
  </si>
  <si>
    <t>specterofficial842@gmail.com</t>
  </si>
  <si>
    <t>ivinthomasjames@gmail.com</t>
  </si>
  <si>
    <t>ishanjoshi2024@gmail.com</t>
  </si>
  <si>
    <t>Inderjit Kaur</t>
  </si>
  <si>
    <t>7266431</t>
  </si>
  <si>
    <t>invincibleish6@gmail.com</t>
  </si>
  <si>
    <t>Isheet Sharma</t>
  </si>
  <si>
    <t>ishhetsharma12345000@gmail.com</t>
  </si>
  <si>
    <t>Ishaan Shishodia</t>
  </si>
  <si>
    <t>ishaanshishodia07@gmail.com</t>
  </si>
  <si>
    <t>Imanpreet singh</t>
  </si>
  <si>
    <t>Samraoimano@gmail.com</t>
  </si>
  <si>
    <t>singhinderveer338@gmail.com</t>
  </si>
  <si>
    <t>7266432</t>
  </si>
  <si>
    <t>Jainil Agarwal</t>
  </si>
  <si>
    <t>jainilagarwal20@gmail.com</t>
  </si>
  <si>
    <t>Jiya Aggarwal</t>
  </si>
  <si>
    <t>jiyaaggarwal0607@gmail.com</t>
  </si>
  <si>
    <t>Juhi Arora</t>
  </si>
  <si>
    <t>arorajuhi2609@gmail.com</t>
  </si>
  <si>
    <t>Japneet Kaur Arora</t>
  </si>
  <si>
    <t>japneetkaur99143@gmail.com</t>
  </si>
  <si>
    <t>Jasika arora</t>
  </si>
  <si>
    <t>7266433</t>
  </si>
  <si>
    <t>Jaskaran Bagha</t>
  </si>
  <si>
    <t>www.jaskaranbagha@gmail.com</t>
  </si>
  <si>
    <t>Jeevansh Bhatia</t>
  </si>
  <si>
    <t>jeevanshbhatia650@gmail.com</t>
  </si>
  <si>
    <t>Jasmyrah Bhinder</t>
  </si>
  <si>
    <t>jasmyrah.bhinder@gmail.com</t>
  </si>
  <si>
    <t>Jigyasa Chaddha</t>
  </si>
  <si>
    <t>chaddhajigyasa@gmail.com</t>
  </si>
  <si>
    <t>Jasmeh Chawla</t>
  </si>
  <si>
    <t>chawlajasmeh@gmail.com</t>
  </si>
  <si>
    <t>Jatin Dalal</t>
  </si>
  <si>
    <t>dalaljatin567@gmail.com</t>
  </si>
  <si>
    <t>7266434</t>
  </si>
  <si>
    <t>jyotirmoydey011@gmail.com</t>
  </si>
  <si>
    <t>Jayant dhir</t>
  </si>
  <si>
    <t>8434jayantdhir8d@gmail.com</t>
  </si>
  <si>
    <t>Janya Garg</t>
  </si>
  <si>
    <t>janya.gargg@gmail.com</t>
  </si>
  <si>
    <t>Jatin garg</t>
  </si>
  <si>
    <t>jatin26garg@gmail.com</t>
  </si>
  <si>
    <t>Janit Garg</t>
  </si>
  <si>
    <t>janitgarg913@gmail.com</t>
  </si>
  <si>
    <t>7266435</t>
  </si>
  <si>
    <t>Jaik John George</t>
  </si>
  <si>
    <t>msijaik@gmail.com</t>
  </si>
  <si>
    <t>Jahnvi Goyal</t>
  </si>
  <si>
    <t>jahnvigoyal.india@gmail.com</t>
  </si>
  <si>
    <t>Jgoyal1_be25@thapar.edu</t>
  </si>
  <si>
    <t>Janisha goyal</t>
  </si>
  <si>
    <t>Janishagoyal2025@gmail.com</t>
  </si>
  <si>
    <t>Jgupta_be25@thapar.edu</t>
  </si>
  <si>
    <t>Jiya Gupta</t>
  </si>
  <si>
    <t>jiya.2k07@gmail.com</t>
  </si>
  <si>
    <t>Jatin gupta</t>
  </si>
  <si>
    <t>guptam2007.jatin@gmail.com</t>
  </si>
  <si>
    <t>7266436</t>
  </si>
  <si>
    <t>jgupta2_be25@thapar.edu</t>
  </si>
  <si>
    <t>Jogesh Gupta</t>
  </si>
  <si>
    <t>1025230014</t>
  </si>
  <si>
    <t>jogeshgupta124421@gmail.com</t>
  </si>
  <si>
    <t>Jayant Gupta</t>
  </si>
  <si>
    <t>jayant12gupta@gmail.com</t>
  </si>
  <si>
    <t>Jahnavi</t>
  </si>
  <si>
    <t>jahnavi66666@gmail.com</t>
  </si>
  <si>
    <t>gargjanhavi307@gmail.com</t>
  </si>
  <si>
    <t>Japmanjot</t>
  </si>
  <si>
    <t>7266437</t>
  </si>
  <si>
    <t>jjashandeep_be25@thapar.edu</t>
  </si>
  <si>
    <t>Jashandeep</t>
  </si>
  <si>
    <t>Jashan7732@gmail.com</t>
  </si>
  <si>
    <t>Jassica</t>
  </si>
  <si>
    <t>soodjassica03@gmail.com</t>
  </si>
  <si>
    <t>Jhalak</t>
  </si>
  <si>
    <t>jhalakgarg2008@gmail.com</t>
  </si>
  <si>
    <t>Jjindal_be25@thapar.edu</t>
  </si>
  <si>
    <t>Jinisha Jindal</t>
  </si>
  <si>
    <t>Jinishajindal@gmail.com</t>
  </si>
  <si>
    <t>Jogender</t>
  </si>
  <si>
    <t>Jogendersangwan4090@gmail.com</t>
  </si>
  <si>
    <t>janishajohri@gmail.com</t>
  </si>
  <si>
    <t>7266438</t>
  </si>
  <si>
    <t>Jasleen kaur kainth</t>
  </si>
  <si>
    <t>Jatin Kathoria</t>
  </si>
  <si>
    <t>jatin.kathoria321@gmail.com</t>
  </si>
  <si>
    <t>Jaskeerat kaur</t>
  </si>
  <si>
    <t>jaskeeratkaur563@gmail.com</t>
  </si>
  <si>
    <t>Jaspreet Kaur</t>
  </si>
  <si>
    <t>jk4523064@gmail.com</t>
  </si>
  <si>
    <t>Jasleen Kaur</t>
  </si>
  <si>
    <t>jkabdaal135@gmail.com</t>
  </si>
  <si>
    <t>jasleenksidhu16@gmail.com</t>
  </si>
  <si>
    <t>7266439</t>
  </si>
  <si>
    <t>Japneet kaur</t>
  </si>
  <si>
    <t>japneetkhaira08@icloud.com</t>
  </si>
  <si>
    <t>khatrijatin2907@gmail.com</t>
  </si>
  <si>
    <t>Jaskanwar Singh</t>
  </si>
  <si>
    <t>jaskan007@gmail.com</t>
  </si>
  <si>
    <t>jayatkohli007@gmail.com</t>
  </si>
  <si>
    <t>Jivesh kumar</t>
  </si>
  <si>
    <t>gargjivesh615@gmail.com</t>
  </si>
  <si>
    <t>Jason Steve Madan</t>
  </si>
  <si>
    <t>jasonstevemadan@gmail.com</t>
  </si>
  <si>
    <t>7266440</t>
  </si>
  <si>
    <t>Jiya Mago</t>
  </si>
  <si>
    <t>magojiya007@gmail.com</t>
  </si>
  <si>
    <t>Jmahajan_be25@thapar.edu</t>
  </si>
  <si>
    <t>Jayant mahajan</t>
  </si>
  <si>
    <t>Jayantmahajan985@gmail.com</t>
  </si>
  <si>
    <t>Jashandeep Multani</t>
  </si>
  <si>
    <t>jashanklk14@gmail.com</t>
  </si>
  <si>
    <t>Jasman Poudel</t>
  </si>
  <si>
    <t>jasman.poudel.dev@gmail.com</t>
  </si>
  <si>
    <t>Jayesh Pratap</t>
  </si>
  <si>
    <t>jayeshpratap11@gmail.com</t>
  </si>
  <si>
    <t>jhantina1232007@gmail.com</t>
  </si>
  <si>
    <t>7266441</t>
  </si>
  <si>
    <t>Jishita Sharma</t>
  </si>
  <si>
    <t>sharmajishita61@gmail.com</t>
  </si>
  <si>
    <t>Jashanjeet singh</t>
  </si>
  <si>
    <t>jashanjeetsingh5050@gmail.com</t>
  </si>
  <si>
    <t>Jaskaran singh</t>
  </si>
  <si>
    <t>jaskaransingh.1551@gmail.com</t>
  </si>
  <si>
    <t>jaspreet123rajan@gmail.com</t>
  </si>
  <si>
    <t>jivi2202@gmail.com</t>
  </si>
  <si>
    <t>7266442</t>
  </si>
  <si>
    <t>Jasmanpreet Singh</t>
  </si>
  <si>
    <t>lynchh3334@gmail.com</t>
  </si>
  <si>
    <t>jaspreetdahele6@gmail.com</t>
  </si>
  <si>
    <t>Jasnoor singh</t>
  </si>
  <si>
    <t>Jasdeep singh</t>
  </si>
  <si>
    <t>itsjasdeep23@gmail.com</t>
  </si>
  <si>
    <t>jaivirgill75@gmail.com</t>
  </si>
  <si>
    <t>Josansinha674@gmail.com</t>
  </si>
  <si>
    <t>Jasmeet Singh Sra</t>
  </si>
  <si>
    <t>jasmeetsran07@gmail.com</t>
  </si>
  <si>
    <t>7266443</t>
  </si>
  <si>
    <t>jtuteja_be25@thapar.edu</t>
  </si>
  <si>
    <t>Jascaran Singh Tuteja</t>
  </si>
  <si>
    <t>1025230133</t>
  </si>
  <si>
    <t>jascaran1@gmail.com</t>
  </si>
  <si>
    <t>jayeshvij960@gmail.com</t>
  </si>
  <si>
    <t>jiyawadhwa2007@gmail.com</t>
  </si>
  <si>
    <t>Jatin yadav</t>
  </si>
  <si>
    <t>jatinyadav031107@gmail.com</t>
  </si>
  <si>
    <t>Khushi Aggarwal</t>
  </si>
  <si>
    <t>khushiaggarwal57@gmail.com</t>
  </si>
  <si>
    <t>7266444</t>
  </si>
  <si>
    <t>Krishna Aggarwal</t>
  </si>
  <si>
    <t>Krishnaaggarwal04007@gmail.com</t>
  </si>
  <si>
    <t>Kagrawal_be25@thapar.edu</t>
  </si>
  <si>
    <t>Kyra Agrawal</t>
  </si>
  <si>
    <t>Kyra.ag011@gmail.com</t>
  </si>
  <si>
    <t>Kushagra Agrawal</t>
  </si>
  <si>
    <t>Krish Anand</t>
  </si>
  <si>
    <t>krishanand5300@gmail.com</t>
  </si>
  <si>
    <t>karishadahiya@gmail.com</t>
  </si>
  <si>
    <t>karmansingharora01@gmail.com</t>
  </si>
  <si>
    <t>7266445</t>
  </si>
  <si>
    <t>Khushi Arora</t>
  </si>
  <si>
    <t>akhushi292@gmail.com</t>
  </si>
  <si>
    <t>karora2_@thapar.edu</t>
  </si>
  <si>
    <t>Kishita Arora</t>
  </si>
  <si>
    <t>kishitaarora41@gmail.com</t>
  </si>
  <si>
    <t>Krishna Arora</t>
  </si>
  <si>
    <t>Kavya Bansal</t>
  </si>
  <si>
    <t>bansalkavya90@gmail.com</t>
  </si>
  <si>
    <t>Keshav bansal</t>
  </si>
  <si>
    <t>bansalkb072@gmail.com</t>
  </si>
  <si>
    <t>7266446</t>
  </si>
  <si>
    <t>Kbansal3_be25@thapar.edu</t>
  </si>
  <si>
    <t>Kushagra bansal</t>
  </si>
  <si>
    <t>Bansalkushagra95@gmail.com</t>
  </si>
  <si>
    <t>Bhatnagarkushal23@gmail.com</t>
  </si>
  <si>
    <t>Kbsingh2323@gmail.com</t>
  </si>
  <si>
    <t>chotukrishna2006@gmail.com</t>
  </si>
  <si>
    <t>7266447</t>
  </si>
  <si>
    <t>Kanav chawla</t>
  </si>
  <si>
    <t>chawlakanav2007@gmail.com</t>
  </si>
  <si>
    <t>Kchhabra_be25@thapar.edu</t>
  </si>
  <si>
    <t>Kartik chhabra</t>
  </si>
  <si>
    <t>Kc8910821@gmail.com</t>
  </si>
  <si>
    <t>Karanpartap singh chouhan</t>
  </si>
  <si>
    <t>flywithglory2328@gmail.com</t>
  </si>
  <si>
    <t>krishaangdhameja8@gmail.com</t>
  </si>
  <si>
    <t>Khushi Gandhi</t>
  </si>
  <si>
    <t>khushigandhi.es@gmail.com</t>
  </si>
  <si>
    <t>Kgarg10_be25@thapar.edu</t>
  </si>
  <si>
    <t>7266448</t>
  </si>
  <si>
    <t>Kanika Garg</t>
  </si>
  <si>
    <t>Kgarg2_be25@thapar.edu</t>
  </si>
  <si>
    <t>Gargj8908@gmail.com</t>
  </si>
  <si>
    <t>Kgarg4_be25@thapar.edu</t>
  </si>
  <si>
    <t>Keshav Garg</t>
  </si>
  <si>
    <t>Keshav102006@gmail.com</t>
  </si>
  <si>
    <t>Kgarg5_be25@thapar.edu</t>
  </si>
  <si>
    <t>Keshav garg</t>
  </si>
  <si>
    <t>Kgarg6_be25@thapar.edu</t>
  </si>
  <si>
    <t>Khsuh</t>
  </si>
  <si>
    <t>Khushigarg993@gmail.com</t>
  </si>
  <si>
    <t>Kgarg8_be25@thapar.edu</t>
  </si>
  <si>
    <t>7266449</t>
  </si>
  <si>
    <t>krishna07garg@gmail.com</t>
  </si>
  <si>
    <t>Kushal Gautam</t>
  </si>
  <si>
    <t>Kush Goel</t>
  </si>
  <si>
    <t>goel19936@gmail.com</t>
  </si>
  <si>
    <t>Kritika Goyal</t>
  </si>
  <si>
    <t>kritikagoyal682@gmail.com</t>
  </si>
  <si>
    <t>Komal Goyal</t>
  </si>
  <si>
    <t>goyalkomal1401@gmail.com</t>
  </si>
  <si>
    <t>gupta.krishiv2507@gmail.com</t>
  </si>
  <si>
    <t>7266450</t>
  </si>
  <si>
    <t>krishivgupta1429@gmail.com</t>
  </si>
  <si>
    <t>Kritika Gupta</t>
  </si>
  <si>
    <t>kritika25decc@gmail.com</t>
  </si>
  <si>
    <t>kaavishaswell@gmail.com</t>
  </si>
  <si>
    <t>guptakeshav.moga@gmail.com</t>
  </si>
  <si>
    <t>Kapish Gupta</t>
  </si>
  <si>
    <t>kapishg00123@gmail.com</t>
  </si>
  <si>
    <t>7266710</t>
  </si>
  <si>
    <t>Kgupta5_be25@thapar.edu</t>
  </si>
  <si>
    <t>Kartikeya gupta</t>
  </si>
  <si>
    <t>Kartikeyagupta1313@gmail.com</t>
  </si>
  <si>
    <t>Kanishka Jain</t>
  </si>
  <si>
    <t>kanishka.jain0104@gmail.com</t>
  </si>
  <si>
    <t>Kovida Jain</t>
  </si>
  <si>
    <t>kovidajain@gmail.com</t>
  </si>
  <si>
    <t>Kanishka Jasuja</t>
  </si>
  <si>
    <t>kanishkajasuja07@gmail.com</t>
  </si>
  <si>
    <t>Kanika Jolly</t>
  </si>
  <si>
    <t>kanika.jolly23@gmail.com</t>
  </si>
  <si>
    <t>Kashish Kak</t>
  </si>
  <si>
    <t>kashishkak0802@gmail.com</t>
  </si>
  <si>
    <t>7266711</t>
  </si>
  <si>
    <t>Kanishak</t>
  </si>
  <si>
    <t>kanishakgoyal3@gmail.com</t>
  </si>
  <si>
    <t>Krishkansal01@gmail.com</t>
  </si>
  <si>
    <t>Korupolu geetha Karthik</t>
  </si>
  <si>
    <t>korupolukarthik2007@gmail.com</t>
  </si>
  <si>
    <t>Kartik</t>
  </si>
  <si>
    <t>kartikkhurana774@gmail.com</t>
  </si>
  <si>
    <t>Kkashish_be25@thapar.edu</t>
  </si>
  <si>
    <t>Kashish</t>
  </si>
  <si>
    <t>Kambojkashish15@gmail.com</t>
  </si>
  <si>
    <t>7266712</t>
  </si>
  <si>
    <t>Kashvi</t>
  </si>
  <si>
    <t>kksetia0707@gmail.com</t>
  </si>
  <si>
    <t>Krishna Katyal</t>
  </si>
  <si>
    <t>krishnakatyal695@gmail.com</t>
  </si>
  <si>
    <t>Karamvir Kaur</t>
  </si>
  <si>
    <t>karamkaur5364@gmail.com</t>
  </si>
  <si>
    <t>Karmanjot Kaur</t>
  </si>
  <si>
    <t>Karmanjot1705@gmail.com</t>
  </si>
  <si>
    <t>Karnaaz Kaur</t>
  </si>
  <si>
    <t>karnaazsidhu@gmail.com</t>
  </si>
  <si>
    <t>7266713</t>
  </si>
  <si>
    <t>Khushmandeep Kaur</t>
  </si>
  <si>
    <t>khushmandhillon2006@gmail.com</t>
  </si>
  <si>
    <t>Khushpreet kaur</t>
  </si>
  <si>
    <t>keeerattkaur@gmail.com</t>
  </si>
  <si>
    <t>Keshav Kejriwal</t>
  </si>
  <si>
    <t>kkej2007@gmail.com</t>
  </si>
  <si>
    <t>7266714</t>
  </si>
  <si>
    <t>Kkhattar_be25@thapar.edu</t>
  </si>
  <si>
    <t>Krushnuv Tarun Khattar</t>
  </si>
  <si>
    <t>krishnuvtarunkhattar@gmail.com</t>
  </si>
  <si>
    <t>Kkhawaish_be25@thapar.edu</t>
  </si>
  <si>
    <t>Khawaish</t>
  </si>
  <si>
    <t>khawaish376@gmail.com</t>
  </si>
  <si>
    <t>dhirkhushi23@gmail.com</t>
  </si>
  <si>
    <t>khushisaneja934@gmail.com</t>
  </si>
  <si>
    <t>7266715</t>
  </si>
  <si>
    <t>Kkhushi2_be25@thapar.edu</t>
  </si>
  <si>
    <t>Khushi18040@gmail.com</t>
  </si>
  <si>
    <t>Kijal</t>
  </si>
  <si>
    <t>kijaldadwal@gmail.com</t>
  </si>
  <si>
    <t>Kkirti_be25@thapar.edu</t>
  </si>
  <si>
    <t>Kkrishika_be25@thapar.edu</t>
  </si>
  <si>
    <t>Krishika</t>
  </si>
  <si>
    <t>krishikamehta07@gmail.com</t>
  </si>
  <si>
    <t>7266716</t>
  </si>
  <si>
    <t>Kritika</t>
  </si>
  <si>
    <t>kritikabansal301007@gmail.com</t>
  </si>
  <si>
    <t>kritikajain798@gmail.com</t>
  </si>
  <si>
    <t>krittika137.2013@gmail.com</t>
  </si>
  <si>
    <t>7266717</t>
  </si>
  <si>
    <t>Kanupriya Kuckreja</t>
  </si>
  <si>
    <t>Kanupriyakuckreja1489@gmail.com</t>
  </si>
  <si>
    <t>Khushkaran</t>
  </si>
  <si>
    <t>2006khushkaran@gmail.com</t>
  </si>
  <si>
    <t>Kanishk Kumar</t>
  </si>
  <si>
    <t>Krish Kumar</t>
  </si>
  <si>
    <t>mahii28dec@gmail.com</t>
  </si>
  <si>
    <t>7266718</t>
  </si>
  <si>
    <t>Kkushal1_be25@thapar.edu</t>
  </si>
  <si>
    <t>Kushal ahlawat</t>
  </si>
  <si>
    <t>Kushalahlawat047@gmail.com</t>
  </si>
  <si>
    <t>Kuvam Seth</t>
  </si>
  <si>
    <t>sethkuvam@gmail.com</t>
  </si>
  <si>
    <t>kartikayanmagotra6@gmail.com</t>
  </si>
  <si>
    <t>Kanika Mahendru</t>
  </si>
  <si>
    <t>kanikamahendru6@gmail.com</t>
  </si>
  <si>
    <t>7266719</t>
  </si>
  <si>
    <t>Kinshuk Malhotra</t>
  </si>
  <si>
    <t>kinmalhotra08@gmail.com</t>
  </si>
  <si>
    <t>Keshav Mehta</t>
  </si>
  <si>
    <t>keshavmehta2007@gmail.com</t>
  </si>
  <si>
    <t>Krish Mittal</t>
  </si>
  <si>
    <t>krish.mittal081@gmail.com</t>
  </si>
  <si>
    <t>Keshav Monga</t>
  </si>
  <si>
    <t>kmonga1008@gmail.com</t>
  </si>
  <si>
    <t>7266720</t>
  </si>
  <si>
    <t>Kartavya Panda</t>
  </si>
  <si>
    <t>kartavyapanda@gmail.com</t>
  </si>
  <si>
    <t>Kushagr Pandey</t>
  </si>
  <si>
    <t>27ksr2@gmail.com</t>
  </si>
  <si>
    <t>Kaustubh Prakash</t>
  </si>
  <si>
    <t>kaustubhprakash0410@gmail.com</t>
  </si>
  <si>
    <t>Kanu Priya</t>
  </si>
  <si>
    <t>bd.mittal2007@gmail.com</t>
  </si>
  <si>
    <t>7266721</t>
  </si>
  <si>
    <t>rahakaustav@gmail.com</t>
  </si>
  <si>
    <t>Kartik Singh Rathore</t>
  </si>
  <si>
    <t>krathore6002@gmail.com</t>
  </si>
  <si>
    <t>Ksaboo_be25@thapar.edu</t>
  </si>
  <si>
    <t>Kanishk Saboi</t>
  </si>
  <si>
    <t>Kanishk.saboo.2007@gmail.com</t>
  </si>
  <si>
    <t>Ksaini_be25@thapar.edu</t>
  </si>
  <si>
    <t>Krishna saini</t>
  </si>
  <si>
    <t>Krishnasaini1799@gmail.com</t>
  </si>
  <si>
    <t>Khushmeet Kaur Sandhu</t>
  </si>
  <si>
    <t>khushisandhu700@gmail.com</t>
  </si>
  <si>
    <t>Ksharma3_be25@thapar.edu</t>
  </si>
  <si>
    <t>Sharmakrishna5674@gmail.com</t>
  </si>
  <si>
    <t>7266722</t>
  </si>
  <si>
    <t>Kartikain Sharma</t>
  </si>
  <si>
    <t>sharmakartikain@gmail.com</t>
  </si>
  <si>
    <t>Kushagar Sharma</t>
  </si>
  <si>
    <t>volticmagno62@gmail.com</t>
  </si>
  <si>
    <t>Kushal sharma</t>
  </si>
  <si>
    <t>Kushalbhardwaj29@gmail.com</t>
  </si>
  <si>
    <t>Kanha Sheel</t>
  </si>
  <si>
    <t>kanhasheel@gmail.com</t>
  </si>
  <si>
    <t>Krish Kumar Singh</t>
  </si>
  <si>
    <t>7266723</t>
  </si>
  <si>
    <t>khushi11092007@gmail.com</t>
  </si>
  <si>
    <t>Kiranpreet K Singh</t>
  </si>
  <si>
    <t>kpks1331@gmail.com</t>
  </si>
  <si>
    <t>Krishiv Singh</t>
  </si>
  <si>
    <t>krishivsingh@yahoo.com</t>
  </si>
  <si>
    <t>Kritin Kumar Singh</t>
  </si>
  <si>
    <t>kritinkumarsingh2007@gmail.com</t>
  </si>
  <si>
    <t>Karan bir singh</t>
  </si>
  <si>
    <t>sukhkaramleen4297@gmail.com</t>
  </si>
  <si>
    <t>karansingh170806@gmail.com</t>
  </si>
  <si>
    <t>7266724</t>
  </si>
  <si>
    <t>ksingh24_be25@thapar.edu</t>
  </si>
  <si>
    <t>Kuwarveer Singh</t>
  </si>
  <si>
    <t>1025230138</t>
  </si>
  <si>
    <t>jotsinghc24@gmail.com</t>
  </si>
  <si>
    <t>kanaldeepjeemain@gmail.com</t>
  </si>
  <si>
    <t>karanbirsinghghai123@gmail.com</t>
  </si>
  <si>
    <t>Kevinder Singh</t>
  </si>
  <si>
    <t>kevindersingh13783@gmail.com</t>
  </si>
  <si>
    <t>7266725</t>
  </si>
  <si>
    <t>Ksinghal1_be25@thapar.edu</t>
  </si>
  <si>
    <t>Kangana</t>
  </si>
  <si>
    <t>Kangana7906@gmail.com</t>
  </si>
  <si>
    <t>Ksingla1_be25@thapar.edu</t>
  </si>
  <si>
    <t>singlakeshav598@gmail.com</t>
  </si>
  <si>
    <t>Kunal Singla</t>
  </si>
  <si>
    <t>singlakunal3110@gmail.com</t>
  </si>
  <si>
    <t>7266726</t>
  </si>
  <si>
    <t>Ksingla4_be25@thapar.edu</t>
  </si>
  <si>
    <t>Krish singla</t>
  </si>
  <si>
    <t>Kishlay Sinha</t>
  </si>
  <si>
    <t>5301487kishlaysinha@gmail.com</t>
  </si>
  <si>
    <t>Khwaish Kaur Sood</t>
  </si>
  <si>
    <t>khwaishsood29@gmail.com</t>
  </si>
  <si>
    <t>Kavisha Srivastava</t>
  </si>
  <si>
    <t>kavisha.14pia@gmail.com</t>
  </si>
  <si>
    <t>kartik180475@gmail.com</t>
  </si>
  <si>
    <t>Kshirin Thakur</t>
  </si>
  <si>
    <t>tkshirin2007@gmail.com</t>
  </si>
  <si>
    <t>Kabir Thapar</t>
  </si>
  <si>
    <t>kabirthapar485@gmail.com</t>
  </si>
  <si>
    <t>7266727</t>
  </si>
  <si>
    <t>Keneth Royan Topno</t>
  </si>
  <si>
    <t>kenethtopno2006@gmail.com</t>
  </si>
  <si>
    <t>Kunsh Tyagi</t>
  </si>
  <si>
    <t>k789.tyagi@gmail.com</t>
  </si>
  <si>
    <t>Kunal Udhani</t>
  </si>
  <si>
    <t>kunaludhani1206@gmail.com</t>
  </si>
  <si>
    <t>Krish</t>
  </si>
  <si>
    <t>kidosol3049@gmail.com</t>
  </si>
  <si>
    <t>Kvinaik_be25@thapar.edu</t>
  </si>
  <si>
    <t>Kanishq Vinaik</t>
  </si>
  <si>
    <t>Kanishqvinaik07@gmail.com</t>
  </si>
  <si>
    <t>Love Agarwal</t>
  </si>
  <si>
    <t>spartanssexa123@gmail.com</t>
  </si>
  <si>
    <t>7266728</t>
  </si>
  <si>
    <t>Lakshay Bansal</t>
  </si>
  <si>
    <t>lakshaybansal2906@gmail.com</t>
  </si>
  <si>
    <t>Lovish</t>
  </si>
  <si>
    <t>lovishdigwal12@gmail.com</t>
  </si>
  <si>
    <t>lakshyagarg224@gmail.com</t>
  </si>
  <si>
    <t>Lgoyal_be25@thapar.edu</t>
  </si>
  <si>
    <t>Lavanya goyal</t>
  </si>
  <si>
    <t>Lakshya jain</t>
  </si>
  <si>
    <t>7266729</t>
  </si>
  <si>
    <t>Laksh Jindal</t>
  </si>
  <si>
    <t>lakshjindal106@gmail.com</t>
  </si>
  <si>
    <t>78145 56260</t>
  </si>
  <si>
    <t>Lakshyakapor@gmail.com</t>
  </si>
  <si>
    <t>Lakshita</t>
  </si>
  <si>
    <t>lakshitabansal.004@gmail.com</t>
  </si>
  <si>
    <t>Livleen kaur ranu</t>
  </si>
  <si>
    <t>Livleenranu22@gmail.com</t>
  </si>
  <si>
    <t>Lakshya sehgal</t>
  </si>
  <si>
    <t>sehlakshya06@gmail.com</t>
  </si>
  <si>
    <t>Lucky singh</t>
  </si>
  <si>
    <t>luckysingh34423442@gmail.com</t>
  </si>
  <si>
    <t>7266730</t>
  </si>
  <si>
    <t>Lsingla_be25@thapar.edu</t>
  </si>
  <si>
    <t>Lovish Singla</t>
  </si>
  <si>
    <t>Lovishsingla01617@gmail.com</t>
  </si>
  <si>
    <t>Lsingla1_be25@thapar.edu</t>
  </si>
  <si>
    <t>lukman singla</t>
  </si>
  <si>
    <t>lukmansinglaofficial@gmail.com</t>
  </si>
  <si>
    <t>luv singla</t>
  </si>
  <si>
    <t>Liza singla</t>
  </si>
  <si>
    <t>lizaliza08522@gmail.com</t>
  </si>
  <si>
    <t>Lakshay Soni</t>
  </si>
  <si>
    <t>mahiali549r@gmail.com</t>
  </si>
  <si>
    <t>7266731</t>
  </si>
  <si>
    <t>Laksh Wadhwa</t>
  </si>
  <si>
    <t>lakshwadhwa687@gmail.com</t>
  </si>
  <si>
    <t>m6559789@gmail.com</t>
  </si>
  <si>
    <t>Mannat Dhillon</t>
  </si>
  <si>
    <t>Mayank Adhikari</t>
  </si>
  <si>
    <t>mayankadhikari29072006@gmail.com</t>
  </si>
  <si>
    <t>Agarwalxmridul@gmail.com</t>
  </si>
  <si>
    <t>maatrikagrawal2007@gmail.com</t>
  </si>
  <si>
    <t>madhavaggarwal1212@gmail.com</t>
  </si>
  <si>
    <t>7266732</t>
  </si>
  <si>
    <t>Mannan Aggarwal</t>
  </si>
  <si>
    <t>mannanaggarwal19@gmail.com</t>
  </si>
  <si>
    <t>mailto:gmadaan_be25@thapar.edu</t>
  </si>
  <si>
    <t>Gaurang madaan</t>
  </si>
  <si>
    <t>Gaurangmadaan230907@gmail.com</t>
  </si>
  <si>
    <t>Mayank Arora</t>
  </si>
  <si>
    <t>aroramayank135@gmail.com</t>
  </si>
  <si>
    <t>Manyata Bajaj</t>
  </si>
  <si>
    <t>bajajmanyata8@gmail.com</t>
  </si>
  <si>
    <t>7266733</t>
  </si>
  <si>
    <t>Mansha Bansal</t>
  </si>
  <si>
    <t>bansalmansha6@gmail.com</t>
  </si>
  <si>
    <t>manya.bansal2007@gmail.com</t>
  </si>
  <si>
    <t>Mehul bansal</t>
  </si>
  <si>
    <t>mehul.bansal.946@gmail.com</t>
  </si>
  <si>
    <t>mayunbhrasadia81@gmail.com</t>
  </si>
  <si>
    <t>mbhutani_be25@thapad.edu</t>
  </si>
  <si>
    <t>Manas Bhutani</t>
  </si>
  <si>
    <t>manasbhutanibeast@gmail.com</t>
  </si>
  <si>
    <t>7266734</t>
  </si>
  <si>
    <t>Mayank Chawla</t>
  </si>
  <si>
    <t>mayankchawla1903@gmail.com</t>
  </si>
  <si>
    <t>manndhupia14@gmail.com</t>
  </si>
  <si>
    <t>Mantavya Dixit</t>
  </si>
  <si>
    <t>dixitmantavya@gmail.com</t>
  </si>
  <si>
    <t>Mukul Dogra</t>
  </si>
  <si>
    <t>mukuldogra30@gmail.com</t>
  </si>
  <si>
    <t>7266735</t>
  </si>
  <si>
    <t>Mansi Dohare</t>
  </si>
  <si>
    <t>mansidohare06@gmail.com</t>
  </si>
  <si>
    <t>Manvee Garg</t>
  </si>
  <si>
    <t>manveegarg253@gmail.com</t>
  </si>
  <si>
    <t>mahika garg</t>
  </si>
  <si>
    <t>mahika.garg12@gmail.com</t>
  </si>
  <si>
    <t>Manya Garg</t>
  </si>
  <si>
    <t>manyagarg219@gmail.com</t>
  </si>
  <si>
    <t>7266736</t>
  </si>
  <si>
    <t>Moksh Goel</t>
  </si>
  <si>
    <t>15mokshgoel@gmail.com</t>
  </si>
  <si>
    <t>Meghvi Goyal</t>
  </si>
  <si>
    <t>Mgoyal1_be25@thapar.edu</t>
  </si>
  <si>
    <t>Munishg556@gmail.com</t>
  </si>
  <si>
    <t>Manaswi Goyal</t>
  </si>
  <si>
    <t>manaswigoyal21@gmail.com</t>
  </si>
  <si>
    <t>Mohin Goyal</t>
  </si>
  <si>
    <t>7266737</t>
  </si>
  <si>
    <t>mohiingoyal@gmail.com</t>
  </si>
  <si>
    <t>Manan Grover</t>
  </si>
  <si>
    <t>manan.grover.se4@gmail.com</t>
  </si>
  <si>
    <t>Mgrover1_be25@thapar.edu</t>
  </si>
  <si>
    <t>Mudit Grover</t>
  </si>
  <si>
    <t>Muditgrover10@gmail.com</t>
  </si>
  <si>
    <t>Manit Gupta</t>
  </si>
  <si>
    <t>manitgupta10c.doon@gmail.com</t>
  </si>
  <si>
    <t>mahima204gupta@gmail.com</t>
  </si>
  <si>
    <t>7266738</t>
  </si>
  <si>
    <t>mann.07gupta@gmail.com</t>
  </si>
  <si>
    <t>Mudit Gupta</t>
  </si>
  <si>
    <t>Madhav Gupta</t>
  </si>
  <si>
    <t>madhav132007@gmail.com</t>
  </si>
  <si>
    <t>manyagupta78147@gmail.com</t>
  </si>
  <si>
    <t>mg6204438@gmail.com</t>
  </si>
  <si>
    <t>7266739</t>
  </si>
  <si>
    <t>mdgufranulhaq@gmail.com</t>
  </si>
  <si>
    <t>Mudit Jain</t>
  </si>
  <si>
    <t>muditj056@gmail.com</t>
  </si>
  <si>
    <t>Mjain1_be25@thapar.edu</t>
  </si>
  <si>
    <t>Medhansh jain</t>
  </si>
  <si>
    <t>medhanshj2007@gmail.com</t>
  </si>
  <si>
    <t>Mishti Jindal</t>
  </si>
  <si>
    <t>mishti0328@gmail.com</t>
  </si>
  <si>
    <t>Moksh Jindal</t>
  </si>
  <si>
    <t>mjin123dal@gmail.com</t>
  </si>
  <si>
    <t>7266740</t>
  </si>
  <si>
    <t>mitaliijoshii@gmail.com</t>
  </si>
  <si>
    <t>kalsimanmeet79@gmail.com</t>
  </si>
  <si>
    <t>Manan kansal</t>
  </si>
  <si>
    <t>Manan.kansal2007@gmail.com</t>
  </si>
  <si>
    <t>Mundharinti Sreekarunya</t>
  </si>
  <si>
    <t>karuking1309@gmail.com</t>
  </si>
  <si>
    <t>Manreet Kaur</t>
  </si>
  <si>
    <t>manreetkaur3007@gmail.com</t>
  </si>
  <si>
    <t>7266741</t>
  </si>
  <si>
    <t>Mkaur1_be25@thapar.edu</t>
  </si>
  <si>
    <t>Mehakpreet Kaur</t>
  </si>
  <si>
    <t>1025230017</t>
  </si>
  <si>
    <t>Mkgill506@gmail.com</t>
  </si>
  <si>
    <t>Mandeep Kaur</t>
  </si>
  <si>
    <t>mkmandeepkaurmk31@gmail.com</t>
  </si>
  <si>
    <t>Manmeet kaur</t>
  </si>
  <si>
    <t>iammanmeetkaur27@gmail.com</t>
  </si>
  <si>
    <t>Mansimar Kaur</t>
  </si>
  <si>
    <t>kaurmansimar907@gmail.com</t>
  </si>
  <si>
    <t>Maheep Kaur</t>
  </si>
  <si>
    <t>maheepk.johar@gmail.com</t>
  </si>
  <si>
    <t>mandeepkau.723@gmail.com</t>
  </si>
  <si>
    <t>7266742</t>
  </si>
  <si>
    <t>Mehak Kaur</t>
  </si>
  <si>
    <t>mehak.kaur0107@gmail.com</t>
  </si>
  <si>
    <t>2TCD/2TC1</t>
  </si>
  <si>
    <t>Manal Kaura</t>
  </si>
  <si>
    <t>manalkaura90@gmail.com</t>
  </si>
  <si>
    <t>Medha Kaushal</t>
  </si>
  <si>
    <t>medhakaushal0312@gmail.com</t>
  </si>
  <si>
    <t>Mkhanna_be25@thapar.edu</t>
  </si>
  <si>
    <t>Mehul khanna</t>
  </si>
  <si>
    <t>Mehulkhanna2019@gmail.com</t>
  </si>
  <si>
    <t>Mohit Kumar</t>
  </si>
  <si>
    <t>7266743</t>
  </si>
  <si>
    <t>Manan kumar</t>
  </si>
  <si>
    <t>Madhupriya De</t>
  </si>
  <si>
    <t>madhupriyade1@gmail.com</t>
  </si>
  <si>
    <t>mahimahajan938@gmail.com</t>
  </si>
  <si>
    <t>Manmeet Singh Malhotra</t>
  </si>
  <si>
    <t>malhotramanmeet08@gmail.com</t>
  </si>
  <si>
    <t>Mmanan_be25@thapar.edu</t>
  </si>
  <si>
    <t>Manan</t>
  </si>
  <si>
    <t>7266744</t>
  </si>
  <si>
    <t>Manan19340@gmail.com</t>
  </si>
  <si>
    <t>manika.jjj007@gmail.com</t>
  </si>
  <si>
    <t>manika3382@gmail.com</t>
  </si>
  <si>
    <t>Mannat</t>
  </si>
  <si>
    <t>mannatkhosla2@gmail.com</t>
  </si>
  <si>
    <t>7266745</t>
  </si>
  <si>
    <t>89681 85957</t>
  </si>
  <si>
    <t>manshika021207@gmail.com</t>
  </si>
  <si>
    <t>Mantez</t>
  </si>
  <si>
    <t>mantezrajra222@gmail.com</t>
  </si>
  <si>
    <t>mandeep65888@gmail.com</t>
  </si>
  <si>
    <t>Manya Bhalla</t>
  </si>
  <si>
    <t>1025030730</t>
  </si>
  <si>
    <t>Many.bhalla22@gmail.com</t>
  </si>
  <si>
    <t>7266746</t>
  </si>
  <si>
    <t>meharmarwah07@gmail.com</t>
  </si>
  <si>
    <t>Mehar</t>
  </si>
  <si>
    <t>meharloach07@gmail.com</t>
  </si>
  <si>
    <t>Mmehta_be25@thapar.edu</t>
  </si>
  <si>
    <t>Mohit</t>
  </si>
  <si>
    <t>mehtamohit752@gmail.com</t>
  </si>
  <si>
    <t>Mridul Mehta</t>
  </si>
  <si>
    <t>mridulmehta33@gmail.com</t>
  </si>
  <si>
    <t>Manik Middha</t>
  </si>
  <si>
    <t>manikmiddha2706@gmail.com</t>
  </si>
  <si>
    <t>7266747</t>
  </si>
  <si>
    <t>Medha Mishra</t>
  </si>
  <si>
    <t>medha2209mishra@gmail.com</t>
  </si>
  <si>
    <t>Mishthi</t>
  </si>
  <si>
    <t>mishthibansal671@gmail.com</t>
  </si>
  <si>
    <t>Mahi Mittal</t>
  </si>
  <si>
    <t>mahimittal2006@gmail.com</t>
  </si>
  <si>
    <t>Mohit Vij</t>
  </si>
  <si>
    <t>mohitvij861@gmail.com</t>
  </si>
  <si>
    <t>Maitreya More</t>
  </si>
  <si>
    <t>Maitreyamore7@gmail.com</t>
  </si>
  <si>
    <t>7266748</t>
  </si>
  <si>
    <t>Mridul</t>
  </si>
  <si>
    <t>mridulkhetarpal2007@gmail.com</t>
  </si>
  <si>
    <t>Mnagpal_be25@thapar.edu</t>
  </si>
  <si>
    <t>Mahi Nagpal</t>
  </si>
  <si>
    <t>Mahinagpal12@gmail.com</t>
  </si>
  <si>
    <t>Manan Narang</t>
  </si>
  <si>
    <t>manannarang2006@gmail.edu</t>
  </si>
  <si>
    <t>Moulik Narula</t>
  </si>
  <si>
    <t>mouliknarula7@gmail.com</t>
  </si>
  <si>
    <t>mitulpatel7696@gmail.com</t>
  </si>
  <si>
    <t>7266749</t>
  </si>
  <si>
    <t>Manit Patial</t>
  </si>
  <si>
    <t>manitpatial@gmail.com</t>
  </si>
  <si>
    <t>mrandhawa_be25@thapar.edu</t>
  </si>
  <si>
    <t>Manraj Singh Randhawa</t>
  </si>
  <si>
    <t>1025230019</t>
  </si>
  <si>
    <t>randhawamanraj254@gmail.com</t>
  </si>
  <si>
    <t>meenalsrawat9@gmail.com</t>
  </si>
  <si>
    <t>mridulsaini763@gmail.com</t>
  </si>
  <si>
    <t>7266750</t>
  </si>
  <si>
    <t>Mansirat Sandhu</t>
  </si>
  <si>
    <t>mansiratsandhu994@gmail.com</t>
  </si>
  <si>
    <t>Manraj Singh Sandhu</t>
  </si>
  <si>
    <t>manrajsandhu792@gmail.com</t>
  </si>
  <si>
    <t>msaxena_be25@gmail.com</t>
  </si>
  <si>
    <t>2007saxena.m@gmail.com</t>
  </si>
  <si>
    <t>Madalsa Sehgal</t>
  </si>
  <si>
    <t>madalsasehgal17@gmail.com</t>
  </si>
  <si>
    <t>mannatsethi1101@gmail.com</t>
  </si>
  <si>
    <t>7266751</t>
  </si>
  <si>
    <t>Mouli Sethi</t>
  </si>
  <si>
    <t>1025030298</t>
  </si>
  <si>
    <t>moulisethi07@gmail.com</t>
  </si>
  <si>
    <t>Madhav Sharma</t>
  </si>
  <si>
    <t>Abcmadhav12345@gmail.com</t>
  </si>
  <si>
    <t>mannatsharma1411@gmail.com</t>
  </si>
  <si>
    <t>sharmamrigank110@gmail.com</t>
  </si>
  <si>
    <t>manyasharma1127@gmail.com</t>
  </si>
  <si>
    <t>Manas Singh</t>
  </si>
  <si>
    <t>7266752</t>
  </si>
  <si>
    <t>3006.manas@gmail.com</t>
  </si>
  <si>
    <t>Meharnoor Singh</t>
  </si>
  <si>
    <t>meharnoor31@gmail.com</t>
  </si>
  <si>
    <t>mankiratsingh2024@gmail.com</t>
  </si>
  <si>
    <t>manpreet1802006@gmail.com</t>
  </si>
  <si>
    <t>Manvir Singh</t>
  </si>
  <si>
    <t>manvir7010@gmail.com</t>
  </si>
  <si>
    <t>Mehul Singla</t>
  </si>
  <si>
    <t>7266753</t>
  </si>
  <si>
    <t>luhemsingla07@gmail.com</t>
  </si>
  <si>
    <t>Madhav Singla</t>
  </si>
  <si>
    <t>madhavsingla92@gmail.com</t>
  </si>
  <si>
    <t>manan41410352@gmail.com</t>
  </si>
  <si>
    <t>Manasvi Srivastava</t>
  </si>
  <si>
    <t>manasvisrivastava07@gmail.com</t>
  </si>
  <si>
    <t>Mayasha Tripathi</t>
  </si>
  <si>
    <t>mayashatripathi@gmail.com</t>
  </si>
  <si>
    <t>Meheransh Vaish</t>
  </si>
  <si>
    <t>meheranshvaish@gmail.com</t>
  </si>
  <si>
    <t>Manit Verma</t>
  </si>
  <si>
    <t>manitverma055@gmail.com</t>
  </si>
  <si>
    <t>7266754</t>
  </si>
  <si>
    <t>Naksh Aggarwal</t>
  </si>
  <si>
    <t>namitgrover12345@gmail.comn</t>
  </si>
  <si>
    <t>Namit Grover</t>
  </si>
  <si>
    <t>1025250268</t>
  </si>
  <si>
    <t>namitgrover12345@gmail.com</t>
  </si>
  <si>
    <t>2X25</t>
  </si>
  <si>
    <t>Narora3_be25@thapar.edu</t>
  </si>
  <si>
    <t>Noura Arora</t>
  </si>
  <si>
    <t>nouraarora32@gmail.com</t>
  </si>
  <si>
    <t>Navjot Singh Aulakh</t>
  </si>
  <si>
    <t>7266755</t>
  </si>
  <si>
    <t>narindersinghbajwa125@gmail.com</t>
  </si>
  <si>
    <t>Naina Bansal</t>
  </si>
  <si>
    <t>nainab2607@gmail.com</t>
  </si>
  <si>
    <t>Nitishbansal0110@gmail.com</t>
  </si>
  <si>
    <t>Nishant Bedi</t>
  </si>
  <si>
    <t>nishant3bedi@gmail.com</t>
  </si>
  <si>
    <t>7266756</t>
  </si>
  <si>
    <t>Naman bhutani</t>
  </si>
  <si>
    <t>namanbhutani88@gmail.com</t>
  </si>
  <si>
    <t>Nitin Chauhan</t>
  </si>
  <si>
    <t>nc.chauhan2006@gmail.com</t>
  </si>
  <si>
    <t>Nikhil Choudhary</t>
  </si>
  <si>
    <t>nikhil828893@gmail.com</t>
  </si>
  <si>
    <t>Navi</t>
  </si>
  <si>
    <t>navidadhwal06@gmail.com</t>
  </si>
  <si>
    <t>Navya Dhawan</t>
  </si>
  <si>
    <t>7266757</t>
  </si>
  <si>
    <t>navya.dhawan21@gmail.com</t>
  </si>
  <si>
    <t>Nachiket Dhiman</t>
  </si>
  <si>
    <t>dhimannachiket@gmail.com</t>
  </si>
  <si>
    <t>Nishad Garg</t>
  </si>
  <si>
    <t>gargnishad2006@gmail.com</t>
  </si>
  <si>
    <t>Naman Garg</t>
  </si>
  <si>
    <t>namangarg1611@gmail.com</t>
  </si>
  <si>
    <t>Neev Gautam</t>
  </si>
  <si>
    <t>gautamneev3@gmail.com</t>
  </si>
  <si>
    <t>7266758</t>
  </si>
  <si>
    <t>Naman Gupta</t>
  </si>
  <si>
    <t>naman.gupta.2106@gmail.com</t>
  </si>
  <si>
    <t>naman.paarth8255@gmail.com</t>
  </si>
  <si>
    <t>Navika Gupta</t>
  </si>
  <si>
    <t>navika2025gupta@gmail.com</t>
  </si>
  <si>
    <t>Ngupta6_be25@thapar.edu</t>
  </si>
  <si>
    <t>Nishita Gupta</t>
  </si>
  <si>
    <t>Nishitagupta477@gmail.com</t>
  </si>
  <si>
    <t>nikhilarora42007@gmail.com</t>
  </si>
  <si>
    <t>7266759</t>
  </si>
  <si>
    <t>Nikhil Arora</t>
  </si>
  <si>
    <t>Nikhilarora42007@gmail.com</t>
  </si>
  <si>
    <t>Njain_be25@thapar.edu</t>
  </si>
  <si>
    <t>Namitjain.connect@gmail.com</t>
  </si>
  <si>
    <t>Njain1_be25@thapar.edu</t>
  </si>
  <si>
    <t>Naiza Jain</t>
  </si>
  <si>
    <t>nabhanshk1783@gmail.com</t>
  </si>
  <si>
    <t>7266760</t>
  </si>
  <si>
    <t>noorkamboz5@gmail.com</t>
  </si>
  <si>
    <t>navya kathuria</t>
  </si>
  <si>
    <t>navyakathuria11@gmail.com</t>
  </si>
  <si>
    <t>navjot7084@gmail.com</t>
  </si>
  <si>
    <t>7266761</t>
  </si>
  <si>
    <t>Naman Kaushik</t>
  </si>
  <si>
    <t>namankaushiknk11@gmail.com</t>
  </si>
  <si>
    <t>Niket Kumar</t>
  </si>
  <si>
    <t>niketkumar768@gmail.com</t>
  </si>
  <si>
    <t>nkumar2_be25@thapar.edh</t>
  </si>
  <si>
    <t>Nitin kumar</t>
  </si>
  <si>
    <t>nitinjangir0077@gmail.com</t>
  </si>
  <si>
    <t>7266762</t>
  </si>
  <si>
    <t>Nethra Lawania</t>
  </si>
  <si>
    <t>nethralawania02@gmail.com</t>
  </si>
  <si>
    <t>namishmahajan15@gmail.com</t>
  </si>
  <si>
    <t>Naman Mangla</t>
  </si>
  <si>
    <t>namankithania71@gmail.com</t>
  </si>
  <si>
    <t>Nayan Manocha</t>
  </si>
  <si>
    <t>nayanmanocha07@gmail.com</t>
  </si>
  <si>
    <t>Neel Mittal</t>
  </si>
  <si>
    <t>7266763</t>
  </si>
  <si>
    <t>neelmittal59@gmail.com</t>
  </si>
  <si>
    <t>nancychahal9999@gmail.com</t>
  </si>
  <si>
    <t>Nandini</t>
  </si>
  <si>
    <t>nandu181185@gmail.com</t>
  </si>
  <si>
    <t>Navdeep</t>
  </si>
  <si>
    <t>Neelakshi</t>
  </si>
  <si>
    <t>neelakshi.sandee@gmail.com</t>
  </si>
  <si>
    <t>7266764</t>
  </si>
  <si>
    <t>Nimisha</t>
  </si>
  <si>
    <t>nimi28062007@gmail.com</t>
  </si>
  <si>
    <t>Nishi</t>
  </si>
  <si>
    <t>Bansalnishi79@gmail.com</t>
  </si>
  <si>
    <t>Naman@rawal.in</t>
  </si>
  <si>
    <t>Nancy Saini</t>
  </si>
  <si>
    <t>nancysaini568@gmail.com</t>
  </si>
  <si>
    <t>7266765</t>
  </si>
  <si>
    <t>navankaursandha@gmail.com</t>
  </si>
  <si>
    <t>Naman Sanghi</t>
  </si>
  <si>
    <t>namanjiyasanghi@gmail.com</t>
  </si>
  <si>
    <t>Nishchay Sareen</t>
  </si>
  <si>
    <t>sareennishchay@gmail.com</t>
  </si>
  <si>
    <t>Nixit Setia</t>
  </si>
  <si>
    <t>nixitsetia02@gmail.com</t>
  </si>
  <si>
    <t>7266766</t>
  </si>
  <si>
    <t>Niyati Sharma</t>
  </si>
  <si>
    <t>sniyati06@gmail.com</t>
  </si>
  <si>
    <t>Nikhil Sharma</t>
  </si>
  <si>
    <t>legendnikhil27@gmail.com</t>
  </si>
  <si>
    <t>Naina Sharma</t>
  </si>
  <si>
    <t>naina10102006@gmail.com</t>
  </si>
  <si>
    <t>nikitxstha@gmail.com</t>
  </si>
  <si>
    <t>7266767</t>
  </si>
  <si>
    <t>nsingh13_be25@thapar.edu</t>
  </si>
  <si>
    <t>Naman Singh</t>
  </si>
  <si>
    <t>1025020027</t>
  </si>
  <si>
    <t>singh2007naman@gmail.com</t>
  </si>
  <si>
    <t>narayanthapar1274@gmail.com</t>
  </si>
  <si>
    <t>navrajjasraj@gmail.com</t>
  </si>
  <si>
    <t>Navkiran Singh</t>
  </si>
  <si>
    <t>navkiransingh2811@gmail.com</t>
  </si>
  <si>
    <t>7266768</t>
  </si>
  <si>
    <t>navrajsingh2507@gmail.com</t>
  </si>
  <si>
    <t>Naman Singhal</t>
  </si>
  <si>
    <t>namansingla699@gmail.com</t>
  </si>
  <si>
    <t>Naman Singla</t>
  </si>
  <si>
    <t>namansingla912@gmail.com</t>
  </si>
  <si>
    <t>nsingla1_be25@thapar.edu</t>
  </si>
  <si>
    <t>Navyansh Singla</t>
  </si>
  <si>
    <t>1025230007</t>
  </si>
  <si>
    <t>navyansh.singla77@gmail.com</t>
  </si>
  <si>
    <t>7266769</t>
  </si>
  <si>
    <t>Nischal Singla</t>
  </si>
  <si>
    <t>singlanischal0@gmail.com</t>
  </si>
  <si>
    <t>Nandika soi</t>
  </si>
  <si>
    <t>nandika4343@gmail.com</t>
  </si>
  <si>
    <t>Nishita Thakur</t>
  </si>
  <si>
    <t>nishitathakur03@gmail.con</t>
  </si>
  <si>
    <t>Nishtha Uppal</t>
  </si>
  <si>
    <t>nishhhh4444@gmail.com</t>
  </si>
  <si>
    <t>7266770</t>
  </si>
  <si>
    <t>vasudevnitya025@gmail.com</t>
  </si>
  <si>
    <t>Nandika verma</t>
  </si>
  <si>
    <t>nandikaverma2006@gmail.com</t>
  </si>
  <si>
    <t>nyadav2_be@thapar.edu</t>
  </si>
  <si>
    <t>Nikhil Yadav</t>
  </si>
  <si>
    <t>ydvnikhi3800@gmail.com</t>
  </si>
  <si>
    <t>Onir Chanana</t>
  </si>
  <si>
    <t>onirchanana@gmail.com</t>
  </si>
  <si>
    <t>7266771</t>
  </si>
  <si>
    <t>jainojas202@gmail.com</t>
  </si>
  <si>
    <t>Okalyana_be25@thapar.edu</t>
  </si>
  <si>
    <t>Omkar Kalyana</t>
  </si>
  <si>
    <t>Omkarkalyana2072@gmail.com</t>
  </si>
  <si>
    <t>Om Singh</t>
  </si>
  <si>
    <t>singhom2496@gmail.com</t>
  </si>
  <si>
    <t>Padlakha_be25@thapar.edu</t>
  </si>
  <si>
    <t>Adlakhaparth2008@gmail.com</t>
  </si>
  <si>
    <t>7266772</t>
  </si>
  <si>
    <t>Prachi Agarwal</t>
  </si>
  <si>
    <t>Agarwalprachi1414@gmail.com</t>
  </si>
  <si>
    <t>Piyush Anand</t>
  </si>
  <si>
    <t>piyushanand.fij20@gmail.com</t>
  </si>
  <si>
    <t>Parora2_be25@thapar.edu</t>
  </si>
  <si>
    <t>Prabhav arora</t>
  </si>
  <si>
    <t>Prabhavarora2007@gmail.com</t>
  </si>
  <si>
    <t>Prachi Arora</t>
  </si>
  <si>
    <t>prachi78arora@gmail.com</t>
  </si>
  <si>
    <t>Palak Bagla</t>
  </si>
  <si>
    <t>palakbagla1001@gmail.com</t>
  </si>
  <si>
    <t>Prabhleen Kaur</t>
  </si>
  <si>
    <t>prabhleen12234@gmail.com</t>
  </si>
  <si>
    <t>parth.bajaj@gmail.com</t>
  </si>
  <si>
    <t>7266774</t>
  </si>
  <si>
    <t>Pbansal2_be25@thapar.edu</t>
  </si>
  <si>
    <t>Parth bansal</t>
  </si>
  <si>
    <t>Pbansal4_be25@thapar.edu</t>
  </si>
  <si>
    <t>Pari Bansal</t>
  </si>
  <si>
    <t>1025230085</t>
  </si>
  <si>
    <t>pbansal4_be25@thapar.edu</t>
  </si>
  <si>
    <t>Prashant Baswan</t>
  </si>
  <si>
    <t>prashantbaswan@gmail.com</t>
  </si>
  <si>
    <t>Pratham bathla</t>
  </si>
  <si>
    <t>prathambathla92@gmail.com</t>
  </si>
  <si>
    <t>Pbehar_be25@thapar.edu</t>
  </si>
  <si>
    <t>Peerzada Faheem</t>
  </si>
  <si>
    <t>peerzadafaheem99@gmail.com</t>
  </si>
  <si>
    <t>Pranav Bhardwaj</t>
  </si>
  <si>
    <t>brjpranav0@gmail.com</t>
  </si>
  <si>
    <t>Pulkit</t>
  </si>
  <si>
    <t>pulkitbhardwaj23006@gmail.com</t>
  </si>
  <si>
    <t>Prabhmilan Singh</t>
  </si>
  <si>
    <t>7266775</t>
  </si>
  <si>
    <t>prabhmilansinghbharmi@gmail.com</t>
  </si>
  <si>
    <t>pbhata1_be25@thapar.edu</t>
  </si>
  <si>
    <t>Purav bhatia</t>
  </si>
  <si>
    <t>puravbhatia0010@gmail.com</t>
  </si>
  <si>
    <t>parthbhutna951@gmail.com</t>
  </si>
  <si>
    <t>Parth Bindal</t>
  </si>
  <si>
    <t>parthbindal23122006@gmail.com</t>
  </si>
  <si>
    <t>Priyanshu P Biswas</t>
  </si>
  <si>
    <t>priyanshubiswas131207@gmail.com</t>
  </si>
  <si>
    <t>Paramrajchahal@gmail.com</t>
  </si>
  <si>
    <t>7266776</t>
  </si>
  <si>
    <t>P.Girish Chandra</t>
  </si>
  <si>
    <t>girishpamarthi0515@gmail.com</t>
  </si>
  <si>
    <t>Prateek Chaudhuri</t>
  </si>
  <si>
    <t>prateek212141@gmail.com</t>
  </si>
  <si>
    <t>Palki Chawla</t>
  </si>
  <si>
    <t>palkichawla25@gmail.com</t>
  </si>
  <si>
    <t>1025170491</t>
  </si>
  <si>
    <t>chhabraprachi0@gmail.com</t>
  </si>
  <si>
    <t>Parth Dogra</t>
  </si>
  <si>
    <t>7266777</t>
  </si>
  <si>
    <t>parthdogra20@gmail.com</t>
  </si>
  <si>
    <t>Pgaba_be25@thapar.edu</t>
  </si>
  <si>
    <t>Pulkitgaba2007@gmail.com</t>
  </si>
  <si>
    <t>Pahulpreet Singh Gaggar</t>
  </si>
  <si>
    <t>pahulpreetps4@gmail.com</t>
  </si>
  <si>
    <t>Parth garg</t>
  </si>
  <si>
    <t>parthgarg54271@gmail.com</t>
  </si>
  <si>
    <t>gargpulkit2007@gmail.com</t>
  </si>
  <si>
    <t>7266778</t>
  </si>
  <si>
    <t>Piyush Garg</t>
  </si>
  <si>
    <t>Piyushgarg24965@gmail.com</t>
  </si>
  <si>
    <t>pulkitgarg747@gmail.com</t>
  </si>
  <si>
    <t>Pgarg6_be25@thapar.edu</t>
  </si>
  <si>
    <t>Pushp</t>
  </si>
  <si>
    <t>Pushpgarg1010@gmail.com</t>
  </si>
  <si>
    <t>gautampallavee718@gmail.com</t>
  </si>
  <si>
    <t>7266779</t>
  </si>
  <si>
    <t>Purva Goyal</t>
  </si>
  <si>
    <t>purvagoyal207@gmail.com</t>
  </si>
  <si>
    <t>Pgoyal3_be25@thapar.edu</t>
  </si>
  <si>
    <t>Pranav Goyal</t>
  </si>
  <si>
    <t>Parv Goyal</t>
  </si>
  <si>
    <t>parv.goyal232@gmail.com</t>
  </si>
  <si>
    <t>Pratham Goyal</t>
  </si>
  <si>
    <t>prathamgoyal32@gmail.com</t>
  </si>
  <si>
    <t>Parin Gupta</t>
  </si>
  <si>
    <t>7266780</t>
  </si>
  <si>
    <t>Pratham gupta</t>
  </si>
  <si>
    <t>guptapratham119@gmail.com</t>
  </si>
  <si>
    <t>Pushkar Gupta</t>
  </si>
  <si>
    <t>pushkargupta1712@gmail.com</t>
  </si>
  <si>
    <t>Palkin Gupta</t>
  </si>
  <si>
    <t>palksgupta23@gmail.com</t>
  </si>
  <si>
    <t>Panav Gupta</t>
  </si>
  <si>
    <t>panavg03@gmail.com</t>
  </si>
  <si>
    <t>Parth Gupta</t>
  </si>
  <si>
    <t>parthvarungupta2006@gmail.com</t>
  </si>
  <si>
    <t>7266781</t>
  </si>
  <si>
    <t>pragunguptasss@gmail.com</t>
  </si>
  <si>
    <t>prathamjeee2024@gmail.com</t>
  </si>
  <si>
    <t>Pranav Jain</t>
  </si>
  <si>
    <t>dedsecpj123@gmail.com</t>
  </si>
  <si>
    <t>Pranay Jain</t>
  </si>
  <si>
    <t>jainpranay674@gmail.com</t>
  </si>
  <si>
    <t>Pushkar Jain</t>
  </si>
  <si>
    <t>Pushkarjain164@gmail.com</t>
  </si>
  <si>
    <t>Puru Jain</t>
  </si>
  <si>
    <t>parulvineet77@gmail.com</t>
  </si>
  <si>
    <t>Pjain5_be25@thapar.edu</t>
  </si>
  <si>
    <t>Priyansh Jain</t>
  </si>
  <si>
    <t>7266782</t>
  </si>
  <si>
    <t>2611priyansh@gmail.com</t>
  </si>
  <si>
    <t>Pjain6_be25@thapar.edu</t>
  </si>
  <si>
    <t>Pranjal Jain</t>
  </si>
  <si>
    <t>Pjindal1_be25@thapar.edu</t>
  </si>
  <si>
    <t>Pratham Jindal</t>
  </si>
  <si>
    <t>Prathamjindal80@gmail.con</t>
  </si>
  <si>
    <t>Pjindal2_be25@thapar.edu</t>
  </si>
  <si>
    <t>Pancham Jindal</t>
  </si>
  <si>
    <t>Jindalpancham3484@gmail.com</t>
  </si>
  <si>
    <t>Pjindal3_be25@thapar.edu</t>
  </si>
  <si>
    <t>Parth Jindal</t>
  </si>
  <si>
    <t>parthpv31@gmail.com</t>
  </si>
  <si>
    <t>Prayas Jindal</t>
  </si>
  <si>
    <t>prayasjindal@icloud.com</t>
  </si>
  <si>
    <t>Priyanshu jindal</t>
  </si>
  <si>
    <t>priyanshujindal06@gmail.com</t>
  </si>
  <si>
    <t>7266783</t>
  </si>
  <si>
    <t>Pranav Kalal</t>
  </si>
  <si>
    <t>pranavkalal2007@gmail.com</t>
  </si>
  <si>
    <t>Panshul Kalra</t>
  </si>
  <si>
    <t>panshulkalra@gmail.com</t>
  </si>
  <si>
    <t>pkansal_be25@thapar.edu</t>
  </si>
  <si>
    <t>Parth kansal</t>
  </si>
  <si>
    <t>1025230015</t>
  </si>
  <si>
    <t>Priyanshe kaul</t>
  </si>
  <si>
    <t>priyanshekaul1@gmail.com</t>
  </si>
  <si>
    <t>Pkaur10_be25@thapar.edu</t>
  </si>
  <si>
    <t>Prabhleen kaur</t>
  </si>
  <si>
    <t>Prabhleensahu@gmail.com</t>
  </si>
  <si>
    <t>7266784</t>
  </si>
  <si>
    <t>Prabhsimran Kaur</t>
  </si>
  <si>
    <t>kaurprabhsimran7777@gmail.com</t>
  </si>
  <si>
    <t>Pkaur3_be25@thapar.edu</t>
  </si>
  <si>
    <t>Parineet Kaur</t>
  </si>
  <si>
    <t>Parneet Kaur</t>
  </si>
  <si>
    <t>parneet.k0210@gmail.com</t>
  </si>
  <si>
    <t>parneetmann05@gmail.com</t>
  </si>
  <si>
    <t>Pavneet Kaur</t>
  </si>
  <si>
    <t>pavneetk007@gmail.com</t>
  </si>
  <si>
    <t>7266785</t>
  </si>
  <si>
    <t>Prabhnoor Kaur</t>
  </si>
  <si>
    <t>pdhillon1305@gmail.com</t>
  </si>
  <si>
    <t>Kaushikprabal5@gmail.com</t>
  </si>
  <si>
    <t>pranavkhannakhanna11@gmail.com</t>
  </si>
  <si>
    <t>Parth Khatter</t>
  </si>
  <si>
    <t>parthkhatter525@gmail.com</t>
  </si>
  <si>
    <t>priyanshuchaturvedi8210@gmail.com</t>
  </si>
  <si>
    <t>7266786</t>
  </si>
  <si>
    <t>Parth Mahajan</t>
  </si>
  <si>
    <t>mahajanparth591@gmail.com</t>
  </si>
  <si>
    <t>Pranay Mathur</t>
  </si>
  <si>
    <t>pranaymathur1607@gmail.com</t>
  </si>
  <si>
    <t>Prakhar Mathur</t>
  </si>
  <si>
    <t>prakharmathur03@gmail.com</t>
  </si>
  <si>
    <t>Pmehrotra_be25@thapar.edu</t>
  </si>
  <si>
    <t>Param Narayan Mehrotra</t>
  </si>
  <si>
    <t>paramnarayanmehrotra.pnm@gmail.com</t>
  </si>
  <si>
    <t>7266787</t>
  </si>
  <si>
    <t>Parth Mittal</t>
  </si>
  <si>
    <t>partthhh29@gmail.com</t>
  </si>
  <si>
    <t>prathammittal189@gmail.com</t>
  </si>
  <si>
    <t>pulkitpandey6394@gmail.com</t>
  </si>
  <si>
    <t>Praneel Pandit</t>
  </si>
  <si>
    <t>1025030643</t>
  </si>
  <si>
    <t>praneelpandit.neel@gmail.com</t>
  </si>
  <si>
    <t>Parkhi</t>
  </si>
  <si>
    <t>Parkhiarora1@gmail.com</t>
  </si>
  <si>
    <t>7266788</t>
  </si>
  <si>
    <t>Pparpreet_be25@thapar.edu</t>
  </si>
  <si>
    <t>Parpreet</t>
  </si>
  <si>
    <t>parpreet08@gmail.com</t>
  </si>
  <si>
    <t>pradhumnpateriya@gmail.com</t>
  </si>
  <si>
    <t>Pranshu</t>
  </si>
  <si>
    <t>Pranshuirapental@gmail.com</t>
  </si>
  <si>
    <t>PARYASH PHOUGAT</t>
  </si>
  <si>
    <t>paryashphougat41@gmail.com</t>
  </si>
  <si>
    <t>7266789</t>
  </si>
  <si>
    <t>Ppranjal_be25@thapar.edu</t>
  </si>
  <si>
    <t>Pranjal</t>
  </si>
  <si>
    <t>Pranjalbabbar27@gmail.com</t>
  </si>
  <si>
    <t>praveer</t>
  </si>
  <si>
    <t>Prisha</t>
  </si>
  <si>
    <t>prishag0910@gmail.com</t>
  </si>
  <si>
    <t>Priya Bajwa</t>
  </si>
  <si>
    <t>bajwapriya91@gmail.com</t>
  </si>
  <si>
    <t>narangpulkit17@gmail.com</t>
  </si>
  <si>
    <t>7266790</t>
  </si>
  <si>
    <t>Pushpitaa70@gmail.com</t>
  </si>
  <si>
    <t>Prachi Rana</t>
  </si>
  <si>
    <t>prachii.rana3@gmail.com</t>
  </si>
  <si>
    <t>Purvi Rastogi</t>
  </si>
  <si>
    <t>rastogipurvi29@gmail.com</t>
  </si>
  <si>
    <t>Pratyush Rawat</t>
  </si>
  <si>
    <t>pratyush.rawat25@gmail.com</t>
  </si>
  <si>
    <t>Pravit Ror</t>
  </si>
  <si>
    <t>pravitror@gmail.com</t>
  </si>
  <si>
    <t>7266791</t>
  </si>
  <si>
    <t>Pravisha Sadhwani</t>
  </si>
  <si>
    <t>sadhwanipravisha@gmail.com</t>
  </si>
  <si>
    <t>pprabhsimar@gmail.com</t>
  </si>
  <si>
    <t>Pratyush Sehgal</t>
  </si>
  <si>
    <t>pratyush.sehgal.123@gmail.com</t>
  </si>
  <si>
    <t>Pragyan shankar</t>
  </si>
  <si>
    <t>Pragyanshankar144@gmail.com</t>
  </si>
  <si>
    <t>psharma_be25@thapar.edu</t>
  </si>
  <si>
    <t>Pratishtha Sharma</t>
  </si>
  <si>
    <t>1025230114</t>
  </si>
  <si>
    <t>7266792</t>
  </si>
  <si>
    <t>pratishtha10042007@gmail.com</t>
  </si>
  <si>
    <t>Psharma1_be25@thapar.edu</t>
  </si>
  <si>
    <t>Paras Sharma</t>
  </si>
  <si>
    <t>prashaantsharma07@gmail.com</t>
  </si>
  <si>
    <t>Pratishthit Sharma</t>
  </si>
  <si>
    <t>pratishthit.pragun@gmail.com</t>
  </si>
  <si>
    <t>Pryaang Sharma</t>
  </si>
  <si>
    <t>pryaangsharma@gmail.com</t>
  </si>
  <si>
    <t>7266793</t>
  </si>
  <si>
    <t>Parth Sharma</t>
  </si>
  <si>
    <t>Sharmaparth9728@gmail.com</t>
  </si>
  <si>
    <t>Pranvi Sharma</t>
  </si>
  <si>
    <t>sharmapranvi29@gmail.com</t>
  </si>
  <si>
    <t>parthsharma.works@gmail.com</t>
  </si>
  <si>
    <t>Prisha Sharma</t>
  </si>
  <si>
    <t>sprisha57@gmail.com</t>
  </si>
  <si>
    <t>Pradyumna Sharma</t>
  </si>
  <si>
    <t>7266794</t>
  </si>
  <si>
    <t>bharadwajshipra1983@gmail.com</t>
  </si>
  <si>
    <t>Prachi Sharma</t>
  </si>
  <si>
    <t>p4prachi03@gmail.com</t>
  </si>
  <si>
    <t>parth314159@gmail.com</t>
  </si>
  <si>
    <t>parthlordclg@gmail.com</t>
  </si>
  <si>
    <t>Pranav Sharma</t>
  </si>
  <si>
    <t>pranavvsharma21@gmail.com</t>
  </si>
  <si>
    <t>7266795</t>
  </si>
  <si>
    <t>shashanthtech@gmail.com</t>
  </si>
  <si>
    <t>Preetinder Singh</t>
  </si>
  <si>
    <t>4singh.in@gmail.com</t>
  </si>
  <si>
    <t>Psingh10_be25@thapar.edu</t>
  </si>
  <si>
    <t>Parth Singh</t>
  </si>
  <si>
    <t>parthjanghu13@gmail.com</t>
  </si>
  <si>
    <t>prabhaseessingh.in@gmail.com</t>
  </si>
  <si>
    <t>7266796</t>
  </si>
  <si>
    <t>prabhjotdeost131@gmail.com</t>
  </si>
  <si>
    <t>prabhjotsingh2006y@gmail.com</t>
  </si>
  <si>
    <t>Prabhmeet Singh</t>
  </si>
  <si>
    <t>prabhmeetsm@gmail.com</t>
  </si>
  <si>
    <t>Psingh19_be25@thapar.edu</t>
  </si>
  <si>
    <t>Prithvi Raj Singh</t>
  </si>
  <si>
    <t>prithvirajsingh.dev@gmail.com</t>
  </si>
  <si>
    <t>Paramveer Singh</t>
  </si>
  <si>
    <t>balle.param436@gmail.com</t>
  </si>
  <si>
    <t>Priya Singh</t>
  </si>
  <si>
    <t>priyasinghhhh108@gmail.com</t>
  </si>
  <si>
    <t>psg188200799@gmail.com</t>
  </si>
  <si>
    <t>Prabhpreet Singh</t>
  </si>
  <si>
    <t>7266797</t>
  </si>
  <si>
    <t>0123456910kaks@gmail.com</t>
  </si>
  <si>
    <t>Puneet Singh</t>
  </si>
  <si>
    <t>puneetsingh8083@gmail.com</t>
  </si>
  <si>
    <t>Pushppreet Singh</t>
  </si>
  <si>
    <t>dhimanpushp024@gmail.com</t>
  </si>
  <si>
    <t>parminderjeetsingh2008@gmail.com</t>
  </si>
  <si>
    <t>Parneet Singh</t>
  </si>
  <si>
    <t>parneetsinghdhami@gmail.com</t>
  </si>
  <si>
    <t>Priyanshi</t>
  </si>
  <si>
    <t>priyanshi07022007@gmail.com</t>
  </si>
  <si>
    <t>Parisiwach6@gmail.com</t>
  </si>
  <si>
    <t>7266798</t>
  </si>
  <si>
    <t>Pranya Soni</t>
  </si>
  <si>
    <t>pranyasoni@gmail.com</t>
  </si>
  <si>
    <t>Paridhi sood</t>
  </si>
  <si>
    <t>soodparuu@gmail.com</t>
  </si>
  <si>
    <t>Praatik Srivastava</t>
  </si>
  <si>
    <t>praatiksrivas@gmail.com</t>
  </si>
  <si>
    <t>Pragyansh Srivastava</t>
  </si>
  <si>
    <t>pragyanshsrivastava25@gmail.com</t>
  </si>
  <si>
    <t>thakurpratham3011@gmail.com</t>
  </si>
  <si>
    <t>Prapti Tiwari</t>
  </si>
  <si>
    <t>1025030701</t>
  </si>
  <si>
    <t>prapti.t5454@gmail.com</t>
  </si>
  <si>
    <t>Prisha Verma</t>
  </si>
  <si>
    <t>prishaverma2222@gmail.com</t>
  </si>
  <si>
    <t>7266799</t>
  </si>
  <si>
    <t>pvirk_be25@thapar.edu</t>
  </si>
  <si>
    <t>Prabhnoor Singh</t>
  </si>
  <si>
    <t>1025230003</t>
  </si>
  <si>
    <t>sprabhnoor289@gmail.com</t>
  </si>
  <si>
    <t>Ronak Agarwal</t>
  </si>
  <si>
    <t>ronakagarwal249@gmail.com</t>
  </si>
  <si>
    <t>radeshaggarwal@gmail.com</t>
  </si>
  <si>
    <t>Rudrakshi Aggarwal</t>
  </si>
  <si>
    <t>rudrakshiaokifaz@gmail.com</t>
  </si>
  <si>
    <t>raghav7.anand@gmail.com</t>
  </si>
  <si>
    <t>Ruhani arora</t>
  </si>
  <si>
    <t>7266801</t>
  </si>
  <si>
    <t>aroraruhani128@gmail.com</t>
  </si>
  <si>
    <t>Rarora2_be25@thapar.edu</t>
  </si>
  <si>
    <t>Rhea Arora</t>
  </si>
  <si>
    <t>Rheaarora700@gmail.com</t>
  </si>
  <si>
    <t>Rehan babu</t>
  </si>
  <si>
    <t>Rehanbabu2512@gmail.com</t>
  </si>
  <si>
    <t>Ripunj Bansal</t>
  </si>
  <si>
    <t>Ripunjbansal@gmail.com</t>
  </si>
  <si>
    <t>RAGHAV bansal</t>
  </si>
  <si>
    <t>bansalraghav651@gmail.com</t>
  </si>
  <si>
    <t>Rachit Bansal</t>
  </si>
  <si>
    <t>rachitbansal297@gmail.com</t>
  </si>
  <si>
    <t>7266802</t>
  </si>
  <si>
    <t>Rishabh Bansal</t>
  </si>
  <si>
    <t>rishabhbansal0907@gmail.com</t>
  </si>
  <si>
    <t>Raghav bhasin</t>
  </si>
  <si>
    <t>Rishabh Bisen</t>
  </si>
  <si>
    <t>bisenrishabh07@gmail.com</t>
  </si>
  <si>
    <t>Rapinderpreet Singh Brraich</t>
  </si>
  <si>
    <t>rapinderpreetbrraich@gmail.com</t>
  </si>
  <si>
    <t>Ravi Chandra Budhathoki</t>
  </si>
  <si>
    <t>ravichandrabudhathoki@gmail.com</t>
  </si>
  <si>
    <t>Raizel Chauhan</t>
  </si>
  <si>
    <t>chauhanraizel@gmail.com</t>
  </si>
  <si>
    <t>7266803</t>
  </si>
  <si>
    <t>Rakshit chauhan</t>
  </si>
  <si>
    <t>rakshitchauhan223@gmail.com</t>
  </si>
  <si>
    <t>RushiL Chawla</t>
  </si>
  <si>
    <t>rushilchawla3@gmail.com</t>
  </si>
  <si>
    <t>Ryka Chopra</t>
  </si>
  <si>
    <t>chopraryka@gmail.com</t>
  </si>
  <si>
    <t>Ridhima Chopra</t>
  </si>
  <si>
    <t>Ridhima chopra</t>
  </si>
  <si>
    <t>ridhimachopra365@gmail.com</t>
  </si>
  <si>
    <t>Rishab chugh</t>
  </si>
  <si>
    <t>chughrishab29@gmail.com</t>
  </si>
  <si>
    <t>7266804</t>
  </si>
  <si>
    <t>rishabhdchugh@gmail.com</t>
  </si>
  <si>
    <t>Rishika Dhar</t>
  </si>
  <si>
    <t>rishikadhar11@gmail.com</t>
  </si>
  <si>
    <t>Rudraksh dhingra</t>
  </si>
  <si>
    <t>rudrakshdhingra089@gmail.com</t>
  </si>
  <si>
    <t>rdingra_be25@gmail.com</t>
  </si>
  <si>
    <t>Raghav Duggal</t>
  </si>
  <si>
    <t>raghavduggal25@gmail.com</t>
  </si>
  <si>
    <t>Rajveer Gajwani</t>
  </si>
  <si>
    <t>gajwaniveer07@gmail.com</t>
  </si>
  <si>
    <t>Rachit Garg</t>
  </si>
  <si>
    <t>7266805</t>
  </si>
  <si>
    <t>rachitgarg8989@gmail.com</t>
  </si>
  <si>
    <t>Rishit Garg</t>
  </si>
  <si>
    <t>rishitalig@gmail.com</t>
  </si>
  <si>
    <t>Rghoshal_be25@thapar.edu</t>
  </si>
  <si>
    <t>Rajpreet Ghoshal</t>
  </si>
  <si>
    <t>Ghoshalraj31.com@gmail.com</t>
  </si>
  <si>
    <t>rohangogar2020@gmail.com</t>
  </si>
  <si>
    <t>Raghav Gour</t>
  </si>
  <si>
    <t>rghvgour2617@gmail.com</t>
  </si>
  <si>
    <t>Raghav Goyal</t>
  </si>
  <si>
    <t>goyalraghav396@gmail.com</t>
  </si>
  <si>
    <t>7266806</t>
  </si>
  <si>
    <t>goyalraghav916@gmail.com</t>
  </si>
  <si>
    <t>Rishav Goyal</t>
  </si>
  <si>
    <t>Rgulati_be25@thapar.edu</t>
  </si>
  <si>
    <t>Raahat Gulati</t>
  </si>
  <si>
    <t>Raahar.pkl11@gmail.com</t>
  </si>
  <si>
    <t>2L12</t>
  </si>
  <si>
    <t>Ram gupta</t>
  </si>
  <si>
    <t>ramgupta1702@gmail.com</t>
  </si>
  <si>
    <t>Ruhaan gupta</t>
  </si>
  <si>
    <t>ruhaangupta2007@gmail.com</t>
  </si>
  <si>
    <t>Ruwan Gupta</t>
  </si>
  <si>
    <t>7266807</t>
  </si>
  <si>
    <t>ruwangupta@gmail.com</t>
  </si>
  <si>
    <t>Ritvik Gupta</t>
  </si>
  <si>
    <t>ritggzz@gmail.com</t>
  </si>
  <si>
    <t>Rgupta7_be25@thapar.edu</t>
  </si>
  <si>
    <t>Ridhi Gupta</t>
  </si>
  <si>
    <t>Ridhig0607@gmail.com</t>
  </si>
  <si>
    <t>rishideepsinghduggal6@gmail.com</t>
  </si>
  <si>
    <t>Rishi Deep Singh Duggal</t>
  </si>
  <si>
    <t>7025000123</t>
  </si>
  <si>
    <t>2G12</t>
  </si>
  <si>
    <t>Rijul Jain</t>
  </si>
  <si>
    <t>rijuljain1000@gmail.com</t>
  </si>
  <si>
    <t>7266808</t>
  </si>
  <si>
    <t>Rishita jain</t>
  </si>
  <si>
    <t>Rjain5_be25@thapar.edu</t>
  </si>
  <si>
    <t>Ruchir Jain</t>
  </si>
  <si>
    <t>ruchirjainkota@gmail.com</t>
  </si>
  <si>
    <t>ruhaanjn@gmail.com</t>
  </si>
  <si>
    <t>Rishab Jain</t>
  </si>
  <si>
    <t>rishabj.jain08@gmail.com</t>
  </si>
  <si>
    <t>7266809</t>
  </si>
  <si>
    <t>Rjindal_be25@thapar.edu</t>
  </si>
  <si>
    <t>Rhythm Jindal</t>
  </si>
  <si>
    <t>Jindalrhythm27@gmail.com</t>
  </si>
  <si>
    <t>ridhanshujindal@gmail.com</t>
  </si>
  <si>
    <t>Rhythm Kapoor</t>
  </si>
  <si>
    <t>kapoorrhythm.1320@gmail.com</t>
  </si>
  <si>
    <t>rkapuria_be25@gmail.com</t>
  </si>
  <si>
    <t>Raghav Kapuria</t>
  </si>
  <si>
    <t>kapuriaraghav@gmail.com</t>
  </si>
  <si>
    <t>Raghav kashyap</t>
  </si>
  <si>
    <t>raghav.kashyap8123@gmail.com</t>
  </si>
  <si>
    <t>7266810</t>
  </si>
  <si>
    <t>Ramneak Kaur</t>
  </si>
  <si>
    <t>ramneakk@gmail.com</t>
  </si>
  <si>
    <t>Ravaljot kaur</t>
  </si>
  <si>
    <t>ravaljotkaur9@gmail.com</t>
  </si>
  <si>
    <t>Ravneet Kaur</t>
  </si>
  <si>
    <t>ravu9814@gmail.com</t>
  </si>
  <si>
    <t>Rkaur4_be25@thapar.edu</t>
  </si>
  <si>
    <t>Ramandeep Kaur</t>
  </si>
  <si>
    <t>2006meek@gmail.com</t>
  </si>
  <si>
    <t>7266811</t>
  </si>
  <si>
    <t>Rayhan Ullah Khan</t>
  </si>
  <si>
    <t>Rayhanuk@gmail.com</t>
  </si>
  <si>
    <t>Rohan Khanna</t>
  </si>
  <si>
    <t>khannarohan49@gmail.com</t>
  </si>
  <si>
    <t>Ryan Mathew Kottoor</t>
  </si>
  <si>
    <t>Ryanmathew449@gmail.com</t>
  </si>
  <si>
    <t>Ramya Kukreja</t>
  </si>
  <si>
    <t>ramyakukreja555@gmail.com</t>
  </si>
  <si>
    <t>Ritik Kumar</t>
  </si>
  <si>
    <t>ritik727452@gmail.com</t>
  </si>
  <si>
    <t>7266812</t>
  </si>
  <si>
    <t>Rkumar2_be25@thapar.edu</t>
  </si>
  <si>
    <t>Rohak kumar</t>
  </si>
  <si>
    <t>rohak1210@gmail.com</t>
  </si>
  <si>
    <t>Renee Kuthiala</t>
  </si>
  <si>
    <t>reneekuthiala@gmail.com</t>
  </si>
  <si>
    <t>Rajpreet Lagah</t>
  </si>
  <si>
    <t>dxrkyy69@gmail.com</t>
  </si>
  <si>
    <t>Ridham</t>
  </si>
  <si>
    <t>Ridhamk51@gmail.com</t>
  </si>
  <si>
    <t>Rehmat Kaur Mann</t>
  </si>
  <si>
    <t>7266813</t>
  </si>
  <si>
    <t>Rajat Manro</t>
  </si>
  <si>
    <t>rmehta_be25@thapar.edu</t>
  </si>
  <si>
    <t>Ronit Mehta</t>
  </si>
  <si>
    <t>1025230001</t>
  </si>
  <si>
    <t>ronit.s.mehta@gmail.com</t>
  </si>
  <si>
    <t>Rashil Miglani</t>
  </si>
  <si>
    <t>rashilmiglani17@gmail.com</t>
  </si>
  <si>
    <t>Rachit Mittal</t>
  </si>
  <si>
    <t>rachitmittal1618@gmail.com</t>
  </si>
  <si>
    <t>7266814</t>
  </si>
  <si>
    <t>Raunakjeet Singh Nagpal</t>
  </si>
  <si>
    <t>Ramanuj Naithani</t>
  </si>
  <si>
    <t>ramanujnaithani@gmail.com</t>
  </si>
  <si>
    <t>Ridhima nanda</t>
  </si>
  <si>
    <t>nandaridhima9@gmail.com</t>
  </si>
  <si>
    <t>7266815</t>
  </si>
  <si>
    <t>Rashpreet Singh Pandi</t>
  </si>
  <si>
    <t>rspandi724@gmail.com</t>
  </si>
  <si>
    <t>Ravindranath Patchimalla</t>
  </si>
  <si>
    <t>Ravi208820@gmail.com</t>
  </si>
  <si>
    <t>Ridhi Puri</t>
  </si>
  <si>
    <t>itsridhipuri@gmail.com</t>
  </si>
  <si>
    <t>radha18.singla@gmail.com</t>
  </si>
  <si>
    <t>radhikakinger32@gmail.com</t>
  </si>
  <si>
    <t>7266816</t>
  </si>
  <si>
    <t>Raghav</t>
  </si>
  <si>
    <t>raghavthegreat52@gmail.com</t>
  </si>
  <si>
    <t>Raghunandan</t>
  </si>
  <si>
    <t>raghunandan0707@gmail.com</t>
  </si>
  <si>
    <t>Rahat</t>
  </si>
  <si>
    <t>ahluwaliarahat903@gmail.com</t>
  </si>
  <si>
    <t>Rajvansh</t>
  </si>
  <si>
    <t>rajvanshgill07@gmail.com</t>
  </si>
  <si>
    <t>Rashmi</t>
  </si>
  <si>
    <t>rashmisingh22503@gmail.com</t>
  </si>
  <si>
    <t>Reyhan</t>
  </si>
  <si>
    <t>rh11reyhan@gmail.com</t>
  </si>
  <si>
    <t>Ridhima</t>
  </si>
  <si>
    <t>7266817</t>
  </si>
  <si>
    <t>Ridhimagarg0009@gmail.com</t>
  </si>
  <si>
    <t>Rohan Nayyar</t>
  </si>
  <si>
    <t>rohan.nayyar1902@gmail.com</t>
  </si>
  <si>
    <t>Roshni</t>
  </si>
  <si>
    <t>roshnitayalrt@gmail.com</t>
  </si>
  <si>
    <t>Ritaban Roy</t>
  </si>
  <si>
    <t>royritaban9@gmail.com</t>
  </si>
  <si>
    <t>7266818</t>
  </si>
  <si>
    <t>Ruhani</t>
  </si>
  <si>
    <t>ruhanibhateja01@gmail.com</t>
  </si>
  <si>
    <t>Rsaini_be25@thapar.edu</t>
  </si>
  <si>
    <t>Rajnandinisaini05@gmail.com</t>
  </si>
  <si>
    <t>rudra951753@gmail.com</t>
  </si>
  <si>
    <t>surindershastri08@gmail.com</t>
  </si>
  <si>
    <t>Ronit Sethi</t>
  </si>
  <si>
    <t>sethironit2203@gmail.com</t>
  </si>
  <si>
    <t>Rayan Shaaly</t>
  </si>
  <si>
    <t>1025030325</t>
  </si>
  <si>
    <t>rayanshaaly65@gmail.com</t>
  </si>
  <si>
    <t>Rehan Shah</t>
  </si>
  <si>
    <t>rehanshah5708@gmail.com</t>
  </si>
  <si>
    <t>7266819</t>
  </si>
  <si>
    <t>Riddhi Sharma</t>
  </si>
  <si>
    <t>riddhisharma4066@gmail.com</t>
  </si>
  <si>
    <t>Raghav sharma</t>
  </si>
  <si>
    <t>raghavraniyal23@gmail.com</t>
  </si>
  <si>
    <t>Rishank Sharma</t>
  </si>
  <si>
    <t>rishanksharma04524@gmail.com</t>
  </si>
  <si>
    <t>Rishit Sharma</t>
  </si>
  <si>
    <t>rishitsharma649@gmail.com</t>
  </si>
  <si>
    <t>sharma.ridhi940@gmail.com</t>
  </si>
  <si>
    <t>Rudraans sharrma</t>
  </si>
  <si>
    <t>rudraanssharrma@gmail.com</t>
  </si>
  <si>
    <t>7266820</t>
  </si>
  <si>
    <t>Rudra Pratap Singh</t>
  </si>
  <si>
    <t>Ravitej Singh</t>
  </si>
  <si>
    <t>ravitejsingh2925@gmail.com</t>
  </si>
  <si>
    <t>Ravneet singh</t>
  </si>
  <si>
    <t>ravneetdhamija48@gmail.com</t>
  </si>
  <si>
    <t>Reet Singh</t>
  </si>
  <si>
    <t>reetsinghwork@gmail.com</t>
  </si>
  <si>
    <t>Riddhima Singh</t>
  </si>
  <si>
    <t>riddhimasingh.one@gmail.com</t>
  </si>
  <si>
    <t>7266821</t>
  </si>
  <si>
    <t>Riya Singh</t>
  </si>
  <si>
    <t>riyasingh17207@gmail.com</t>
  </si>
  <si>
    <t>ryunrandhawa11@gmail.com</t>
  </si>
  <si>
    <t>Rajbant Singh</t>
  </si>
  <si>
    <t>rajbantsingh03@gmail.com</t>
  </si>
  <si>
    <t>Rsingh6_be25@thapar.edu</t>
  </si>
  <si>
    <t>Ramanbir Singh</t>
  </si>
  <si>
    <t>Ramanvirsingh4@gmail.com</t>
  </si>
  <si>
    <t>Ranvir Singh</t>
  </si>
  <si>
    <t>ratturanvir0@gmail.com</t>
  </si>
  <si>
    <t>7266822</t>
  </si>
  <si>
    <t>Rsingha_be25@thapar.edu</t>
  </si>
  <si>
    <t>Rajib Singha</t>
  </si>
  <si>
    <t>Singharajib997@gmail.com</t>
  </si>
  <si>
    <t>Raghav Singla</t>
  </si>
  <si>
    <t>raghavsingla2929@gmail.com</t>
  </si>
  <si>
    <t>Raghav Tayal</t>
  </si>
  <si>
    <t>raghavtayal80@gmail.com</t>
  </si>
  <si>
    <t>7266823</t>
  </si>
  <si>
    <t>realrudranshthakur12@gmail.com</t>
  </si>
  <si>
    <t>Ritika Tiwari</t>
  </si>
  <si>
    <t>tiwariritika240@gmail.com</t>
  </si>
  <si>
    <t>Reewaj</t>
  </si>
  <si>
    <t>r33waj@gmail.com</t>
  </si>
  <si>
    <t>Radhika Tyagi</t>
  </si>
  <si>
    <t>radhikatyagi04042007@gmail.com</t>
  </si>
  <si>
    <t>rtyagi1_be25@thapar.edu</t>
  </si>
  <si>
    <t>Rishit Tyagi</t>
  </si>
  <si>
    <t>1025230121</t>
  </si>
  <si>
    <t>tyagi.rishit0504@gmail.com</t>
  </si>
  <si>
    <t>Raunak verma</t>
  </si>
  <si>
    <t>raunak24verma@gmail.com</t>
  </si>
  <si>
    <t>7266824</t>
  </si>
  <si>
    <t>Rishab Verma</t>
  </si>
  <si>
    <t>rishabv2200@gmail.com</t>
  </si>
  <si>
    <t>Rishit Vij</t>
  </si>
  <si>
    <t>Rishitvij22@gmail.com</t>
  </si>
  <si>
    <t>raghavvyasjpr@gmail.com</t>
  </si>
  <si>
    <t>Roopjot Singh Walia</t>
  </si>
  <si>
    <t>Ravi Kumar Yadav</t>
  </si>
  <si>
    <t>Rayhan Zulfikar</t>
  </si>
  <si>
    <t>Swastik Agarwal</t>
  </si>
  <si>
    <t>swastik.new.17@gmail.com</t>
  </si>
  <si>
    <t>7266825</t>
  </si>
  <si>
    <t>Sparsh Agarwal</t>
  </si>
  <si>
    <t>sparsh.ag28sa@gmail.com</t>
  </si>
  <si>
    <t>Shivain Amit Aggarwal</t>
  </si>
  <si>
    <t>ironmanshivain33@gmail.com</t>
  </si>
  <si>
    <t>shaleenaggarwal11@gmail.com</t>
  </si>
  <si>
    <t>Soham Aggarwal</t>
  </si>
  <si>
    <t>sohamaggarwal007@gmail.com</t>
  </si>
  <si>
    <t>ishadabyeager@gmail.com</t>
  </si>
  <si>
    <t>Saksham Ahuja</t>
  </si>
  <si>
    <t>7266826</t>
  </si>
  <si>
    <t>Sanyam Ahuja</t>
  </si>
  <si>
    <t>s.ahuja.alwar@gmail.com</t>
  </si>
  <si>
    <t>Shaunak Ahuja</t>
  </si>
  <si>
    <t>shaunakahuja9@gmail.com</t>
  </si>
  <si>
    <t>Sameep_be25@thapar.edu</t>
  </si>
  <si>
    <t>Sameep</t>
  </si>
  <si>
    <t>Sameep1206@gmail.com</t>
  </si>
  <si>
    <t>Sarang Anand</t>
  </si>
  <si>
    <t>dreemurz42006@gmail.com</t>
  </si>
  <si>
    <t>Shubham Arora</t>
  </si>
  <si>
    <t>rmlsarora123@gmail.com</t>
  </si>
  <si>
    <t>7266827</t>
  </si>
  <si>
    <t>Shlok Arora</t>
  </si>
  <si>
    <t>Sbahri_be25@thapar.edu</t>
  </si>
  <si>
    <t>Sejal Bahri</t>
  </si>
  <si>
    <t>Saksham Bakshi</t>
  </si>
  <si>
    <t>sakshambakshi4021@gmail.com</t>
  </si>
  <si>
    <t>Sbansal1_be25@thapar.edu</t>
  </si>
  <si>
    <t>sahilbnsl0603312@gmail.com</t>
  </si>
  <si>
    <t>Sifat Kaur Bedi</t>
  </si>
  <si>
    <t>7266828</t>
  </si>
  <si>
    <t>sifatsja@gmail.com</t>
  </si>
  <si>
    <t>Shakshyam Behera</t>
  </si>
  <si>
    <t>shakshyambehera@gmail.com</t>
  </si>
  <si>
    <t>Shreeya Bhardwaj</t>
  </si>
  <si>
    <t>shreeyabhardwaj2421@gmail.com</t>
  </si>
  <si>
    <t>Shreyans Bhargava</t>
  </si>
  <si>
    <t>bharshreyans27@gmail.com</t>
  </si>
  <si>
    <t>Shreya Bhattacharya</t>
  </si>
  <si>
    <t>shreya12022007@gmail.com</t>
  </si>
  <si>
    <t>7266829</t>
  </si>
  <si>
    <t>Sneha Bhutani</t>
  </si>
  <si>
    <t>snehabhutani28@gmail.com</t>
  </si>
  <si>
    <t>Schadda_be25@thapar.edu</t>
  </si>
  <si>
    <t>Saksham chadda</t>
  </si>
  <si>
    <t>Sakshamchadda005@gmail.com</t>
  </si>
  <si>
    <t>chanana.satyam777@gmail.com</t>
  </si>
  <si>
    <t>Supratik Chandra</t>
  </si>
  <si>
    <t>supratik111chandra@gmail.com</t>
  </si>
  <si>
    <t>Shubh Chaturvedi</t>
  </si>
  <si>
    <t>shubhchaturvedi3505@gmail.com</t>
  </si>
  <si>
    <t>7266830</t>
  </si>
  <si>
    <t>sahil chawla</t>
  </si>
  <si>
    <t>Schawla2_be25@thapar.edu</t>
  </si>
  <si>
    <t>Sarvjeet Singh chawla</t>
  </si>
  <si>
    <t>Sarvjeetsingh94163@gmail.com</t>
  </si>
  <si>
    <t>Schopra_be25@thapar.edu</t>
  </si>
  <si>
    <t>samridhchopra07@gmail.com</t>
  </si>
  <si>
    <t>Sunidhi Chowdhary</t>
  </si>
  <si>
    <t>sunidhich25@gmail.com</t>
  </si>
  <si>
    <t>7266831</t>
  </si>
  <si>
    <t>schugh_be25@thapar.edu</t>
  </si>
  <si>
    <t>Sohinii Chugh</t>
  </si>
  <si>
    <t>1025230136</t>
  </si>
  <si>
    <t>sohiniichugh@gmail.com</t>
  </si>
  <si>
    <t>souradeep052007@gmail.com</t>
  </si>
  <si>
    <t>swikar000@gmail.com</t>
  </si>
  <si>
    <t>Sdhanju_be25@thapar.edu</t>
  </si>
  <si>
    <t>sargun singh</t>
  </si>
  <si>
    <t>Sargunsinghhh@gmail.com</t>
  </si>
  <si>
    <t>7266832</t>
  </si>
  <si>
    <t>Shaveta</t>
  </si>
  <si>
    <t>shavetadhawan36@gmail.com</t>
  </si>
  <si>
    <t>Sukhman Dhiman</t>
  </si>
  <si>
    <t>Sukhmandhiman777@gmail.com</t>
  </si>
  <si>
    <t>Saarang dhiman</t>
  </si>
  <si>
    <t>Sarthak.raj2007@gmail.com</t>
  </si>
  <si>
    <t>Saksham Durangal</t>
  </si>
  <si>
    <t>7266833</t>
  </si>
  <si>
    <t>shxrey7@gmail.com</t>
  </si>
  <si>
    <t>Sgagneja_be25@thapar.edu</t>
  </si>
  <si>
    <t>MLnerdfinalboss@gmail.com</t>
  </si>
  <si>
    <t>sgarg_be25@thapar.edu</t>
  </si>
  <si>
    <t>shivam garg</t>
  </si>
  <si>
    <t>703305</t>
  </si>
  <si>
    <t>shivamgarg4621@gmail.com</t>
  </si>
  <si>
    <t>Sgarg1_be25@thapar.edu</t>
  </si>
  <si>
    <t>Sujal garg</t>
  </si>
  <si>
    <t>Gargsujal991@gmail.com</t>
  </si>
  <si>
    <t>Shivansh</t>
  </si>
  <si>
    <t>shivanshsg55@gmail.com</t>
  </si>
  <si>
    <t>7266834</t>
  </si>
  <si>
    <t>Swastik Garg</t>
  </si>
  <si>
    <t>swastikgarg87@gmail.com</t>
  </si>
  <si>
    <t>Shubh garg</t>
  </si>
  <si>
    <t>gargshubh1112@gmail.com</t>
  </si>
  <si>
    <t>Saanvi Garg</t>
  </si>
  <si>
    <t>saanvigarg550@gmail.com</t>
  </si>
  <si>
    <t>oshiv0315@gmail.com</t>
  </si>
  <si>
    <t>skandh garg</t>
  </si>
  <si>
    <t>skandhgarg1691@gmail.com</t>
  </si>
  <si>
    <t>7266835</t>
  </si>
  <si>
    <t>Saksham Garg</t>
  </si>
  <si>
    <t>sakshamgarg116.2013@gmail.com</t>
  </si>
  <si>
    <t>Samay garg</t>
  </si>
  <si>
    <t>samay9g@gmail.com</t>
  </si>
  <si>
    <t>Sgarg7_be25@thapar.edu</t>
  </si>
  <si>
    <t>Sanchit Garg</t>
  </si>
  <si>
    <t>Sanchitgargsoldier@gmail.com</t>
  </si>
  <si>
    <t>Sgarg8_be25@thapar.edu</t>
  </si>
  <si>
    <t>Shaksham garg</t>
  </si>
  <si>
    <t>shaksham072@gmail.com</t>
  </si>
  <si>
    <t>Saksham Gautam</t>
  </si>
  <si>
    <t>7266836</t>
  </si>
  <si>
    <t>sakshamgautam.sg14@gmail.com</t>
  </si>
  <si>
    <t>Swarnashree Ghosh</t>
  </si>
  <si>
    <t>swarnashreeghosh6@gmail.com</t>
  </si>
  <si>
    <t>Swayam girdhar</t>
  </si>
  <si>
    <t>S22138173@gmail.com</t>
  </si>
  <si>
    <t>shivanggoel2707@gmail.com</t>
  </si>
  <si>
    <t>Sanchi Goel</t>
  </si>
  <si>
    <t>sanchigoel2007@gmail.com</t>
  </si>
  <si>
    <t>7266837</t>
  </si>
  <si>
    <t>Shaurya Goel</t>
  </si>
  <si>
    <t>shauryagoel32@gmail.com</t>
  </si>
  <si>
    <t>Sgoyal_be25@thapar.edu</t>
  </si>
  <si>
    <t>Siya Goyal</t>
  </si>
  <si>
    <t>Goyalsiya68@gmail.com</t>
  </si>
  <si>
    <t>Saanvi Goyal</t>
  </si>
  <si>
    <t>saanvi.goyal204@gmail.com</t>
  </si>
  <si>
    <t>Shourya Goyal</t>
  </si>
  <si>
    <t>Shouryagoyal0@gmail.com</t>
  </si>
  <si>
    <t>7266838</t>
  </si>
  <si>
    <t>Sumitgoyll7@gmail.com</t>
  </si>
  <si>
    <t>Saksham Grover</t>
  </si>
  <si>
    <t>1025030267</t>
  </si>
  <si>
    <t>gulatisaksham07@gmail.com</t>
  </si>
  <si>
    <t>Shubh Gulati</t>
  </si>
  <si>
    <t>shubhgulati786@gmail.com</t>
  </si>
  <si>
    <t>7266839</t>
  </si>
  <si>
    <t>Sgumber_be25@thapar.edu</t>
  </si>
  <si>
    <t>Sanyam Gumber</t>
  </si>
  <si>
    <t>Sanyamgumber15@gmail.com</t>
  </si>
  <si>
    <t>smritigupta8312@gmail.com</t>
  </si>
  <si>
    <t>Saloni Gupta</t>
  </si>
  <si>
    <t>rg0716600@gmail.com</t>
  </si>
  <si>
    <t>7266840</t>
  </si>
  <si>
    <t>Samkitgupta394@gmail.com</t>
  </si>
  <si>
    <t>Sarthak Gupta</t>
  </si>
  <si>
    <t>sarthakgupta7767@gmail.com</t>
  </si>
  <si>
    <t>Shivam Gupta</t>
  </si>
  <si>
    <t>shivamguptacoc@gmail.com</t>
  </si>
  <si>
    <t>Srishti Gupta</t>
  </si>
  <si>
    <t>srishtigupta1909@gmail.com</t>
  </si>
  <si>
    <t>Shobhit Gupta</t>
  </si>
  <si>
    <t>1025230073</t>
  </si>
  <si>
    <t>shravangupta445@gmail.com</t>
  </si>
  <si>
    <t>7266842</t>
  </si>
  <si>
    <t>Samartha Gurtu</t>
  </si>
  <si>
    <t>samarthagurtu18@gmail.com</t>
  </si>
  <si>
    <t>Suswagattom Hazra</t>
  </si>
  <si>
    <t>suswagattom.hazra.2021@gmail.com</t>
  </si>
  <si>
    <t>Sanchita Jain</t>
  </si>
  <si>
    <t>sanchitajain018@gmail.com</t>
  </si>
  <si>
    <t>Sjain10_be25@thapar.edu</t>
  </si>
  <si>
    <t>Shaurya Jain</t>
  </si>
  <si>
    <t>Shauryajain5701@gmail.com</t>
  </si>
  <si>
    <t>Siya jain</t>
  </si>
  <si>
    <t>siyajain116@gmail.com</t>
  </si>
  <si>
    <t>7267843</t>
  </si>
  <si>
    <t>Sarthak Jain</t>
  </si>
  <si>
    <t>Sarthakjain9582@gmail.com</t>
  </si>
  <si>
    <t>Samrath Singh</t>
  </si>
  <si>
    <t>Samrathsingh600@gmail.com</t>
  </si>
  <si>
    <t>Sjham_be25@thapar.edu</t>
  </si>
  <si>
    <t>Sakshi Jham</t>
  </si>
  <si>
    <t>1025170075</t>
  </si>
  <si>
    <t>sakshijham2@gmail.com</t>
  </si>
  <si>
    <t>Saksham Jindal</t>
  </si>
  <si>
    <t>sakshamjindal3012@gmail.com</t>
  </si>
  <si>
    <t>Siddhant Jindal</t>
  </si>
  <si>
    <t>7267844</t>
  </si>
  <si>
    <t>siddhantjindal72@gmail.com</t>
  </si>
  <si>
    <t>Sarmandeep Singh kahlon</t>
  </si>
  <si>
    <t>Sarmandeepkalon43@Gmail.com</t>
  </si>
  <si>
    <t>Sakshi Kanwar</t>
  </si>
  <si>
    <t>sakshiikanwarr@gmail.com</t>
  </si>
  <si>
    <t>Shreshtha Kapoor</t>
  </si>
  <si>
    <t>shreshthak2@gmail.com</t>
  </si>
  <si>
    <t>Shashwat Karn</t>
  </si>
  <si>
    <t>shashwatkarn06@gmail.com</t>
  </si>
  <si>
    <t>Shubham Karwal</t>
  </si>
  <si>
    <t>shubham13hi@gmail.com</t>
  </si>
  <si>
    <t>Simarjot Kaur</t>
  </si>
  <si>
    <t>2006jotsimar@gmail.com</t>
  </si>
  <si>
    <t>Skaur1_be25@thapar.edu</t>
  </si>
  <si>
    <t>Sargampreet Kaur</t>
  </si>
  <si>
    <t>Kaursargampreet06@gmail.com</t>
  </si>
  <si>
    <t>Skaur10_be25@thapar.edu</t>
  </si>
  <si>
    <t>Shubhneet Kaur</t>
  </si>
  <si>
    <t>Shubhneetkaur26@gmail.com</t>
  </si>
  <si>
    <t>spkaur.ajs@gmail.com</t>
  </si>
  <si>
    <t>Sukhmanpreet Kaur</t>
  </si>
  <si>
    <t>Sukhmanpreet3907@gmail.com</t>
  </si>
  <si>
    <t>Sukhmanpreetakasuzy@gmail.com</t>
  </si>
  <si>
    <t>Samreen Kaur</t>
  </si>
  <si>
    <t>samreenkaur598@gmail.com</t>
  </si>
  <si>
    <t>Sonampreet kaur</t>
  </si>
  <si>
    <t>ksonampreet9@gmail.com</t>
  </si>
  <si>
    <t>swaraich434@gmail.com</t>
  </si>
  <si>
    <t>Skaur5_be25@thapar.edu</t>
  </si>
  <si>
    <t>Sidakpreet kaur</t>
  </si>
  <si>
    <t>sidakpreetk310@gmail.com</t>
  </si>
  <si>
    <t>Sachleen Kaur</t>
  </si>
  <si>
    <t>sachleenk310507@gmail.com</t>
  </si>
  <si>
    <t>Simery</t>
  </si>
  <si>
    <t>kaursimerleen16@gmail.com</t>
  </si>
  <si>
    <t>Sargun Kaur</t>
  </si>
  <si>
    <t>sargun24kamboj@gmail.com</t>
  </si>
  <si>
    <t>itz.suhan01@gmail.com</t>
  </si>
  <si>
    <t>Sanay Khanna</t>
  </si>
  <si>
    <t>sanaykhannask@gmail.com</t>
  </si>
  <si>
    <t>98885 80805</t>
  </si>
  <si>
    <t>Sarah Khanna</t>
  </si>
  <si>
    <t>sarahkhanna15@gmail.com</t>
  </si>
  <si>
    <t>Savya Khanna</t>
  </si>
  <si>
    <t>savyakhanna@gmail.com</t>
  </si>
  <si>
    <t>Seerat Kharbanda</t>
  </si>
  <si>
    <t>Shubham</t>
  </si>
  <si>
    <t>khatrishubham16437@gmail.com</t>
  </si>
  <si>
    <t>Shreya Khosla</t>
  </si>
  <si>
    <t>khoslashreya2007@gmail.com</t>
  </si>
  <si>
    <t>sahilkhunger36@gmail.com</t>
  </si>
  <si>
    <t>Shaurya Kochhar</t>
  </si>
  <si>
    <t>shauryakochhar01@gmail.com</t>
  </si>
  <si>
    <t>Siddhartha Kumar</t>
  </si>
  <si>
    <t>Sankalp Kumar</t>
  </si>
  <si>
    <t>sankalp.kumar3216@gmail.com</t>
  </si>
  <si>
    <t>Shubreet lamba</t>
  </si>
  <si>
    <t>shubreetlamba@gmail.com</t>
  </si>
  <si>
    <t>Sachit Mahajan</t>
  </si>
  <si>
    <t>sachitmahajan007@gmail.com</t>
  </si>
  <si>
    <t>Saksham Mahajan</t>
  </si>
  <si>
    <t>sakshammahajan68@gmail.com</t>
  </si>
  <si>
    <t>Samridh Mahajan</t>
  </si>
  <si>
    <t>samridhm618@gmail.com</t>
  </si>
  <si>
    <t>Sparsh Maheshwari</t>
  </si>
  <si>
    <t>sparshm.150807@gmail.com</t>
  </si>
  <si>
    <t>Saksham Makker</t>
  </si>
  <si>
    <t>makkarsaksham232@gmail.com</t>
  </si>
  <si>
    <t>Smalhotra_be25@thapar.edu</t>
  </si>
  <si>
    <t>Shaurya malhotra</t>
  </si>
  <si>
    <t>Shauryamalhotra957@gmail.com</t>
  </si>
  <si>
    <t>smallick_be25@thapar.edu</t>
  </si>
  <si>
    <t>Satya Saijeet Mallick</t>
  </si>
  <si>
    <t>1025230021</t>
  </si>
  <si>
    <t>seetalk1974@gmail.com</t>
  </si>
  <si>
    <t>Saloni Manohar</t>
  </si>
  <si>
    <t>salonimanohar051207@gmail.com</t>
  </si>
  <si>
    <t>Shreya Mansoorie</t>
  </si>
  <si>
    <t>shreyamansoorie@gmail.com</t>
  </si>
  <si>
    <t>Sunandan Marwaha</t>
  </si>
  <si>
    <t>marwaha.sunandan7@gmail.com</t>
  </si>
  <si>
    <t>Shivansh Mehta</t>
  </si>
  <si>
    <t>shivanshmehta939@gmail.com</t>
  </si>
  <si>
    <t>Smarpit Mendiratta</t>
  </si>
  <si>
    <t>smarpitmendiratta12@gmail.com</t>
  </si>
  <si>
    <t>Satvik Mittal</t>
  </si>
  <si>
    <t>satvikmittal3006@gmail.com</t>
  </si>
  <si>
    <t>Smohla_be25@thapar.edu</t>
  </si>
  <si>
    <t>Saanvi Mohla</t>
  </si>
  <si>
    <t>mohlasaanvi@gmail.com</t>
  </si>
  <si>
    <t>Salonimourya5836@gmail.com</t>
  </si>
  <si>
    <t>Saharsh Mukherjee</t>
  </si>
  <si>
    <t>saharsh.mukherjree@gmail.com</t>
  </si>
  <si>
    <t>Shriya Nadda</t>
  </si>
  <si>
    <t>naddashriya@gmail.com</t>
  </si>
  <si>
    <t>Suhani Nagpal</t>
  </si>
  <si>
    <t>suhaninagpal2307@gmail.com</t>
  </si>
  <si>
    <t>Saksham Narang</t>
  </si>
  <si>
    <t>sakshamnarang131@gmail.com</t>
  </si>
  <si>
    <t>Srishma Nepal</t>
  </si>
  <si>
    <t>srishma32@gmail.com</t>
  </si>
  <si>
    <t>Soham Panda</t>
  </si>
  <si>
    <t>pandasoham66@gmail.com</t>
  </si>
  <si>
    <t>Sanyam Pansari</t>
  </si>
  <si>
    <t>sanyampansari@gmail.com</t>
  </si>
  <si>
    <t>srijanparmar97@gmail.com</t>
  </si>
  <si>
    <t>spatel_be25@thapar.edu</t>
  </si>
  <si>
    <t>Shourya Singh Patel</t>
  </si>
  <si>
    <t>1025020086</t>
  </si>
  <si>
    <t>shouryapatel3951@gmail.com</t>
  </si>
  <si>
    <t>2B13</t>
  </si>
  <si>
    <t>Spatial_be25@thapar.edu</t>
  </si>
  <si>
    <t>Shriya Patial</t>
  </si>
  <si>
    <t>Shriyapatial@gmail.com</t>
  </si>
  <si>
    <t>Sri prithiyangkira</t>
  </si>
  <si>
    <t>prithi0705@gmail.com</t>
  </si>
  <si>
    <t>Sraina_be25@thapar.edu</t>
  </si>
  <si>
    <t>Shrijal Raina</t>
  </si>
  <si>
    <t>shrijalraina.07@gmail.com</t>
  </si>
  <si>
    <t>Shivansh Singh Rajput</t>
  </si>
  <si>
    <t>shivanshsinghrajput1802@gmail.com</t>
  </si>
  <si>
    <t>Somya Rahan</t>
  </si>
  <si>
    <t>somyaralhan.12@gmail.com</t>
  </si>
  <si>
    <t>Siya Rana</t>
  </si>
  <si>
    <t>siyaranaofficial26@gmail.com</t>
  </si>
  <si>
    <t>Suryansh Rana</t>
  </si>
  <si>
    <t>zuryansh01@gmail.com</t>
  </si>
  <si>
    <t>shourya.ranout@gmail.com</t>
  </si>
  <si>
    <t>Saloni Rawat</t>
  </si>
  <si>
    <t>Ssaini_be25@thapar.edu</t>
  </si>
  <si>
    <t>Sameer Saini</t>
  </si>
  <si>
    <t>Sameersaini9674@gmail.com</t>
  </si>
  <si>
    <t>Saiyyam Saini</t>
  </si>
  <si>
    <t>saiyyamsaini2@gmail.com</t>
  </si>
  <si>
    <t>Saksham Sharma</t>
  </si>
  <si>
    <t>isxkshxm@gmail.com</t>
  </si>
  <si>
    <t>Saksham</t>
  </si>
  <si>
    <t>sakshammehla0084@gmail.com</t>
  </si>
  <si>
    <t>Shreyans Samal</t>
  </si>
  <si>
    <t>samalshreyans259@gmail.com</t>
  </si>
  <si>
    <t>Ssambyal_be25@thapar.edu</t>
  </si>
  <si>
    <t>Shaurya Singh Sambyal</t>
  </si>
  <si>
    <t>shauryasambyal24@gmail.com</t>
  </si>
  <si>
    <t>Samridhi</t>
  </si>
  <si>
    <t>samridhi80450@gmail.com</t>
  </si>
  <si>
    <t>Samridh Singh Sandhu</t>
  </si>
  <si>
    <t>samridhsandhu@gmail.com</t>
  </si>
  <si>
    <t>Simmar Sandhu</t>
  </si>
  <si>
    <t>simmarsandhu3108@gmail.com</t>
  </si>
  <si>
    <t>Shivansh Sangwan</t>
  </si>
  <si>
    <t>Ssangwan1_be25@thapar.edu</t>
  </si>
  <si>
    <t>Shreyal Saraf</t>
  </si>
  <si>
    <t>shreyalsaraf1@gamil.com</t>
  </si>
  <si>
    <t>Ssareen_be25@thapar.edu</t>
  </si>
  <si>
    <t>Shubh Sareen</t>
  </si>
  <si>
    <t>sargunkochar04@gmail.com</t>
  </si>
  <si>
    <t>Saumya</t>
  </si>
  <si>
    <t>saumyateji@gmail.com</t>
  </si>
  <si>
    <t>Sejal</t>
  </si>
  <si>
    <t>sejalbajaj2222@gmail.com</t>
  </si>
  <si>
    <t>sejalnamya1618@gmail.com</t>
  </si>
  <si>
    <t>Simran Sethi</t>
  </si>
  <si>
    <t>sethi19simran@gmail.com</t>
  </si>
  <si>
    <t>Shivika Sharma</t>
  </si>
  <si>
    <t>shivika.sharma2075@gmail.com</t>
  </si>
  <si>
    <t>Sourav Kumar Sharma</t>
  </si>
  <si>
    <t>souravsharma3110@gmail.com</t>
  </si>
  <si>
    <t>Sneha sharma</t>
  </si>
  <si>
    <t>snehash2908200@gmail.com</t>
  </si>
  <si>
    <t>Ssharma3_be25@thapar.edu</t>
  </si>
  <si>
    <t>Sumit Sharma</t>
  </si>
  <si>
    <t>Saket Sharma</t>
  </si>
  <si>
    <t>sharma011106@gmail.com</t>
  </si>
  <si>
    <t>Samridhi sharma</t>
  </si>
  <si>
    <t>samridhi2982@gmail.com</t>
  </si>
  <si>
    <t>sanjanadhananjay989@gmail.com</t>
  </si>
  <si>
    <t>Sanyam Sharma</t>
  </si>
  <si>
    <t>sanyammarch@gmail.com</t>
  </si>
  <si>
    <t>Shereen</t>
  </si>
  <si>
    <t>shivainarora55@gmail.com</t>
  </si>
  <si>
    <t>Shivam</t>
  </si>
  <si>
    <t>shivamkv3patialapunjab@gmail.com</t>
  </si>
  <si>
    <t>aaryanaggarwal2007@gmail.com</t>
  </si>
  <si>
    <t>Shreya</t>
  </si>
  <si>
    <t>shreyabahl111@gmail.com</t>
  </si>
  <si>
    <t>Sshreya1_be25@thapar.edu</t>
  </si>
  <si>
    <t>Shreyayv1@gmail.com</t>
  </si>
  <si>
    <t>Siddharth</t>
  </si>
  <si>
    <t>siddharth.siddhartha1212@gmail.com</t>
  </si>
  <si>
    <t>Siddiksha</t>
  </si>
  <si>
    <t>Shivika sidhwani</t>
  </si>
  <si>
    <t>shivisidhwani03@gmail.com</t>
  </si>
  <si>
    <t>Simran</t>
  </si>
  <si>
    <t>simranshabd05@gmail.com</t>
  </si>
  <si>
    <t>Sanjeev Singh</t>
  </si>
  <si>
    <t>Sehajpreet Singh</t>
  </si>
  <si>
    <t>singhsehajpreet300@gmail.com</t>
  </si>
  <si>
    <t>Ssingh11_be25@thapar.edu</t>
  </si>
  <si>
    <t>Saubhagya Singh</t>
  </si>
  <si>
    <t>saubhagya3983@gmail.com</t>
  </si>
  <si>
    <t>Samarveer Singh</t>
  </si>
  <si>
    <t>ssamarveer842@gmail.com</t>
  </si>
  <si>
    <t>Shourya Singh</t>
  </si>
  <si>
    <t>shouryasingh136@gmail.com</t>
  </si>
  <si>
    <t>Simarpreet Singh</t>
  </si>
  <si>
    <t>s.simarpreet.1912@gmail.com</t>
  </si>
  <si>
    <t>Sahib Preet Singh</t>
  </si>
  <si>
    <t>Sahib.ldh7@gmail.com</t>
  </si>
  <si>
    <t>Sunpreet Singh</t>
  </si>
  <si>
    <t>sahib212007@gmail.com</t>
  </si>
  <si>
    <t>Ssingh19_be25@thapar.edu</t>
  </si>
  <si>
    <t>Sahibpreet Singh</t>
  </si>
  <si>
    <t>Sahibpreet0510@gmail.com</t>
  </si>
  <si>
    <t>Sainisehaj110@gmail.com</t>
  </si>
  <si>
    <t>Sukhmanpreet Singh</t>
  </si>
  <si>
    <t>shambhavisingh0528@gmail.com</t>
  </si>
  <si>
    <t>sharanjotsingh005@gmail.com</t>
  </si>
  <si>
    <t>Shashwat Singh</t>
  </si>
  <si>
    <t>shashwatsingh8023@gmail.com</t>
  </si>
  <si>
    <t>Siddhi singh</t>
  </si>
  <si>
    <t>siddhisingh.002@gmail.com</t>
  </si>
  <si>
    <t>Simarjeet singh</t>
  </si>
  <si>
    <t>simar6jeet45@gmail.com</t>
  </si>
  <si>
    <t>singhsarthak208@gmail.com</t>
  </si>
  <si>
    <t>Shashwat Pratap Singh</t>
  </si>
  <si>
    <t>1025030082</t>
  </si>
  <si>
    <t>mrshashwatsingh14@gmail.com</t>
  </si>
  <si>
    <t>Samreet Singh</t>
  </si>
  <si>
    <t>Samreets2008@gmail.com</t>
  </si>
  <si>
    <t>ssargun1313@gmail.com</t>
  </si>
  <si>
    <t>Shashwat Singhal</t>
  </si>
  <si>
    <t>shash2419@gmail.com</t>
  </si>
  <si>
    <t>Samarth Singla</t>
  </si>
  <si>
    <t>samarthsingla49@gmail.com</t>
  </si>
  <si>
    <t>Ssingla1_be25@thapar.edu</t>
  </si>
  <si>
    <t>Shubrat singla</t>
  </si>
  <si>
    <t>Shubratsingla2007@gmail.com</t>
  </si>
  <si>
    <t>SMAYRA</t>
  </si>
  <si>
    <t>smayra2006@gmail.com</t>
  </si>
  <si>
    <t>Ssneha1_be25@thapar.edu</t>
  </si>
  <si>
    <t>Sneha Monga</t>
  </si>
  <si>
    <t>snehamonga0@gmail.com</t>
  </si>
  <si>
    <t>Sofia</t>
  </si>
  <si>
    <t>singlasofia2007@gmail.com</t>
  </si>
  <si>
    <t>Somya</t>
  </si>
  <si>
    <t>Sagar Soni</t>
  </si>
  <si>
    <t>sonipsagar07@gmail.com</t>
  </si>
  <si>
    <t>Ssoni1_be25@thapar.edu</t>
  </si>
  <si>
    <t>Saransh Soni</t>
  </si>
  <si>
    <t>saranshsoni05@gmail.com</t>
  </si>
  <si>
    <t>siddharth29in@gmail.com</t>
  </si>
  <si>
    <t>Shaurya sood</t>
  </si>
  <si>
    <t>soodshaurya646@gmail.com</t>
  </si>
  <si>
    <t>Sarthak Srivastava</t>
  </si>
  <si>
    <t>sarthaksri2207@gmail.com</t>
  </si>
  <si>
    <t>Shivang Srivastava</t>
  </si>
  <si>
    <t>shivangsrivastavaofficial@gmail.com</t>
  </si>
  <si>
    <t>Shlok srivastava</t>
  </si>
  <si>
    <t>shloksrivastava240906@gmail.com</t>
  </si>
  <si>
    <t>Siddharth Srivastava</t>
  </si>
  <si>
    <t>siddharthsrivastava31415@gmail.com</t>
  </si>
  <si>
    <t>Sukrish</t>
  </si>
  <si>
    <t>sukrishgautam@gmail.com</t>
  </si>
  <si>
    <t>Swastik Kadyan</t>
  </si>
  <si>
    <t>swastikkadyan@gmail.com</t>
  </si>
  <si>
    <t>Sarthak Takiar</t>
  </si>
  <si>
    <t>takiarsarthak@gmail.com</t>
  </si>
  <si>
    <t>Shashwat Talwar</t>
  </si>
  <si>
    <t>shashwattalwar854@gmail.com</t>
  </si>
  <si>
    <t>Sanvi Taneja</t>
  </si>
  <si>
    <t>tanejasanvi07@gmail.com</t>
  </si>
  <si>
    <t>sheivthakur@gmail.com</t>
  </si>
  <si>
    <t>sthaper_be25@thapar.edu</t>
  </si>
  <si>
    <t>Shrey Thaper</t>
  </si>
  <si>
    <t>1025230012</t>
  </si>
  <si>
    <t>cloud1617x@gmail.com</t>
  </si>
  <si>
    <t>Stomar_be25@thapar.edu</t>
  </si>
  <si>
    <t>Shivam Singh Tomar</t>
  </si>
  <si>
    <t>Shivamtomar1612@gmail.com</t>
  </si>
  <si>
    <t>Shaarvi Tripathi</t>
  </si>
  <si>
    <t>shaarvitripathi2@gmail.com</t>
  </si>
  <si>
    <t>styagi_be25@thapar.edu</t>
  </si>
  <si>
    <t>Seerat Tyagi</t>
  </si>
  <si>
    <t>1025230022</t>
  </si>
  <si>
    <t>seerattyagi17@gmail.com</t>
  </si>
  <si>
    <t>Supadhyay_be25@thapar.edu</t>
  </si>
  <si>
    <t>Sanvi Upadhyay</t>
  </si>
  <si>
    <t>Sanvi.upadhyay2019@gmail.com</t>
  </si>
  <si>
    <t>Shray Uppal</t>
  </si>
  <si>
    <t>uppalshray895@gmail.com</t>
  </si>
  <si>
    <t>Siddharth Verma</t>
  </si>
  <si>
    <t>siddharthverma6569@gmail.com</t>
  </si>
  <si>
    <t>Saanvi Verma</t>
  </si>
  <si>
    <t>saanviverma24@gmail.com</t>
  </si>
  <si>
    <t>Satyam Verma</t>
  </si>
  <si>
    <t>satyamv2109@gmail.com</t>
  </si>
  <si>
    <t>Sverma4_be25@thapar.edu</t>
  </si>
  <si>
    <t>Shivansh Verma</t>
  </si>
  <si>
    <t>Shivanshverma430@gmail.com</t>
  </si>
  <si>
    <t>Shreyansh Verma</t>
  </si>
  <si>
    <t>shreyanshvermaoo6@gmail.com</t>
  </si>
  <si>
    <t>Sverma6_be25@thapar.edu</t>
  </si>
  <si>
    <t>Sameer Verma</t>
  </si>
  <si>
    <t>vermasameer503@gmail.com</t>
  </si>
  <si>
    <t>Shivam Yadav</t>
  </si>
  <si>
    <t>yadshivam5412@gmail.com</t>
  </si>
  <si>
    <t>Taggarwal_be25@thapar.edu</t>
  </si>
  <si>
    <t>Thea Aggarwal</t>
  </si>
  <si>
    <t>Tannishtha Ahuja</t>
  </si>
  <si>
    <t>logbookscan@gmail.com</t>
  </si>
  <si>
    <t>Tejas Bal</t>
  </si>
  <si>
    <t>tejas1607.best@gmail.com</t>
  </si>
  <si>
    <t>Tavishi</t>
  </si>
  <si>
    <t>tavishi955@gmail.com</t>
  </si>
  <si>
    <t>Tushar bansal</t>
  </si>
  <si>
    <t>tusharbansal05432@gmail.com</t>
  </si>
  <si>
    <t>Tamanna Batra</t>
  </si>
  <si>
    <t>tamannabatra2006@gmail.com</t>
  </si>
  <si>
    <t>Tanish Chawla</t>
  </si>
  <si>
    <t>tanishchawla658@gmail.com</t>
  </si>
  <si>
    <t>Jai deep</t>
  </si>
  <si>
    <t>jaideepsai2006@gmail.com</t>
  </si>
  <si>
    <t>tdhillon_be25@gmail.com</t>
  </si>
  <si>
    <t>Tanvir singh</t>
  </si>
  <si>
    <t>dillontanvir@gmail.com</t>
  </si>
  <si>
    <t>tejasvidhillon@gmail.com</t>
  </si>
  <si>
    <t>Tanisha Dubey</t>
  </si>
  <si>
    <t>tanishadubey26@gmail.com</t>
  </si>
  <si>
    <t>Tahoorrrr@gmail.com</t>
  </si>
  <si>
    <t>Tanuj Garg</t>
  </si>
  <si>
    <t>gargtanuj1334@gmail.com</t>
  </si>
  <si>
    <t>Tushar Garg</t>
  </si>
  <si>
    <t>tushargarg.drb@gmail.com</t>
  </si>
  <si>
    <t>Tgarg2_be25@thapar.edu</t>
  </si>
  <si>
    <t>Tanvi garg</t>
  </si>
  <si>
    <t>Tisha Goel</t>
  </si>
  <si>
    <t>tishagoel13@gmail.com</t>
  </si>
  <si>
    <t>Tanish Gupta</t>
  </si>
  <si>
    <t>tanishofficial779@gmail.com</t>
  </si>
  <si>
    <t>guptatanvi740@gmail.com</t>
  </si>
  <si>
    <t>Tiya Gupta</t>
  </si>
  <si>
    <t>tiyagupta468@gmail.com</t>
  </si>
  <si>
    <t>Tarni Gupta</t>
  </si>
  <si>
    <t>guptatarni1@gmail.com</t>
  </si>
  <si>
    <t>Turvi Gupta</t>
  </si>
  <si>
    <t>turvigupta10@gmail.com</t>
  </si>
  <si>
    <t>Tanishk gupta</t>
  </si>
  <si>
    <t>tanishkgupta2020@gmail.com</t>
  </si>
  <si>
    <t>Tarun Gupta</t>
  </si>
  <si>
    <t>tgupta1087@gmail.com</t>
  </si>
  <si>
    <t>Tejas Gupta</t>
  </si>
  <si>
    <t>tejas.gupta237@gmail.com</t>
  </si>
  <si>
    <t>Tanishq Jain</t>
  </si>
  <si>
    <t>tanishqjain0723@gmail.com</t>
  </si>
  <si>
    <t>tanmayjamwal@icloud.com</t>
  </si>
  <si>
    <t>Tanveer singh jethra</t>
  </si>
  <si>
    <t>Tanveerjethra3@gmail.com</t>
  </si>
  <si>
    <t>Tanmay Kapoor</t>
  </si>
  <si>
    <t>Tanveer Jot Kaur</t>
  </si>
  <si>
    <t>kaurtanveerjot1203@gmail.com</t>
  </si>
  <si>
    <t>Tarandeep kaur</t>
  </si>
  <si>
    <t>puniataran471@gmail.com</t>
  </si>
  <si>
    <t>talveenk91@gmail.com</t>
  </si>
  <si>
    <t>Taranpreet Kaur</t>
  </si>
  <si>
    <t>tarankaur0905@gmail.com</t>
  </si>
  <si>
    <t>Tkaur4_be25@thapar.edu</t>
  </si>
  <si>
    <t>Tavleen Kaur</t>
  </si>
  <si>
    <t>tavleenk4280@gmail.com</t>
  </si>
  <si>
    <t>Tegkirat Kaur</t>
  </si>
  <si>
    <t>tegkirat11@gmail.com</t>
  </si>
  <si>
    <t>TANVI Mahajan</t>
  </si>
  <si>
    <t>tanvimahajan990@gmail.com</t>
  </si>
  <si>
    <t>Tmathur_be25@thapar.edu</t>
  </si>
  <si>
    <t>Tanishq mathur</t>
  </si>
  <si>
    <t>tanishqmathur93119@gmail.com</t>
  </si>
  <si>
    <t>Tmathur1_be25@thapar.edu</t>
  </si>
  <si>
    <t>Trisha Mathur</t>
  </si>
  <si>
    <t>Trishamathur12@gmail.com</t>
  </si>
  <si>
    <t>tanvim.5407@gmail.com</t>
  </si>
  <si>
    <t>Tejas Namdev</t>
  </si>
  <si>
    <t>tejasnamdev33@gmail.com</t>
  </si>
  <si>
    <t>tanmayrai88714@gmail.com</t>
  </si>
  <si>
    <t>Tarandeep Kaur Rathore</t>
  </si>
  <si>
    <t>tarandeeprathore6@gmail.com</t>
  </si>
  <si>
    <t>Tsaraf_be25@thapar.edu</t>
  </si>
  <si>
    <t>Tanmay saraf</t>
  </si>
  <si>
    <t>tanmaysaraf001@gmail.com</t>
  </si>
  <si>
    <t>Tiya Satija</t>
  </si>
  <si>
    <t>tiyasatija@gmail.com</t>
  </si>
  <si>
    <t>Tsharda_be25@thapar.edu</t>
  </si>
  <si>
    <t>Tanish sharda</t>
  </si>
  <si>
    <t>Tanishsharda123@gmail.com</t>
  </si>
  <si>
    <t>Trijal Sharma</t>
  </si>
  <si>
    <t>trijalsharma110@gmail.com</t>
  </si>
  <si>
    <t>tiasharma2810@gmail.com</t>
  </si>
  <si>
    <t>Tanveer Singh</t>
  </si>
  <si>
    <t>Tanishka Singh</t>
  </si>
  <si>
    <t>tanishkasingh0359@gmail.com</t>
  </si>
  <si>
    <t>tanishsingla20@gmail.com</t>
  </si>
  <si>
    <t>Tanisha</t>
  </si>
  <si>
    <t>tanishakansal26@gmail.com</t>
  </si>
  <si>
    <t>tandontanishka660@gmail.com</t>
  </si>
  <si>
    <t>tanmaysheokhand@gmail.com</t>
  </si>
  <si>
    <t>Ttanveer_be25@thapar.edu</t>
  </si>
  <si>
    <t>Tanveersinghchaggar@gmail.com</t>
  </si>
  <si>
    <t>bansaltanvi005@gmail.com</t>
  </si>
  <si>
    <t>tanvisingla123456@gmail.com</t>
  </si>
  <si>
    <t>Tavarit</t>
  </si>
  <si>
    <t>tavaritvashistha19@gmail.com</t>
  </si>
  <si>
    <t>Tarun Tekchandani</t>
  </si>
  <si>
    <t>ttekchandani93@gmail.com</t>
  </si>
  <si>
    <t>tushantn126@gmail.com</t>
  </si>
  <si>
    <t>Tushar</t>
  </si>
  <si>
    <t>tushardhuneja@gmail.com</t>
  </si>
  <si>
    <t>Twinkle</t>
  </si>
  <si>
    <t>Tanishq verma</t>
  </si>
  <si>
    <t>tanishqverma1313@gmail.com</t>
  </si>
  <si>
    <t>Tverma1_be25@thapar.edu</t>
  </si>
  <si>
    <t>Tushar verma</t>
  </si>
  <si>
    <t>Tusharvermaa07@gmail.com</t>
  </si>
  <si>
    <t>Harshith Virat Tatipamula</t>
  </si>
  <si>
    <t>harshithvirat73@gmail.com</t>
  </si>
  <si>
    <t>Utkarsh bajaj</t>
  </si>
  <si>
    <t>utkarsh1262@gmail.com</t>
  </si>
  <si>
    <t>Ubharara_be25@thapar.edu</t>
  </si>
  <si>
    <t>Ustat Singh Bharara</t>
  </si>
  <si>
    <t>ustat1singh@gmail.com</t>
  </si>
  <si>
    <t>Udeep Chaudhary</t>
  </si>
  <si>
    <t>udeepchoudhary2005@gmail.com</t>
  </si>
  <si>
    <t>Udit Chugh</t>
  </si>
  <si>
    <t>Ugupta_be25@thapar.edu</t>
  </si>
  <si>
    <t>Utkarsh gupta</t>
  </si>
  <si>
    <t>Gutkarsh574@gmail.com</t>
  </si>
  <si>
    <t>Utkarsh Jha</t>
  </si>
  <si>
    <t>thedestroyerin@gmail.com</t>
  </si>
  <si>
    <t>ujjawaljolly3@gmail.com</t>
  </si>
  <si>
    <t>ukaur_be25@gmail.com</t>
  </si>
  <si>
    <t>Ujjwaldeep Kaur</t>
  </si>
  <si>
    <t>Utsav Khanal</t>
  </si>
  <si>
    <t>lol612131@gmail.com</t>
  </si>
  <si>
    <t>Utsav Kumar</t>
  </si>
  <si>
    <t>Umanglik_be25@thapar.edu</t>
  </si>
  <si>
    <t>Utkarsh Manglik</t>
  </si>
  <si>
    <t>Utkarshmanglik2207@gmail.com</t>
  </si>
  <si>
    <t>Uddish Nair</t>
  </si>
  <si>
    <t>uddishnair@gmail.com</t>
  </si>
  <si>
    <t>Unnat raj</t>
  </si>
  <si>
    <t>unnat131206@gmail.com</t>
  </si>
  <si>
    <t>uday.shekhawat1902@gmail.com</t>
  </si>
  <si>
    <t>Udayvir Singh</t>
  </si>
  <si>
    <t>2703udayvir@gmail.com</t>
  </si>
  <si>
    <t>Uday Partap Singh Dhillon</t>
  </si>
  <si>
    <t>udaydhillon4949@gmail.com</t>
  </si>
  <si>
    <t>Uddhav Singh</t>
  </si>
  <si>
    <t>uddhav80056@gmail.com</t>
  </si>
  <si>
    <t>ulfat</t>
  </si>
  <si>
    <t>ulfatsinghh@gmail.com</t>
  </si>
  <si>
    <t>Udit Singhal</t>
  </si>
  <si>
    <t>singhaludit62@gmail.com</t>
  </si>
  <si>
    <t>uttammehta490@gmail.com</t>
  </si>
  <si>
    <t>Vanshag135@gmail.com</t>
  </si>
  <si>
    <t>Vinesh Aggarwal</t>
  </si>
  <si>
    <t>vineshaggarwal2007@gmail.com</t>
  </si>
  <si>
    <t>Vagrawal_be25@thapar.edu</t>
  </si>
  <si>
    <t>Vivek Agrawal</t>
  </si>
  <si>
    <t>Vivekagrawalva123@gmail.com</t>
  </si>
  <si>
    <t>Vagrawal1_be25@thapar.edu</t>
  </si>
  <si>
    <t>Vansh Agrawal</t>
  </si>
  <si>
    <t>1025230020</t>
  </si>
  <si>
    <t>Vanshagrawal699@gmail.com</t>
  </si>
  <si>
    <t>Vinamra Arora</t>
  </si>
  <si>
    <t>aroravinamra3@gmail.com</t>
  </si>
  <si>
    <t>Vaibhav arora</t>
  </si>
  <si>
    <t>vaibhavxarora2006@gmail.com</t>
  </si>
  <si>
    <t>Vbahuguna_be25@thapar.edu</t>
  </si>
  <si>
    <t>Vibhum Bahuguna</t>
  </si>
  <si>
    <t>Vibhumbahuguna123@gmail.com</t>
  </si>
  <si>
    <t>Varun Bansal</t>
  </si>
  <si>
    <t>varunbansal127@gmail.com</t>
  </si>
  <si>
    <t>Vidhi Bansal</t>
  </si>
  <si>
    <t>vidhibansal246@gmail.com</t>
  </si>
  <si>
    <t>Vinayak Bansal</t>
  </si>
  <si>
    <t>vinayak15b97@gmail.com</t>
  </si>
  <si>
    <t>Vanessa Alam Beijel</t>
  </si>
  <si>
    <t>vanessaalam7@gmail.com</t>
  </si>
  <si>
    <t>Vanshika Bhagal</t>
  </si>
  <si>
    <t>Vyom Bhalla</t>
  </si>
  <si>
    <t>vyombhalla07@gmail.com</t>
  </si>
  <si>
    <t>Vinish Bhutani</t>
  </si>
  <si>
    <t>vinishlalit@gmail.com</t>
  </si>
  <si>
    <t>bishtvarnit0406@gmail.com</t>
  </si>
  <si>
    <t>Vaibhav Chakaravaty</t>
  </si>
  <si>
    <t>vaibhavclm10@gmail.com</t>
  </si>
  <si>
    <t>Vaibhav Charan</t>
  </si>
  <si>
    <t>vaibhavcharan08@gmail.com</t>
  </si>
  <si>
    <t>Vchawla_be25@thapar.edu</t>
  </si>
  <si>
    <t>Vaanya Chawla</t>
  </si>
  <si>
    <t>vaanyac3108@gmail.con</t>
  </si>
  <si>
    <t>vanshchopra002@gmail.com</t>
  </si>
  <si>
    <t>Virendra Dhaka</t>
  </si>
  <si>
    <t>Vdhaka058@gmail.com</t>
  </si>
  <si>
    <t>Vansh Duvedi</t>
  </si>
  <si>
    <t>vanshduvedi111@gmail.com</t>
  </si>
  <si>
    <t>Vgarg_be25@thapar.edu</t>
  </si>
  <si>
    <t>Vivan Garg</t>
  </si>
  <si>
    <t>vivangarg124@gmail.com</t>
  </si>
  <si>
    <t>Vansh Garg</t>
  </si>
  <si>
    <t>vanshgg06@gmail.com</t>
  </si>
  <si>
    <t>Vriti Garg</t>
  </si>
  <si>
    <t>vritigarg157@gmail.com</t>
  </si>
  <si>
    <t>vanshgarg2117@gmail.com</t>
  </si>
  <si>
    <t>vyomgarg107@gmail.com</t>
  </si>
  <si>
    <t>Vgoyal1_be25@thapar.edu</t>
  </si>
  <si>
    <t>Vansh goyal</t>
  </si>
  <si>
    <t>Goyalvansh0105@gmail.com</t>
  </si>
  <si>
    <t>Vaibhav Goyal</t>
  </si>
  <si>
    <t>vaibhavgoyal0607@gmail.com</t>
  </si>
  <si>
    <t>Vandit Goyal</t>
  </si>
  <si>
    <t>vgoyal4_be25@gmail.com</t>
  </si>
  <si>
    <t>vasugoyal2006@gmail.com</t>
  </si>
  <si>
    <t>Vinayak Goyal</t>
  </si>
  <si>
    <t>Vanshika Gupta</t>
  </si>
  <si>
    <t>Vg.codes2006@gmail.com</t>
  </si>
  <si>
    <t>Vasu Gupta</t>
  </si>
  <si>
    <t>vasugupta401@gmail.com</t>
  </si>
  <si>
    <t>Veydant gupta</t>
  </si>
  <si>
    <t>Vidhi Gupta</t>
  </si>
  <si>
    <t>guptavidhi.cjm@gmail.com</t>
  </si>
  <si>
    <t>Varinda Gupta</t>
  </si>
  <si>
    <t>Vgupta5_be25@gmail.com</t>
  </si>
  <si>
    <t>vaibhavgupta.tks@gmail.com</t>
  </si>
  <si>
    <t>vaibhavgupta392007@gmail.com</t>
  </si>
  <si>
    <t>Vaanya Jain</t>
  </si>
  <si>
    <t>vaanyajain2006@gmail.com</t>
  </si>
  <si>
    <t>Viral Jain</t>
  </si>
  <si>
    <t>viraljain758@gmail.com</t>
  </si>
  <si>
    <t>Vansh Jaiswal</t>
  </si>
  <si>
    <t>vjas2606@gmail.com</t>
  </si>
  <si>
    <t>Vjindal_be25@thapar.edu</t>
  </si>
  <si>
    <t>Vipul Jindal</t>
  </si>
  <si>
    <t>Vjindal1_be25@thapar.edu</t>
  </si>
  <si>
    <t>Varun Jindal</t>
  </si>
  <si>
    <t>Jindalvarun2007@gmail.com</t>
  </si>
  <si>
    <t>Varun Joshi</t>
  </si>
  <si>
    <t>varunjoshi2014@gmail.com</t>
  </si>
  <si>
    <t>Vipul Kalia</t>
  </si>
  <si>
    <t>kaliavipul00@gmail.com</t>
  </si>
  <si>
    <t>Vasu Kapila</t>
  </si>
  <si>
    <t>vasukapila89@gmail.com</t>
  </si>
  <si>
    <t>Vkataria_be25@thapar.edu</t>
  </si>
  <si>
    <t>Vaibhav Kataria</t>
  </si>
  <si>
    <t>Vaibhavkataria201@gmail.com</t>
  </si>
  <si>
    <t>Vyom Khanna</t>
  </si>
  <si>
    <t>vyomkhanna23@gmail.com</t>
  </si>
  <si>
    <t>Vansh Khurana</t>
  </si>
  <si>
    <t>Vishu Kilhor</t>
  </si>
  <si>
    <t>vishukilhor9898@gmail.com</t>
  </si>
  <si>
    <t>Vaastav Kumar</t>
  </si>
  <si>
    <t>vaastavkumar07@gmail.com</t>
  </si>
  <si>
    <t>Vedant Latawa</t>
  </si>
  <si>
    <t>vedantedwardian@gmail.com</t>
  </si>
  <si>
    <t>Verain Manaktala</t>
  </si>
  <si>
    <t>manaktalaverain@gmail.com</t>
  </si>
  <si>
    <t>Vanshika</t>
  </si>
  <si>
    <t>Vivaan Mehrotra</t>
  </si>
  <si>
    <t>vivaanmehrotra24@gmail.com</t>
  </si>
  <si>
    <t>mittalvansh483@gmail.com</t>
  </si>
  <si>
    <t>Vaibhav Nagpal</t>
  </si>
  <si>
    <t>vaibhav20070518@gmail.com</t>
  </si>
  <si>
    <t>Vansh Nema</t>
  </si>
  <si>
    <t>2006.nemavansh@gmail.com</t>
  </si>
  <si>
    <t>Vpoonia_be25@thapar.edu</t>
  </si>
  <si>
    <t>Vanshaj Poonia</t>
  </si>
  <si>
    <t>Vansh Rally</t>
  </si>
  <si>
    <t>vanshrally17@gmail.com</t>
  </si>
  <si>
    <t>Vansh Sabharwal</t>
  </si>
  <si>
    <t>vanshsabharwal176@gmail.com</t>
  </si>
  <si>
    <t>Vaibhav Sharma</t>
  </si>
  <si>
    <t>vs55062006@gmail.com</t>
  </si>
  <si>
    <t>Vsharma2_be25@thapar.edu</t>
  </si>
  <si>
    <t>Vaanya Sharma</t>
  </si>
  <si>
    <t>Vaanya.satyam@gmail.com</t>
  </si>
  <si>
    <t>vanshsingal214@gmail.com</t>
  </si>
  <si>
    <t>Vsingal1_be25@thapar.edu</t>
  </si>
  <si>
    <t>Vanshsingal037@gmail.com</t>
  </si>
  <si>
    <t>Vikrant Singh</t>
  </si>
  <si>
    <t>vikqsin@gmail.com</t>
  </si>
  <si>
    <t>Vaidehi Singh</t>
  </si>
  <si>
    <t>vaidehisingh2307@gmail.com</t>
  </si>
  <si>
    <t>Vikramjit Singh</t>
  </si>
  <si>
    <t>vikramjitsinghsidhu4@gmail.com</t>
  </si>
  <si>
    <t>Vrinda Taneja</t>
  </si>
  <si>
    <t>tripathivibhor1@gmail.com</t>
  </si>
  <si>
    <t>Vihaan Tyagi</t>
  </si>
  <si>
    <t>vihaantyagi.08@gmail.com</t>
  </si>
  <si>
    <t>Vaishnavi</t>
  </si>
  <si>
    <t>monikabansal276@gmail.com</t>
  </si>
  <si>
    <t>94642-75204</t>
  </si>
  <si>
    <t>Vanisha</t>
  </si>
  <si>
    <t>vishudroch@gmail.com</t>
  </si>
  <si>
    <t>Vansh Malhotra</t>
  </si>
  <si>
    <t>vanshmalhotra0305@gmail.com</t>
  </si>
  <si>
    <t>saharanvasshu@gmail.com</t>
  </si>
  <si>
    <t>Vaibhav Verma</t>
  </si>
  <si>
    <t>vaibhavverma1080@gmail.com</t>
  </si>
  <si>
    <t>Vansh Verma</t>
  </si>
  <si>
    <t>vanshverma63870@gmail.com</t>
  </si>
  <si>
    <t>Vvidhi_be25@thapar.edu</t>
  </si>
  <si>
    <t>Vidhisbgwn1@gmail.com</t>
  </si>
  <si>
    <t>Vidhita</t>
  </si>
  <si>
    <t>vidhita597@gmail.com</t>
  </si>
  <si>
    <t>Vishesh Vij</t>
  </si>
  <si>
    <t>visheshvijv2v@gmail.com</t>
  </si>
  <si>
    <t>Vanya walia</t>
  </si>
  <si>
    <t>vanyawalia1234@gmail.com</t>
  </si>
  <si>
    <t>Veer Singh Yadav</t>
  </si>
  <si>
    <t>veersinghgunwal@gmail.com</t>
  </si>
  <si>
    <t>Yaana Aggarwal</t>
  </si>
  <si>
    <t>yaanaaggarwal@gmail.com</t>
  </si>
  <si>
    <t>Yaksha arora</t>
  </si>
  <si>
    <t>yaksha.arora2007@gmail.com</t>
  </si>
  <si>
    <t>yashb9972@gmail.com</t>
  </si>
  <si>
    <t>yashbansal122005@gmail.com</t>
  </si>
  <si>
    <t>Yakshit Bansal</t>
  </si>
  <si>
    <t>yashubansal49@gmail.com</t>
  </si>
  <si>
    <t>Yashvardhan Charan</t>
  </si>
  <si>
    <t>yashcharan2909@gmail.com</t>
  </si>
  <si>
    <t>Yajas Chopra</t>
  </si>
  <si>
    <t>choprayajas@gmail.com</t>
  </si>
  <si>
    <t>ydahiya_be25@gmail.com</t>
  </si>
  <si>
    <t>yuvrajdahiya1909@gmail.com</t>
  </si>
  <si>
    <t>yashdhakd51@gmail.com</t>
  </si>
  <si>
    <t>yashwantbalaji9@gmail.com</t>
  </si>
  <si>
    <t>Gargyash575@gmail.com</t>
  </si>
  <si>
    <t>Ygarg1_be25@thapar.edu</t>
  </si>
  <si>
    <t>Yugnish Garg</t>
  </si>
  <si>
    <t>Yugnishg@gmail.com</t>
  </si>
  <si>
    <t>yuggarg287@gmail.com</t>
  </si>
  <si>
    <t>Yatharth Garg</t>
  </si>
  <si>
    <t>garg.yatharth17@gmail.com</t>
  </si>
  <si>
    <t>Yojan Goyal</t>
  </si>
  <si>
    <t>yojangoyal.jgn@gmail.com</t>
  </si>
  <si>
    <t>yashanderhooda07@gmail.com</t>
  </si>
  <si>
    <t>Yashica Kalra</t>
  </si>
  <si>
    <t>Yuvraj kalra</t>
  </si>
  <si>
    <t>yuvrajkalra292006@gmail.com</t>
  </si>
  <si>
    <t>Yash Kapoor</t>
  </si>
  <si>
    <t>yashkapoorc7@gmail.com</t>
  </si>
  <si>
    <t>Yashmeet kaur</t>
  </si>
  <si>
    <t>kauryashmeet524@gmail.com</t>
  </si>
  <si>
    <t>Yash kaushik</t>
  </si>
  <si>
    <t>heatblast72060@gmail.com</t>
  </si>
  <si>
    <t>Yash Khandelwal</t>
  </si>
  <si>
    <t>Yuvraj kukreja</t>
  </si>
  <si>
    <t>yuvrajkukreja346@gmail.com</t>
  </si>
  <si>
    <t>Yajas Lakhanpal</t>
  </si>
  <si>
    <t>yajas2006@gmail.com</t>
  </si>
  <si>
    <t>Ymalik_be25@thapar.edu</t>
  </si>
  <si>
    <t>Yashmalikus05@gmail.com</t>
  </si>
  <si>
    <t>Yash Mangla</t>
  </si>
  <si>
    <t>yashmangla.official@gmail.com</t>
  </si>
  <si>
    <t>Yashmeet Narr</t>
  </si>
  <si>
    <t>gulnarr29@gmail.com</t>
  </si>
  <si>
    <t>Yatin Saluja</t>
  </si>
  <si>
    <t>yatin141179@gmail.com</t>
  </si>
  <si>
    <t>Yash kumar singh</t>
  </si>
  <si>
    <t>Ksyaksh@gmail.com</t>
  </si>
  <si>
    <t>yuvrajs0456@gmail.com</t>
  </si>
  <si>
    <t>11yuvrajchouhan6@gmail.com</t>
  </si>
  <si>
    <t>yashsoni6791@gmail.com</t>
  </si>
  <si>
    <t>ysoni1_be25@thapar.edu</t>
  </si>
  <si>
    <t>Yuvan Soni</t>
  </si>
  <si>
    <t>1025230135</t>
  </si>
  <si>
    <t>yuvansoni.workspace.31@gmail.com</t>
  </si>
  <si>
    <t>Yash</t>
  </si>
  <si>
    <t>yashdaderwal@gmail.com</t>
  </si>
  <si>
    <t>Yashika</t>
  </si>
  <si>
    <t>Yyashika1_be25@thapar.edu</t>
  </si>
  <si>
    <t>Yashika Sacher</t>
  </si>
  <si>
    <t>Yashikasacher@gmail.com</t>
  </si>
  <si>
    <t>ytayal05@gmail.com</t>
  </si>
  <si>
    <t>Yashvi Gupta</t>
  </si>
  <si>
    <t>yaahvigupta191206@gmail.com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</si>
</sst>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sz val="13.0"/>
      <color theme="1"/>
      <name val="Arial"/>
    </font>
    <font>
      <color theme="1"/>
      <name val="Arial"/>
      <scheme val="minor"/>
    </font>
    <font>
      <sz val="12.0"/>
      <color theme="1"/>
      <name val="Arial"/>
    </font>
    <font/>
    <font>
      <b/>
      <color theme="1"/>
      <name val="Roboto"/>
    </font>
    <font>
      <color rgb="FF434343"/>
      <name val="Roboto"/>
    </font>
    <font>
      <color theme="1"/>
      <name val="Roboto"/>
    </font>
    <font>
      <u/>
      <color rgb="FF434343"/>
      <name val="Roboto"/>
    </font>
    <font>
      <color rgb="FF1F1F1F"/>
      <name val="Arial"/>
    </font>
    <font>
      <b/>
      <color theme="1"/>
      <name val="Arial"/>
    </font>
    <font>
      <u/>
      <color rgb="FF0000FF"/>
      <name val="Arial"/>
    </font>
    <font>
      <u/>
      <color rgb="FF0000FF"/>
      <name val="Roboto"/>
    </font>
    <font>
      <u/>
      <color rgb="FF434343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EA4335"/>
        <bgColor rgb="FFEA4335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EA4335"/>
      </right>
      <top style="thin">
        <color rgb="FFEA4335"/>
      </top>
      <bottom style="thin">
        <color rgb="FFEA433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42F65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FF00"/>
      </left>
      <right style="thin">
        <color rgb="FF442F65"/>
      </right>
      <top style="thin">
        <color rgb="FFFFFF00"/>
      </top>
      <bottom style="thin">
        <color rgb="FFFFFF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left"/>
    </xf>
    <xf borderId="1" fillId="3" fontId="3" numFmtId="0" xfId="0" applyAlignment="1" applyBorder="1" applyFill="1" applyFont="1">
      <alignment horizontal="center"/>
    </xf>
    <xf borderId="0" fillId="0" fontId="4" numFmtId="164" xfId="0" applyAlignment="1" applyFont="1" applyNumberFormat="1">
      <alignment readingOrder="0" shrinkToFit="0" wrapText="0"/>
    </xf>
    <xf borderId="0" fillId="0" fontId="2" numFmtId="49" xfId="0" applyAlignment="1" applyFont="1" applyNumberFormat="1">
      <alignment horizontal="left"/>
    </xf>
    <xf borderId="0" fillId="0" fontId="4" numFmtId="0" xfId="0" applyAlignment="1" applyFont="1">
      <alignment readingOrder="0" shrinkToFit="0" wrapText="0"/>
    </xf>
    <xf borderId="1" fillId="3" fontId="3" numFmtId="0" xfId="0" applyAlignment="1" applyBorder="1" applyFont="1">
      <alignment horizontal="left"/>
    </xf>
    <xf borderId="0" fillId="0" fontId="4" numFmtId="0" xfId="0" applyAlignment="1" applyFont="1">
      <alignment shrinkToFit="0" wrapText="0"/>
    </xf>
    <xf borderId="0" fillId="0" fontId="2" numFmtId="0" xfId="0" applyAlignment="1" applyFont="1">
      <alignment horizontal="right"/>
    </xf>
    <xf borderId="0" fillId="0" fontId="2" numFmtId="49" xfId="0" applyAlignment="1" applyFont="1" applyNumberFormat="1">
      <alignment horizontal="right"/>
    </xf>
    <xf borderId="0" fillId="0" fontId="2" numFmtId="0" xfId="0" applyFont="1"/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2" fillId="0" fontId="5" numFmtId="0" xfId="0" applyAlignment="1" applyBorder="1" applyFont="1">
      <alignment horizontal="center" vertical="bottom"/>
    </xf>
    <xf borderId="3" fillId="0" fontId="6" numFmtId="0" xfId="0" applyBorder="1" applyFont="1"/>
    <xf borderId="4" fillId="0" fontId="6" numFmtId="0" xfId="0" applyBorder="1" applyFont="1"/>
    <xf borderId="0" fillId="0" fontId="7" numFmtId="0" xfId="0" applyAlignment="1" applyFont="1">
      <alignment horizontal="left" readingOrder="0" shrinkToFit="0" vertical="center" wrapText="0"/>
    </xf>
    <xf borderId="5" fillId="4" fontId="8" numFmtId="0" xfId="0" applyAlignment="1" applyBorder="1" applyFill="1" applyFont="1">
      <alignment shrinkToFit="0" vertical="center" wrapText="0"/>
    </xf>
    <xf borderId="6" fillId="4" fontId="8" numFmtId="0" xfId="0" applyAlignment="1" applyBorder="1" applyFont="1">
      <alignment shrinkToFit="0" vertical="center" wrapText="0"/>
    </xf>
    <xf borderId="6" fillId="4" fontId="8" numFmtId="49" xfId="0" applyAlignment="1" applyBorder="1" applyFont="1" applyNumberFormat="1">
      <alignment shrinkToFit="0" vertical="center" wrapText="0"/>
    </xf>
    <xf borderId="7" fillId="4" fontId="8" numFmtId="0" xfId="0" applyAlignment="1" applyBorder="1" applyFont="1">
      <alignment horizontal="right" shrinkToFit="0" vertical="center" wrapText="0"/>
    </xf>
    <xf borderId="8" fillId="5" fontId="8" numFmtId="0" xfId="0" applyAlignment="1" applyBorder="1" applyFill="1" applyFont="1">
      <alignment shrinkToFit="0" vertical="center" wrapText="0"/>
    </xf>
    <xf borderId="9" fillId="5" fontId="8" numFmtId="0" xfId="0" applyAlignment="1" applyBorder="1" applyFont="1">
      <alignment shrinkToFit="0" vertical="center" wrapText="0"/>
    </xf>
    <xf borderId="9" fillId="5" fontId="8" numFmtId="49" xfId="0" applyAlignment="1" applyBorder="1" applyFont="1" applyNumberFormat="1">
      <alignment shrinkToFit="0" vertical="center" wrapText="0"/>
    </xf>
    <xf borderId="10" fillId="5" fontId="8" numFmtId="0" xfId="0" applyAlignment="1" applyBorder="1" applyFont="1">
      <alignment horizontal="right" shrinkToFit="0" vertical="center" wrapText="0"/>
    </xf>
    <xf borderId="11" fillId="6" fontId="9" numFmtId="0" xfId="0" applyAlignment="1" applyBorder="1" applyFill="1" applyFont="1">
      <alignment shrinkToFit="0" vertical="center" wrapText="0"/>
    </xf>
    <xf borderId="12" fillId="0" fontId="5" numFmtId="0" xfId="0" applyAlignment="1" applyBorder="1" applyFont="1">
      <alignment horizontal="center" vertical="bottom"/>
    </xf>
    <xf borderId="12" fillId="0" fontId="5" numFmtId="0" xfId="0" applyAlignment="1" applyBorder="1" applyFont="1">
      <alignment horizontal="left" vertical="bottom"/>
    </xf>
    <xf borderId="7" fillId="4" fontId="2" numFmtId="0" xfId="0" applyAlignment="1" applyBorder="1" applyFont="1">
      <alignment shrinkToFit="0" vertical="center" wrapText="0"/>
    </xf>
    <xf borderId="11" fillId="6" fontId="8" numFmtId="0" xfId="0" applyAlignment="1" applyBorder="1" applyFont="1">
      <alignment shrinkToFit="0" vertical="center" wrapText="0"/>
    </xf>
    <xf borderId="1" fillId="3" fontId="3" numFmtId="49" xfId="0" applyAlignment="1" applyBorder="1" applyFont="1" applyNumberFormat="1">
      <alignment horizontal="center"/>
    </xf>
    <xf borderId="2" fillId="0" fontId="5" numFmtId="49" xfId="0" applyAlignment="1" applyBorder="1" applyFont="1" applyNumberFormat="1">
      <alignment horizontal="center" vertical="bottom"/>
    </xf>
    <xf borderId="12" fillId="0" fontId="5" numFmtId="49" xfId="0" applyAlignment="1" applyBorder="1" applyFont="1" applyNumberFormat="1">
      <alignment horizontal="center" vertical="bottom"/>
    </xf>
    <xf borderId="10" fillId="5" fontId="8" numFmtId="0" xfId="0" applyAlignment="1" applyBorder="1" applyFont="1">
      <alignment horizontal="center" shrinkToFit="0" vertical="center" wrapText="0"/>
    </xf>
    <xf borderId="8" fillId="5" fontId="10" numFmtId="0" xfId="0" applyAlignment="1" applyBorder="1" applyFont="1">
      <alignment shrinkToFit="0" vertical="center" wrapText="0"/>
    </xf>
    <xf borderId="0" fillId="0" fontId="2" numFmtId="49" xfId="0" applyFont="1" applyNumberFormat="1"/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center" wrapText="0"/>
    </xf>
    <xf borderId="0" fillId="0" fontId="11" numFmtId="0" xfId="0" applyAlignment="1" applyFont="1">
      <alignment shrinkToFit="0" vertical="top" wrapText="1"/>
    </xf>
    <xf borderId="0" fillId="7" fontId="12" numFmtId="0" xfId="0" applyAlignment="1" applyFill="1" applyFont="1">
      <alignment readingOrder="0" shrinkToFit="0" vertical="top" wrapText="1"/>
    </xf>
    <xf borderId="0" fillId="0" fontId="13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2" fillId="0" fontId="2" numFmtId="0" xfId="0" applyAlignment="1" applyBorder="1" applyFont="1">
      <alignment horizontal="left" readingOrder="0" shrinkToFit="0" vertical="top" wrapText="1"/>
    </xf>
    <xf borderId="12" fillId="0" fontId="12" numFmtId="0" xfId="0" applyAlignment="1" applyBorder="1" applyFont="1">
      <alignment shrinkToFit="0" vertical="top" wrapText="1"/>
    </xf>
    <xf borderId="12" fillId="0" fontId="14" numFmtId="0" xfId="0" applyAlignment="1" applyBorder="1" applyFont="1">
      <alignment shrinkToFit="0" vertical="top" wrapText="1"/>
    </xf>
    <xf borderId="12" fillId="0" fontId="2" numFmtId="0" xfId="0" applyAlignment="1" applyBorder="1" applyFont="1">
      <alignment readingOrder="0" shrinkToFit="0" vertical="top" wrapText="1"/>
    </xf>
    <xf borderId="12" fillId="0" fontId="12" numFmtId="0" xfId="0" applyAlignment="1" applyBorder="1" applyFont="1">
      <alignment readingOrder="0" shrinkToFit="0" vertical="top" wrapText="1"/>
    </xf>
    <xf borderId="12" fillId="0" fontId="2" numFmtId="0" xfId="0" applyAlignment="1" applyBorder="1" applyFont="1">
      <alignment shrinkToFit="0" vertical="top" wrapText="1"/>
    </xf>
    <xf borderId="13" fillId="8" fontId="8" numFmtId="0" xfId="0" applyAlignment="1" applyBorder="1" applyFill="1" applyFont="1">
      <alignment shrinkToFit="0" vertical="center" wrapText="0"/>
    </xf>
    <xf borderId="14" fillId="8" fontId="8" numFmtId="0" xfId="0" applyAlignment="1" applyBorder="1" applyFont="1">
      <alignment shrinkToFit="0" vertical="center" wrapText="0"/>
    </xf>
    <xf borderId="14" fillId="8" fontId="8" numFmtId="49" xfId="0" applyAlignment="1" applyBorder="1" applyFont="1" applyNumberFormat="1">
      <alignment shrinkToFit="0" vertical="center" wrapText="0"/>
    </xf>
    <xf borderId="15" fillId="8" fontId="8" numFmtId="0" xfId="0" applyAlignment="1" applyBorder="1" applyFont="1">
      <alignment horizontal="right" shrinkToFit="0" vertical="center" wrapText="0"/>
    </xf>
    <xf borderId="10" fillId="5" fontId="2" numFmtId="0" xfId="0" applyAlignment="1" applyBorder="1" applyFont="1">
      <alignment shrinkToFit="0" vertical="center" wrapText="0"/>
    </xf>
    <xf borderId="0" fillId="0" fontId="4" numFmtId="0" xfId="0" applyFont="1"/>
    <xf borderId="0" fillId="0" fontId="2" numFmtId="164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0" fillId="5" fontId="8" numFmtId="0" xfId="0" applyAlignment="1" applyBorder="1" applyFont="1">
      <alignment shrinkToFit="0" vertical="center" wrapText="0"/>
    </xf>
    <xf borderId="7" fillId="4" fontId="8" numFmtId="0" xfId="0" applyAlignment="1" applyBorder="1" applyFont="1">
      <alignment shrinkToFit="0" vertical="center" wrapText="0"/>
    </xf>
    <xf borderId="5" fillId="4" fontId="15" numFmtId="0" xfId="0" applyAlignment="1" applyBorder="1" applyFont="1">
      <alignment shrinkToFit="0" vertical="center" wrapText="0"/>
    </xf>
    <xf borderId="5" fillId="4" fontId="2" numFmtId="164" xfId="0" applyAlignment="1" applyBorder="1" applyFont="1" applyNumberFormat="1">
      <alignment shrinkToFit="0" vertical="center" wrapText="0"/>
    </xf>
    <xf borderId="6" fillId="4" fontId="2" numFmtId="0" xfId="0" applyAlignment="1" applyBorder="1" applyFont="1">
      <alignment shrinkToFit="0" vertical="center" wrapText="0"/>
    </xf>
    <xf borderId="6" fillId="4" fontId="2" numFmtId="49" xfId="0" applyAlignment="1" applyBorder="1" applyFont="1" applyNumberFormat="1">
      <alignment shrinkToFit="0" vertical="center" wrapText="0"/>
    </xf>
    <xf borderId="8" fillId="5" fontId="2" numFmtId="164" xfId="0" applyAlignment="1" applyBorder="1" applyFont="1" applyNumberFormat="1">
      <alignment shrinkToFit="0" vertical="center" wrapText="0"/>
    </xf>
    <xf borderId="9" fillId="5" fontId="2" numFmtId="0" xfId="0" applyAlignment="1" applyBorder="1" applyFont="1">
      <alignment shrinkToFit="0" vertical="center" wrapText="0"/>
    </xf>
    <xf borderId="9" fillId="5" fontId="2" numFmtId="49" xfId="0" applyAlignment="1" applyBorder="1" applyFont="1" applyNumberFormat="1">
      <alignment shrinkToFit="0" vertical="center" wrapText="0"/>
    </xf>
    <xf borderId="8" fillId="5" fontId="2" numFmtId="0" xfId="0" applyAlignment="1" applyBorder="1" applyFont="1">
      <alignment shrinkToFit="0" vertical="center" wrapText="0"/>
    </xf>
    <xf borderId="5" fillId="4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FullStudentLi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yGroups-style">
      <tableStyleElement dxfId="5" type="headerRow"/>
      <tableStyleElement dxfId="2" type="firstRowStripe"/>
      <tableStyleElement dxfId="6" type="secondRowStripe"/>
      <tableStyleElement dxfId="7" size="0" type="wholeTable"/>
    </tableStyle>
    <tableStyle count="4" pivot="0" name="Config-style">
      <tableStyleElement dxfId="5" type="headerRow"/>
      <tableStyleElement dxfId="2" type="firstRowStripe"/>
      <tableStyleElement dxfId="6" type="secondRowStripe"/>
      <tableStyleElement dxfId="7" size="0" type="wholeTable"/>
    </tableStyle>
    <tableStyle count="4" pivot="0" name="Template-style">
      <tableStyleElement dxfId="5" type="headerRow"/>
      <tableStyleElement dxfId="2" type="firstRowStripe"/>
      <tableStyleElement dxfId="6" type="secondRowStripe"/>
      <tableStyleElement dxfId="7" size="0" type="wholeTable"/>
    </tableStyle>
    <tableStyle count="4" pivot="0" name="04_08_2026_2C4-style">
      <tableStyleElement dxfId="5" type="headerRow"/>
      <tableStyleElement dxfId="2" type="firstRowStripe"/>
      <tableStyleElement dxfId="6" type="secondRowStripe"/>
      <tableStyleElement dxfId="7" size="0" type="wholeTable"/>
    </tableStyle>
    <tableStyle count="4" pivot="0" name="31_07_2026_2C7-style">
      <tableStyleElement dxfId="5" type="headerRow"/>
      <tableStyleElement dxfId="2" type="firstRowStripe"/>
      <tableStyleElement dxfId="6" type="secondRowStripe"/>
      <tableStyleElement dxfId="7" size="0" type="wholeTable"/>
    </tableStyle>
    <tableStyle count="4" pivot="0" name="test_2C4-style">
      <tableStyleElement dxfId="5" type="headerRow"/>
      <tableStyleElement dxfId="2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122" displayName="Table3" name="Table3" id="1">
  <tableColumns count="7">
    <tableColumn name="ThaparEmailID" id="1"/>
    <tableColumn name="Name" id="2"/>
    <tableColumn name="Roll" id="3"/>
    <tableColumn name="GmailID" id="4"/>
    <tableColumn name="Class" id="5"/>
    <tableColumn name="Is Duplicate" id="6"/>
    <tableColumn name="ContactNo." id="7"/>
  </tableColumns>
  <tableStyleInfo name="FullStudentList-style" showColumnStripes="0" showFirstColumn="1" showLastColumn="1" showRowStripes="1"/>
</table>
</file>

<file path=xl/tables/table2.xml><?xml version="1.0" encoding="utf-8"?>
<table xmlns="http://schemas.openxmlformats.org/spreadsheetml/2006/main" ref="A1:I274" displayName="Table4" name="Table4" id="2">
  <tableColumns count="9">
    <tableColumn name="User Id" id="1"/>
    <tableColumn name="Name" id="2"/>
    <tableColumn name="CC Username" id="3"/>
    <tableColumn name="Email" id="4"/>
    <tableColumn name="Roll No" id="5"/>
    <tableColumn name="Class" id="6"/>
    <tableColumn name="GmailID" id="7"/>
    <tableColumn name="ContactDetails" id="8"/>
    <tableColumn name="CodeChefID" id="9"/>
  </tableColumns>
  <tableStyleInfo name="MyGroups-style" showColumnStripes="0" showFirstColumn="1" showLastColumn="1" showRowStripes="1"/>
</table>
</file>

<file path=xl/tables/table3.xml><?xml version="1.0" encoding="utf-8"?>
<table xmlns="http://schemas.openxmlformats.org/spreadsheetml/2006/main" ref="A2:D44" displayName="Table1" name="Table1" id="3">
  <tableColumns count="4">
    <tableColumn name="Date" id="1"/>
    <tableColumn name="Group" id="2"/>
    <tableColumn name="ImageUrl" id="3"/>
    <tableColumn name="MaxSerial" id="4"/>
  </tableColumns>
  <tableStyleInfo name="Config-style" showColumnStripes="0" showFirstColumn="1" showLastColumn="1" showRowStripes="1"/>
</table>
</file>

<file path=xl/tables/table4.xml><?xml version="1.0" encoding="utf-8"?>
<table xmlns="http://schemas.openxmlformats.org/spreadsheetml/2006/main" ref="A1:D160" displayName="Table2_2" name="Table2_2" id="4">
  <tableColumns count="4">
    <tableColumn name="Timestamp" id="1"/>
    <tableColumn name="Email" id="2"/>
    <tableColumn name="Roll Number" id="3"/>
    <tableColumn name="Serial Number" id="4"/>
  </tableColumns>
  <tableStyleInfo name="Template-style" showColumnStripes="0" showFirstColumn="1" showLastColumn="1" showRowStripes="1"/>
</table>
</file>

<file path=xl/tables/table5.xml><?xml version="1.0" encoding="utf-8"?>
<table xmlns="http://schemas.openxmlformats.org/spreadsheetml/2006/main" ref="A1:D160" displayName="Table2_4" name="Table2_4" id="5">
  <tableColumns count="4">
    <tableColumn name="Timestamp" id="1"/>
    <tableColumn name="Email" id="2"/>
    <tableColumn name="Roll Number" id="3"/>
    <tableColumn name="Serial Number" id="4"/>
  </tableColumns>
  <tableStyleInfo name="04_08_2026_2C4-style" showColumnStripes="0" showFirstColumn="1" showLastColumn="1" showRowStripes="1"/>
</table>
</file>

<file path=xl/tables/table6.xml><?xml version="1.0" encoding="utf-8"?>
<table xmlns="http://schemas.openxmlformats.org/spreadsheetml/2006/main" ref="A1:D160" displayName="Table2_6" name="Table2_6" id="6">
  <tableColumns count="4">
    <tableColumn name="Timestamp" id="1"/>
    <tableColumn name="Email" id="2"/>
    <tableColumn name="Roll Number" id="3"/>
    <tableColumn name="Serial Number" id="4"/>
  </tableColumns>
  <tableStyleInfo name="31_07_2026_2C7-style" showColumnStripes="0" showFirstColumn="1" showLastColumn="1" showRowStripes="1"/>
</table>
</file>

<file path=xl/tables/table7.xml><?xml version="1.0" encoding="utf-8"?>
<table xmlns="http://schemas.openxmlformats.org/spreadsheetml/2006/main" ref="A1:D160" displayName="Table2" name="Table2" id="7">
  <tableColumns count="4">
    <tableColumn name="Timestamp" id="1"/>
    <tableColumn name="Email" id="2"/>
    <tableColumn name="Roll Number" id="3"/>
    <tableColumn name="Serial Number" id="4"/>
  </tableColumns>
  <tableStyleInfo name="test_2C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agupta6_be25@thapar.edu" TargetMode="External"/><Relationship Id="rId2" Type="http://schemas.openxmlformats.org/officeDocument/2006/relationships/hyperlink" Target="mailto:gmadaan_be25@thapar.edu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subhrendu1987.github.io/course/attendance/index.html" TargetMode="External"/><Relationship Id="rId2" Type="http://schemas.openxmlformats.org/officeDocument/2006/relationships/hyperlink" Target="https://raw.githubusercontent.com/subhrendu1987/course/main/attendance/Dataset/Preview/04_08_2026_2C4.jpg" TargetMode="External"/><Relationship Id="rId3" Type="http://schemas.openxmlformats.org/officeDocument/2006/relationships/hyperlink" Target="https://raw.githubusercontent.com/subhrendu1987/course/main/attendance/Dataset/Preview/test_2C4.jpg" TargetMode="External"/><Relationship Id="rId4" Type="http://schemas.openxmlformats.org/officeDocument/2006/relationships/drawing" Target="../drawings/drawing9.xml"/><Relationship Id="rId6" Type="http://schemas.openxmlformats.org/officeDocument/2006/relationships/table" Target="../tables/table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4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5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6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5.13"/>
  </cols>
  <sheetData>
    <row r="1">
      <c r="A1" s="1" t="s">
        <v>0</v>
      </c>
      <c r="B1" s="1" t="s">
        <v>3</v>
      </c>
    </row>
    <row r="2">
      <c r="A2" s="4">
        <v>46243.03659859954</v>
      </c>
      <c r="B2" s="6" t="s">
        <v>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2">
        <v>46243.039519768514</v>
      </c>
      <c r="B3" s="13" t="s">
        <v>23</v>
      </c>
    </row>
    <row r="4">
      <c r="A4" s="12">
        <v>46243.03990900463</v>
      </c>
      <c r="B4" s="13" t="s">
        <v>25</v>
      </c>
    </row>
    <row r="5">
      <c r="A5" s="12">
        <v>46243.04040114583</v>
      </c>
      <c r="B5" s="13" t="s">
        <v>31</v>
      </c>
    </row>
    <row r="6">
      <c r="A6" s="12">
        <v>46243.04060353009</v>
      </c>
      <c r="B6" s="13" t="s">
        <v>33</v>
      </c>
    </row>
    <row r="7">
      <c r="A7" s="12"/>
    </row>
    <row r="8">
      <c r="A8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22.5" customHeight="1">
      <c r="A1" s="17" t="s">
        <v>58</v>
      </c>
      <c r="B1" s="17" t="s">
        <v>4</v>
      </c>
      <c r="C1" s="17" t="s">
        <v>69</v>
      </c>
      <c r="D1" s="17" t="s">
        <v>74</v>
      </c>
      <c r="E1" s="17" t="s">
        <v>8</v>
      </c>
      <c r="F1" s="17" t="s">
        <v>79</v>
      </c>
      <c r="G1" s="17" t="s">
        <v>82</v>
      </c>
    </row>
    <row r="2" ht="22.5" customHeight="1">
      <c r="A2" s="18" t="s">
        <v>87</v>
      </c>
      <c r="B2" s="19" t="s">
        <v>92</v>
      </c>
      <c r="C2" s="20" t="s">
        <v>95</v>
      </c>
      <c r="D2" s="19" t="s">
        <v>99</v>
      </c>
      <c r="E2" s="19" t="s">
        <v>100</v>
      </c>
      <c r="F2" s="19" t="s">
        <v>105</v>
      </c>
      <c r="G2" s="21">
        <v>7.888949112E9</v>
      </c>
    </row>
    <row r="3" ht="22.5" customHeight="1">
      <c r="A3" s="22" t="s">
        <v>111</v>
      </c>
      <c r="B3" s="23" t="s">
        <v>113</v>
      </c>
      <c r="C3" s="24" t="s">
        <v>117</v>
      </c>
      <c r="D3" s="23" t="s">
        <v>122</v>
      </c>
      <c r="E3" s="23" t="s">
        <v>123</v>
      </c>
      <c r="F3" s="23" t="s">
        <v>105</v>
      </c>
      <c r="G3" s="25">
        <v>7.717669335E9</v>
      </c>
    </row>
    <row r="4" ht="22.5" customHeight="1">
      <c r="A4" s="18" t="s">
        <v>131</v>
      </c>
      <c r="B4" s="19" t="s">
        <v>133</v>
      </c>
      <c r="C4" s="20" t="s">
        <v>136</v>
      </c>
      <c r="D4" s="19" t="s">
        <v>131</v>
      </c>
      <c r="E4" s="19" t="s">
        <v>140</v>
      </c>
      <c r="F4" s="19" t="s">
        <v>105</v>
      </c>
      <c r="G4" s="21">
        <v>8.950686179E9</v>
      </c>
    </row>
    <row r="5" ht="22.5" customHeight="1">
      <c r="A5" s="22" t="s">
        <v>150</v>
      </c>
      <c r="B5" s="23" t="s">
        <v>153</v>
      </c>
      <c r="C5" s="24" t="s">
        <v>158</v>
      </c>
      <c r="D5" s="23" t="s">
        <v>160</v>
      </c>
      <c r="E5" s="23" t="s">
        <v>37</v>
      </c>
      <c r="F5" s="23" t="s">
        <v>105</v>
      </c>
      <c r="G5" s="25">
        <v>9.04115543E9</v>
      </c>
    </row>
    <row r="6" ht="22.5" customHeight="1">
      <c r="A6" s="18" t="s">
        <v>172</v>
      </c>
      <c r="B6" s="19" t="s">
        <v>175</v>
      </c>
      <c r="C6" s="20" t="s">
        <v>178</v>
      </c>
      <c r="D6" s="19" t="s">
        <v>183</v>
      </c>
      <c r="E6" s="19" t="s">
        <v>184</v>
      </c>
      <c r="F6" s="19" t="s">
        <v>105</v>
      </c>
      <c r="G6" s="21">
        <v>8.950392093E9</v>
      </c>
    </row>
    <row r="7" ht="22.5" customHeight="1">
      <c r="A7" s="26" t="s">
        <v>193</v>
      </c>
      <c r="B7" s="23" t="s">
        <v>196</v>
      </c>
      <c r="C7" s="24" t="s">
        <v>199</v>
      </c>
      <c r="D7" s="23" t="s">
        <v>193</v>
      </c>
      <c r="E7" s="23" t="s">
        <v>204</v>
      </c>
      <c r="F7" s="23" t="s">
        <v>105</v>
      </c>
      <c r="G7" s="25">
        <v>8.283026948E9</v>
      </c>
    </row>
    <row r="8" ht="22.5" customHeight="1">
      <c r="A8" s="18" t="s">
        <v>214</v>
      </c>
      <c r="B8" s="19" t="s">
        <v>220</v>
      </c>
      <c r="C8" s="20" t="s">
        <v>222</v>
      </c>
      <c r="D8" s="19" t="s">
        <v>228</v>
      </c>
      <c r="E8" s="19" t="s">
        <v>231</v>
      </c>
      <c r="F8" s="19" t="s">
        <v>105</v>
      </c>
      <c r="G8" s="21">
        <v>8.85111903E9</v>
      </c>
    </row>
    <row r="9" ht="22.5" customHeight="1">
      <c r="A9" s="22" t="s">
        <v>241</v>
      </c>
      <c r="B9" s="23" t="s">
        <v>244</v>
      </c>
      <c r="C9" s="24" t="s">
        <v>248</v>
      </c>
      <c r="D9" s="23" t="s">
        <v>250</v>
      </c>
      <c r="E9" s="23" t="s">
        <v>255</v>
      </c>
      <c r="F9" s="23" t="s">
        <v>105</v>
      </c>
      <c r="G9" s="25">
        <v>9.88855048E9</v>
      </c>
    </row>
    <row r="10" ht="22.5" customHeight="1">
      <c r="A10" s="18" t="s">
        <v>264</v>
      </c>
      <c r="B10" s="19" t="s">
        <v>266</v>
      </c>
      <c r="C10" s="20" t="s">
        <v>271</v>
      </c>
      <c r="D10" s="19" t="s">
        <v>274</v>
      </c>
      <c r="E10" s="19" t="s">
        <v>42</v>
      </c>
      <c r="F10" s="19" t="s">
        <v>105</v>
      </c>
      <c r="G10" s="29"/>
    </row>
    <row r="11" ht="22.5" customHeight="1">
      <c r="A11" s="22" t="s">
        <v>288</v>
      </c>
      <c r="B11" s="23" t="s">
        <v>266</v>
      </c>
      <c r="C11" s="24" t="s">
        <v>295</v>
      </c>
      <c r="D11" s="23" t="s">
        <v>298</v>
      </c>
      <c r="E11" s="23" t="s">
        <v>303</v>
      </c>
      <c r="F11" s="23" t="s">
        <v>105</v>
      </c>
      <c r="G11" s="25">
        <v>9.671376488E9</v>
      </c>
    </row>
    <row r="12" ht="22.5" customHeight="1">
      <c r="A12" s="18" t="s">
        <v>312</v>
      </c>
      <c r="B12" s="19" t="s">
        <v>316</v>
      </c>
      <c r="C12" s="20" t="s">
        <v>320</v>
      </c>
      <c r="D12" s="19" t="s">
        <v>323</v>
      </c>
      <c r="E12" s="19" t="s">
        <v>282</v>
      </c>
      <c r="F12" s="19" t="s">
        <v>105</v>
      </c>
      <c r="G12" s="21">
        <v>6.378816765E9</v>
      </c>
    </row>
    <row r="13" ht="22.5" customHeight="1">
      <c r="A13" s="22" t="s">
        <v>334</v>
      </c>
      <c r="B13" s="23" t="s">
        <v>339</v>
      </c>
      <c r="C13" s="24" t="s">
        <v>340</v>
      </c>
      <c r="D13" s="23" t="s">
        <v>343</v>
      </c>
      <c r="E13" s="23" t="s">
        <v>346</v>
      </c>
      <c r="F13" s="23" t="s">
        <v>105</v>
      </c>
      <c r="G13" s="25">
        <v>8.865917688E9</v>
      </c>
    </row>
    <row r="14" ht="22.5" customHeight="1">
      <c r="A14" s="18" t="s">
        <v>354</v>
      </c>
      <c r="B14" s="19" t="s">
        <v>356</v>
      </c>
      <c r="C14" s="20" t="s">
        <v>359</v>
      </c>
      <c r="D14" s="19" t="s">
        <v>362</v>
      </c>
      <c r="E14" s="19" t="s">
        <v>365</v>
      </c>
      <c r="F14" s="19" t="s">
        <v>105</v>
      </c>
      <c r="G14" s="21">
        <v>9.286205862E9</v>
      </c>
    </row>
    <row r="15" ht="22.5" customHeight="1">
      <c r="A15" s="22" t="s">
        <v>372</v>
      </c>
      <c r="B15" s="23" t="s">
        <v>375</v>
      </c>
      <c r="C15" s="24" t="s">
        <v>378</v>
      </c>
      <c r="D15" s="23" t="s">
        <v>380</v>
      </c>
      <c r="E15" s="23" t="s">
        <v>384</v>
      </c>
      <c r="F15" s="23" t="s">
        <v>105</v>
      </c>
      <c r="G15" s="25">
        <v>8.956097975E9</v>
      </c>
    </row>
    <row r="16" ht="22.5" customHeight="1">
      <c r="A16" s="18" t="s">
        <v>392</v>
      </c>
      <c r="B16" s="19" t="s">
        <v>375</v>
      </c>
      <c r="C16" s="20" t="s">
        <v>399</v>
      </c>
      <c r="D16" s="19" t="s">
        <v>402</v>
      </c>
      <c r="E16" s="19" t="s">
        <v>277</v>
      </c>
      <c r="F16" s="19" t="s">
        <v>105</v>
      </c>
      <c r="G16" s="21">
        <v>9.319970025E9</v>
      </c>
    </row>
    <row r="17" ht="22.5" customHeight="1">
      <c r="A17" s="22" t="s">
        <v>411</v>
      </c>
      <c r="B17" s="23" t="s">
        <v>356</v>
      </c>
      <c r="C17" s="24" t="s">
        <v>416</v>
      </c>
      <c r="D17" s="23" t="s">
        <v>417</v>
      </c>
      <c r="E17" s="23" t="s">
        <v>277</v>
      </c>
      <c r="F17" s="23" t="s">
        <v>105</v>
      </c>
      <c r="G17" s="25">
        <v>7.982301911E9</v>
      </c>
    </row>
    <row r="18" ht="22.5" customHeight="1">
      <c r="A18" s="18" t="s">
        <v>426</v>
      </c>
      <c r="B18" s="19" t="s">
        <v>429</v>
      </c>
      <c r="C18" s="20" t="s">
        <v>432</v>
      </c>
      <c r="D18" s="19" t="s">
        <v>433</v>
      </c>
      <c r="E18" s="19" t="s">
        <v>52</v>
      </c>
      <c r="F18" s="19" t="s">
        <v>105</v>
      </c>
      <c r="G18" s="21">
        <v>7.060745392E9</v>
      </c>
    </row>
    <row r="19" ht="22.5" customHeight="1">
      <c r="A19" s="22" t="s">
        <v>441</v>
      </c>
      <c r="B19" s="23" t="s">
        <v>443</v>
      </c>
      <c r="C19" s="24" t="s">
        <v>447</v>
      </c>
      <c r="D19" s="23" t="s">
        <v>449</v>
      </c>
      <c r="E19" s="23" t="s">
        <v>98</v>
      </c>
      <c r="F19" s="23" t="s">
        <v>105</v>
      </c>
      <c r="G19" s="25">
        <v>9.084699938E9</v>
      </c>
    </row>
    <row r="20" ht="22.5" customHeight="1">
      <c r="A20" s="18" t="s">
        <v>458</v>
      </c>
      <c r="B20" s="19" t="s">
        <v>356</v>
      </c>
      <c r="C20" s="20" t="s">
        <v>463</v>
      </c>
      <c r="D20" s="19" t="s">
        <v>464</v>
      </c>
      <c r="E20" s="19" t="s">
        <v>469</v>
      </c>
      <c r="F20" s="19" t="s">
        <v>105</v>
      </c>
      <c r="G20" s="21">
        <v>9.81870087E9</v>
      </c>
    </row>
    <row r="21" ht="22.5" customHeight="1">
      <c r="A21" s="22" t="s">
        <v>474</v>
      </c>
      <c r="B21" s="23" t="s">
        <v>477</v>
      </c>
      <c r="C21" s="24" t="s">
        <v>480</v>
      </c>
      <c r="D21" s="23" t="s">
        <v>482</v>
      </c>
      <c r="E21" s="23" t="s">
        <v>68</v>
      </c>
      <c r="F21" s="23" t="s">
        <v>105</v>
      </c>
      <c r="G21" s="25">
        <v>7.489243681E9</v>
      </c>
    </row>
    <row r="22" ht="22.5" customHeight="1">
      <c r="A22" s="18" t="s">
        <v>490</v>
      </c>
      <c r="B22" s="19" t="s">
        <v>495</v>
      </c>
      <c r="C22" s="20" t="s">
        <v>496</v>
      </c>
      <c r="D22" s="19" t="s">
        <v>501</v>
      </c>
      <c r="E22" s="19" t="s">
        <v>63</v>
      </c>
      <c r="F22" s="19" t="s">
        <v>105</v>
      </c>
      <c r="G22" s="21">
        <v>8.872032444E9</v>
      </c>
    </row>
    <row r="23" ht="22.5" customHeight="1">
      <c r="A23" s="22" t="s">
        <v>511</v>
      </c>
      <c r="B23" s="23" t="s">
        <v>513</v>
      </c>
      <c r="C23" s="24" t="s">
        <v>518</v>
      </c>
      <c r="D23" s="23" t="s">
        <v>519</v>
      </c>
      <c r="E23" s="23" t="s">
        <v>524</v>
      </c>
      <c r="F23" s="23" t="s">
        <v>105</v>
      </c>
      <c r="G23" s="25">
        <v>9.530608114E9</v>
      </c>
    </row>
    <row r="24" ht="22.5" customHeight="1">
      <c r="A24" s="18" t="s">
        <v>531</v>
      </c>
      <c r="B24" s="19" t="s">
        <v>536</v>
      </c>
      <c r="C24" s="20" t="s">
        <v>537</v>
      </c>
      <c r="D24" s="19" t="s">
        <v>541</v>
      </c>
      <c r="E24" s="19" t="s">
        <v>543</v>
      </c>
      <c r="F24" s="19" t="s">
        <v>105</v>
      </c>
      <c r="G24" s="21">
        <v>9.306436364E9</v>
      </c>
    </row>
    <row r="25" ht="22.5" customHeight="1">
      <c r="A25" s="22" t="s">
        <v>553</v>
      </c>
      <c r="B25" s="23" t="s">
        <v>555</v>
      </c>
      <c r="C25" s="24" t="s">
        <v>560</v>
      </c>
      <c r="D25" s="23" t="s">
        <v>561</v>
      </c>
      <c r="E25" s="23" t="s">
        <v>469</v>
      </c>
      <c r="F25" s="23" t="s">
        <v>105</v>
      </c>
      <c r="G25" s="25">
        <v>9.878744897E9</v>
      </c>
    </row>
    <row r="26" ht="22.5" customHeight="1">
      <c r="A26" s="18" t="s">
        <v>570</v>
      </c>
      <c r="B26" s="19" t="s">
        <v>575</v>
      </c>
      <c r="C26" s="20" t="s">
        <v>576</v>
      </c>
      <c r="D26" s="19" t="s">
        <v>580</v>
      </c>
      <c r="E26" s="19" t="s">
        <v>265</v>
      </c>
      <c r="F26" s="19" t="s">
        <v>105</v>
      </c>
      <c r="G26" s="21">
        <v>7.973400127E9</v>
      </c>
    </row>
    <row r="27" ht="22.5" customHeight="1">
      <c r="A27" s="22" t="s">
        <v>587</v>
      </c>
      <c r="B27" s="23" t="s">
        <v>589</v>
      </c>
      <c r="C27" s="24" t="s">
        <v>594</v>
      </c>
      <c r="D27" s="23" t="s">
        <v>596</v>
      </c>
      <c r="E27" s="23" t="s">
        <v>231</v>
      </c>
      <c r="F27" s="23" t="s">
        <v>105</v>
      </c>
      <c r="G27" s="25">
        <v>9.887113436E9</v>
      </c>
    </row>
    <row r="28" ht="22.5" customHeight="1">
      <c r="A28" s="18" t="s">
        <v>601</v>
      </c>
      <c r="B28" s="19" t="s">
        <v>605</v>
      </c>
      <c r="C28" s="20" t="s">
        <v>606</v>
      </c>
      <c r="D28" s="19" t="s">
        <v>612</v>
      </c>
      <c r="E28" s="19" t="s">
        <v>617</v>
      </c>
      <c r="F28" s="19" t="s">
        <v>105</v>
      </c>
      <c r="G28" s="21">
        <v>8.492083127E9</v>
      </c>
    </row>
    <row r="29" ht="22.5" customHeight="1">
      <c r="A29" s="22" t="s">
        <v>623</v>
      </c>
      <c r="B29" s="23" t="s">
        <v>627</v>
      </c>
      <c r="C29" s="24" t="s">
        <v>629</v>
      </c>
      <c r="D29" s="23" t="s">
        <v>635</v>
      </c>
      <c r="E29" s="23" t="s">
        <v>255</v>
      </c>
      <c r="F29" s="23" t="s">
        <v>105</v>
      </c>
      <c r="G29" s="25">
        <v>9.587621245E9</v>
      </c>
    </row>
    <row r="30" ht="22.5" customHeight="1">
      <c r="A30" s="18" t="s">
        <v>645</v>
      </c>
      <c r="B30" s="19" t="s">
        <v>648</v>
      </c>
      <c r="C30" s="20" t="s">
        <v>652</v>
      </c>
      <c r="D30" s="19" t="s">
        <v>655</v>
      </c>
      <c r="E30" s="19" t="s">
        <v>346</v>
      </c>
      <c r="F30" s="19" t="s">
        <v>105</v>
      </c>
      <c r="G30" s="21">
        <v>9.717708917E9</v>
      </c>
    </row>
    <row r="31" ht="22.5" customHeight="1">
      <c r="A31" s="30" t="s">
        <v>661</v>
      </c>
      <c r="B31" s="23" t="s">
        <v>666</v>
      </c>
      <c r="C31" s="24" t="s">
        <v>671</v>
      </c>
      <c r="D31" s="23" t="s">
        <v>672</v>
      </c>
      <c r="E31" s="23" t="s">
        <v>52</v>
      </c>
      <c r="F31" s="23" t="s">
        <v>105</v>
      </c>
      <c r="G31" s="25">
        <v>7.400300006E9</v>
      </c>
    </row>
    <row r="32" ht="22.5" customHeight="1">
      <c r="A32" s="18" t="s">
        <v>682</v>
      </c>
      <c r="B32" s="19" t="s">
        <v>685</v>
      </c>
      <c r="C32" s="20" t="s">
        <v>690</v>
      </c>
      <c r="D32" s="19" t="s">
        <v>691</v>
      </c>
      <c r="E32" s="19" t="s">
        <v>506</v>
      </c>
      <c r="F32" s="19" t="s">
        <v>105</v>
      </c>
      <c r="G32" s="21">
        <v>8.570931863E9</v>
      </c>
    </row>
    <row r="33" ht="22.5" customHeight="1">
      <c r="A33" s="22" t="s">
        <v>701</v>
      </c>
      <c r="B33" s="23" t="s">
        <v>706</v>
      </c>
      <c r="C33" s="24" t="s">
        <v>709</v>
      </c>
      <c r="D33" s="23" t="s">
        <v>710</v>
      </c>
      <c r="E33" s="23" t="s">
        <v>68</v>
      </c>
      <c r="F33" s="23" t="s">
        <v>105</v>
      </c>
      <c r="G33" s="25">
        <v>9.530828144E9</v>
      </c>
    </row>
    <row r="34" ht="22.5" customHeight="1">
      <c r="A34" s="18" t="s">
        <v>721</v>
      </c>
      <c r="B34" s="19" t="s">
        <v>725</v>
      </c>
      <c r="C34" s="20" t="s">
        <v>728</v>
      </c>
      <c r="D34" s="19" t="s">
        <v>731</v>
      </c>
      <c r="E34" s="19" t="s">
        <v>42</v>
      </c>
      <c r="F34" s="19" t="s">
        <v>105</v>
      </c>
      <c r="G34" s="21">
        <v>9.306424505E9</v>
      </c>
    </row>
    <row r="35" ht="22.5" customHeight="1">
      <c r="A35" s="22" t="s">
        <v>741</v>
      </c>
      <c r="B35" s="23" t="s">
        <v>747</v>
      </c>
      <c r="C35" s="24" t="s">
        <v>749</v>
      </c>
      <c r="D35" s="23" t="s">
        <v>752</v>
      </c>
      <c r="E35" s="23" t="s">
        <v>140</v>
      </c>
      <c r="F35" s="23" t="s">
        <v>105</v>
      </c>
      <c r="G35" s="25">
        <v>9.928018927E9</v>
      </c>
    </row>
    <row r="36" ht="22.5" customHeight="1">
      <c r="A36" s="18" t="s">
        <v>90</v>
      </c>
      <c r="B36" s="19" t="s">
        <v>88</v>
      </c>
      <c r="C36" s="20" t="s">
        <v>91</v>
      </c>
      <c r="D36" s="19" t="s">
        <v>769</v>
      </c>
      <c r="E36" s="19" t="s">
        <v>81</v>
      </c>
      <c r="F36" s="19" t="s">
        <v>105</v>
      </c>
      <c r="G36" s="21">
        <v>7.737040519E9</v>
      </c>
    </row>
    <row r="37" ht="22.5" customHeight="1">
      <c r="A37" s="22" t="s">
        <v>781</v>
      </c>
      <c r="B37" s="23" t="s">
        <v>783</v>
      </c>
      <c r="C37" s="24" t="s">
        <v>786</v>
      </c>
      <c r="D37" s="23" t="s">
        <v>790</v>
      </c>
      <c r="E37" s="23" t="s">
        <v>792</v>
      </c>
      <c r="F37" s="23" t="s">
        <v>105</v>
      </c>
      <c r="G37" s="25">
        <v>7.986039278E9</v>
      </c>
    </row>
    <row r="38" ht="22.5" customHeight="1">
      <c r="A38" s="18" t="s">
        <v>802</v>
      </c>
      <c r="B38" s="19" t="s">
        <v>805</v>
      </c>
      <c r="C38" s="20" t="s">
        <v>809</v>
      </c>
      <c r="D38" s="19" t="s">
        <v>813</v>
      </c>
      <c r="E38" s="19" t="s">
        <v>512</v>
      </c>
      <c r="F38" s="19" t="s">
        <v>105</v>
      </c>
      <c r="G38" s="21">
        <v>6.28098359E9</v>
      </c>
    </row>
    <row r="39" ht="22.5" customHeight="1">
      <c r="A39" s="22" t="s">
        <v>830</v>
      </c>
      <c r="B39" s="23" t="s">
        <v>833</v>
      </c>
      <c r="C39" s="24" t="s">
        <v>835</v>
      </c>
      <c r="D39" s="23" t="s">
        <v>840</v>
      </c>
      <c r="E39" s="23" t="s">
        <v>604</v>
      </c>
      <c r="F39" s="23" t="s">
        <v>105</v>
      </c>
      <c r="G39" s="25">
        <v>9.253201973E9</v>
      </c>
    </row>
    <row r="40" ht="22.5" customHeight="1">
      <c r="A40" s="18" t="s">
        <v>852</v>
      </c>
      <c r="B40" s="19" t="s">
        <v>856</v>
      </c>
      <c r="C40" s="20" t="s">
        <v>860</v>
      </c>
      <c r="D40" s="19" t="s">
        <v>861</v>
      </c>
      <c r="E40" s="19" t="s">
        <v>98</v>
      </c>
      <c r="F40" s="19" t="s">
        <v>105</v>
      </c>
      <c r="G40" s="21">
        <v>9.81545257E9</v>
      </c>
    </row>
    <row r="41" ht="22.5" customHeight="1">
      <c r="A41" s="22" t="s">
        <v>873</v>
      </c>
      <c r="B41" s="23" t="s">
        <v>879</v>
      </c>
      <c r="C41" s="24" t="s">
        <v>882</v>
      </c>
      <c r="D41" s="23" t="s">
        <v>886</v>
      </c>
      <c r="E41" s="23" t="s">
        <v>889</v>
      </c>
      <c r="F41" s="23" t="s">
        <v>105</v>
      </c>
      <c r="G41" s="25">
        <v>9.878708602E9</v>
      </c>
    </row>
    <row r="42" ht="22.5" customHeight="1">
      <c r="A42" s="18" t="s">
        <v>899</v>
      </c>
      <c r="B42" s="19" t="s">
        <v>901</v>
      </c>
      <c r="C42" s="20" t="s">
        <v>907</v>
      </c>
      <c r="D42" s="19" t="s">
        <v>908</v>
      </c>
      <c r="E42" s="19" t="s">
        <v>63</v>
      </c>
      <c r="F42" s="19" t="s">
        <v>105</v>
      </c>
      <c r="G42" s="21">
        <v>8.397955961E9</v>
      </c>
    </row>
    <row r="43" ht="22.5" customHeight="1">
      <c r="A43" s="22" t="s">
        <v>920</v>
      </c>
      <c r="B43" s="23" t="s">
        <v>923</v>
      </c>
      <c r="C43" s="24" t="s">
        <v>928</v>
      </c>
      <c r="D43" s="23" t="s">
        <v>930</v>
      </c>
      <c r="E43" s="23" t="s">
        <v>30</v>
      </c>
      <c r="F43" s="23" t="s">
        <v>105</v>
      </c>
      <c r="G43" s="25">
        <v>9.056500696E9</v>
      </c>
    </row>
    <row r="44" ht="22.5" customHeight="1">
      <c r="A44" s="18" t="s">
        <v>940</v>
      </c>
      <c r="B44" s="19" t="s">
        <v>945</v>
      </c>
      <c r="C44" s="20" t="s">
        <v>947</v>
      </c>
      <c r="D44" s="19" t="s">
        <v>952</v>
      </c>
      <c r="E44" s="19" t="s">
        <v>346</v>
      </c>
      <c r="F44" s="19" t="s">
        <v>105</v>
      </c>
      <c r="G44" s="21">
        <v>7.986611564E9</v>
      </c>
    </row>
    <row r="45" ht="22.5" customHeight="1">
      <c r="A45" s="22" t="s">
        <v>963</v>
      </c>
      <c r="B45" s="23" t="s">
        <v>966</v>
      </c>
      <c r="C45" s="24" t="s">
        <v>971</v>
      </c>
      <c r="D45" s="23" t="s">
        <v>974</v>
      </c>
      <c r="E45" s="23" t="s">
        <v>469</v>
      </c>
      <c r="F45" s="23" t="s">
        <v>105</v>
      </c>
      <c r="G45" s="25">
        <v>6.280735238E9</v>
      </c>
    </row>
    <row r="46" ht="22.5" customHeight="1">
      <c r="A46" s="18" t="s">
        <v>985</v>
      </c>
      <c r="B46" s="19" t="s">
        <v>988</v>
      </c>
      <c r="C46" s="20" t="s">
        <v>994</v>
      </c>
      <c r="D46" s="19" t="s">
        <v>996</v>
      </c>
      <c r="E46" s="19" t="s">
        <v>1002</v>
      </c>
      <c r="F46" s="19" t="s">
        <v>105</v>
      </c>
      <c r="G46" s="21">
        <v>8.607940817E9</v>
      </c>
    </row>
    <row r="47" ht="22.5" customHeight="1">
      <c r="A47" s="22" t="s">
        <v>1009</v>
      </c>
      <c r="B47" s="23" t="s">
        <v>1014</v>
      </c>
      <c r="C47" s="24" t="s">
        <v>1017</v>
      </c>
      <c r="D47" s="23" t="s">
        <v>1022</v>
      </c>
      <c r="E47" s="23" t="s">
        <v>889</v>
      </c>
      <c r="F47" s="23" t="s">
        <v>105</v>
      </c>
      <c r="G47" s="25">
        <v>7.88844613E9</v>
      </c>
    </row>
    <row r="48" ht="22.5" customHeight="1">
      <c r="A48" s="18" t="s">
        <v>1033</v>
      </c>
      <c r="B48" s="19" t="s">
        <v>1034</v>
      </c>
      <c r="C48" s="20" t="s">
        <v>1036</v>
      </c>
      <c r="D48" s="19" t="s">
        <v>1041</v>
      </c>
      <c r="E48" s="19" t="s">
        <v>889</v>
      </c>
      <c r="F48" s="19" t="s">
        <v>105</v>
      </c>
      <c r="G48" s="21">
        <v>7.69687705E9</v>
      </c>
    </row>
    <row r="49" ht="22.5" customHeight="1">
      <c r="A49" s="22" t="s">
        <v>1051</v>
      </c>
      <c r="B49" s="23" t="s">
        <v>1055</v>
      </c>
      <c r="C49" s="24" t="s">
        <v>1057</v>
      </c>
      <c r="D49" s="23" t="s">
        <v>1063</v>
      </c>
      <c r="E49" s="23" t="s">
        <v>1064</v>
      </c>
      <c r="F49" s="23" t="s">
        <v>105</v>
      </c>
      <c r="G49" s="25">
        <v>8.218652344E9</v>
      </c>
    </row>
    <row r="50" ht="22.5" customHeight="1">
      <c r="A50" s="18" t="s">
        <v>1077</v>
      </c>
      <c r="B50" s="19" t="s">
        <v>1078</v>
      </c>
      <c r="C50" s="20" t="s">
        <v>1084</v>
      </c>
      <c r="D50" s="19" t="s">
        <v>1086</v>
      </c>
      <c r="E50" s="19" t="s">
        <v>346</v>
      </c>
      <c r="F50" s="19" t="s">
        <v>105</v>
      </c>
      <c r="G50" s="21">
        <v>9.913439E9</v>
      </c>
    </row>
    <row r="51" ht="22.5" customHeight="1">
      <c r="A51" s="22" t="s">
        <v>1096</v>
      </c>
      <c r="B51" s="23" t="s">
        <v>1099</v>
      </c>
      <c r="C51" s="24" t="s">
        <v>1102</v>
      </c>
      <c r="D51" s="23" t="s">
        <v>1104</v>
      </c>
      <c r="E51" s="23" t="s">
        <v>543</v>
      </c>
      <c r="F51" s="23" t="s">
        <v>105</v>
      </c>
      <c r="G51" s="25">
        <v>9.810643273E9</v>
      </c>
    </row>
    <row r="52" ht="22.5" customHeight="1">
      <c r="A52" s="18" t="s">
        <v>1118</v>
      </c>
      <c r="B52" s="19" t="s">
        <v>1121</v>
      </c>
      <c r="C52" s="20" t="s">
        <v>1124</v>
      </c>
      <c r="D52" s="19" t="s">
        <v>1128</v>
      </c>
      <c r="E52" s="19" t="s">
        <v>57</v>
      </c>
      <c r="F52" s="19" t="s">
        <v>105</v>
      </c>
      <c r="G52" s="21">
        <v>9.99984266E9</v>
      </c>
    </row>
    <row r="53" ht="22.5" customHeight="1">
      <c r="A53" s="22" t="s">
        <v>1140</v>
      </c>
      <c r="B53" s="23" t="s">
        <v>1142</v>
      </c>
      <c r="C53" s="24" t="s">
        <v>1147</v>
      </c>
      <c r="D53" s="23" t="s">
        <v>1150</v>
      </c>
      <c r="E53" s="23" t="s">
        <v>255</v>
      </c>
      <c r="F53" s="23" t="s">
        <v>105</v>
      </c>
      <c r="G53" s="25">
        <v>7.7173529E9</v>
      </c>
    </row>
    <row r="54" ht="22.5" customHeight="1">
      <c r="A54" s="18" t="s">
        <v>1163</v>
      </c>
      <c r="B54" s="19" t="s">
        <v>1166</v>
      </c>
      <c r="C54" s="20" t="s">
        <v>1170</v>
      </c>
      <c r="D54" s="19" t="s">
        <v>1173</v>
      </c>
      <c r="E54" s="19" t="s">
        <v>506</v>
      </c>
      <c r="F54" s="19" t="s">
        <v>105</v>
      </c>
      <c r="G54" s="21">
        <v>8.920477892E9</v>
      </c>
    </row>
    <row r="55" ht="22.5" customHeight="1">
      <c r="A55" s="22" t="s">
        <v>1184</v>
      </c>
      <c r="B55" s="23" t="s">
        <v>1189</v>
      </c>
      <c r="C55" s="24" t="s">
        <v>1191</v>
      </c>
      <c r="D55" s="23" t="s">
        <v>1196</v>
      </c>
      <c r="E55" s="23" t="s">
        <v>524</v>
      </c>
      <c r="F55" s="23" t="s">
        <v>105</v>
      </c>
      <c r="G55" s="25">
        <v>6.2806996E9</v>
      </c>
    </row>
    <row r="56" ht="22.5" customHeight="1">
      <c r="A56" s="18" t="s">
        <v>1208</v>
      </c>
      <c r="B56" s="19" t="s">
        <v>1210</v>
      </c>
      <c r="C56" s="20" t="s">
        <v>1215</v>
      </c>
      <c r="D56" s="19" t="s">
        <v>1217</v>
      </c>
      <c r="E56" s="19" t="s">
        <v>469</v>
      </c>
      <c r="F56" s="19" t="s">
        <v>105</v>
      </c>
      <c r="G56" s="21">
        <v>7.807943728E9</v>
      </c>
    </row>
    <row r="57" ht="22.5" customHeight="1">
      <c r="A57" s="22" t="s">
        <v>1229</v>
      </c>
      <c r="B57" s="23" t="s">
        <v>1235</v>
      </c>
      <c r="C57" s="24" t="s">
        <v>1236</v>
      </c>
      <c r="D57" s="23" t="s">
        <v>1241</v>
      </c>
      <c r="E57" s="23" t="s">
        <v>1243</v>
      </c>
      <c r="F57" s="23" t="s">
        <v>105</v>
      </c>
      <c r="G57" s="25">
        <v>9.815867159E9</v>
      </c>
    </row>
    <row r="58" ht="22.5" customHeight="1">
      <c r="A58" s="18" t="s">
        <v>1252</v>
      </c>
      <c r="B58" s="19" t="s">
        <v>1256</v>
      </c>
      <c r="C58" s="20" t="s">
        <v>1259</v>
      </c>
      <c r="D58" s="19" t="s">
        <v>1262</v>
      </c>
      <c r="E58" s="19" t="s">
        <v>255</v>
      </c>
      <c r="F58" s="19" t="s">
        <v>105</v>
      </c>
      <c r="G58" s="21">
        <v>8.948597711E9</v>
      </c>
    </row>
    <row r="59" ht="22.5" customHeight="1">
      <c r="A59" s="22" t="s">
        <v>1100</v>
      </c>
      <c r="B59" s="23" t="s">
        <v>1274</v>
      </c>
      <c r="C59" s="24" t="s">
        <v>1101</v>
      </c>
      <c r="D59" s="23" t="s">
        <v>1279</v>
      </c>
      <c r="E59" s="23" t="s">
        <v>140</v>
      </c>
      <c r="F59" s="23" t="s">
        <v>105</v>
      </c>
      <c r="G59" s="25">
        <v>9.876882723E9</v>
      </c>
    </row>
    <row r="60" ht="22.5" customHeight="1">
      <c r="A60" s="18" t="s">
        <v>1289</v>
      </c>
      <c r="B60" s="19" t="s">
        <v>1296</v>
      </c>
      <c r="C60" s="20" t="s">
        <v>1297</v>
      </c>
      <c r="D60" s="19" t="s">
        <v>1289</v>
      </c>
      <c r="E60" s="19" t="s">
        <v>1303</v>
      </c>
      <c r="F60" s="19" t="s">
        <v>105</v>
      </c>
      <c r="G60" s="21">
        <v>7.496967666E9</v>
      </c>
    </row>
    <row r="61" ht="22.5" customHeight="1">
      <c r="A61" s="22" t="s">
        <v>1312</v>
      </c>
      <c r="B61" s="23" t="s">
        <v>1317</v>
      </c>
      <c r="C61" s="24" t="s">
        <v>1319</v>
      </c>
      <c r="D61" s="23" t="s">
        <v>1323</v>
      </c>
      <c r="E61" s="23" t="s">
        <v>1326</v>
      </c>
      <c r="F61" s="23" t="s">
        <v>105</v>
      </c>
      <c r="G61" s="25">
        <v>9.411247246E9</v>
      </c>
    </row>
    <row r="62" ht="22.5" customHeight="1">
      <c r="A62" s="18" t="s">
        <v>1335</v>
      </c>
      <c r="B62" s="19" t="s">
        <v>1338</v>
      </c>
      <c r="C62" s="20" t="s">
        <v>1341</v>
      </c>
      <c r="D62" s="19" t="s">
        <v>1346</v>
      </c>
      <c r="E62" s="19" t="s">
        <v>365</v>
      </c>
      <c r="F62" s="19" t="s">
        <v>105</v>
      </c>
      <c r="G62" s="21">
        <v>9.888978525E9</v>
      </c>
    </row>
    <row r="63" ht="22.5" customHeight="1">
      <c r="A63" s="22" t="s">
        <v>1358</v>
      </c>
      <c r="B63" s="23" t="s">
        <v>1360</v>
      </c>
      <c r="C63" s="24" t="s">
        <v>1365</v>
      </c>
      <c r="D63" s="23" t="s">
        <v>1367</v>
      </c>
      <c r="E63" s="23" t="s">
        <v>42</v>
      </c>
      <c r="F63" s="23" t="s">
        <v>105</v>
      </c>
      <c r="G63" s="25">
        <v>9.466610919E9</v>
      </c>
    </row>
    <row r="64" ht="22.5" customHeight="1">
      <c r="A64" s="18" t="s">
        <v>1385</v>
      </c>
      <c r="B64" s="19" t="s">
        <v>1386</v>
      </c>
      <c r="C64" s="20" t="s">
        <v>1393</v>
      </c>
      <c r="D64" s="19" t="s">
        <v>1394</v>
      </c>
      <c r="E64" s="19" t="s">
        <v>384</v>
      </c>
      <c r="F64" s="19" t="s">
        <v>105</v>
      </c>
      <c r="G64" s="21">
        <v>7.01109121E9</v>
      </c>
    </row>
    <row r="65" ht="22.5" customHeight="1">
      <c r="A65" s="22" t="s">
        <v>137</v>
      </c>
      <c r="B65" s="23" t="s">
        <v>134</v>
      </c>
      <c r="C65" s="24" t="s">
        <v>138</v>
      </c>
      <c r="D65" s="23" t="s">
        <v>1413</v>
      </c>
      <c r="E65" s="23" t="s">
        <v>81</v>
      </c>
      <c r="F65" s="23" t="s">
        <v>105</v>
      </c>
      <c r="G65" s="25">
        <v>6.284998819E9</v>
      </c>
    </row>
    <row r="66" ht="22.5" customHeight="1">
      <c r="A66" s="18" t="s">
        <v>1424</v>
      </c>
      <c r="B66" s="19" t="s">
        <v>1428</v>
      </c>
      <c r="C66" s="20" t="s">
        <v>1431</v>
      </c>
      <c r="D66" s="19" t="s">
        <v>1436</v>
      </c>
      <c r="E66" s="19" t="s">
        <v>30</v>
      </c>
      <c r="F66" s="19" t="s">
        <v>105</v>
      </c>
      <c r="G66" s="21">
        <v>8.3838643E9</v>
      </c>
    </row>
    <row r="67" ht="22.5" customHeight="1">
      <c r="A67" s="22" t="s">
        <v>1446</v>
      </c>
      <c r="B67" s="23" t="s">
        <v>1452</v>
      </c>
      <c r="C67" s="24" t="s">
        <v>1454</v>
      </c>
      <c r="D67" s="23" t="s">
        <v>1460</v>
      </c>
      <c r="E67" s="23" t="s">
        <v>1462</v>
      </c>
      <c r="F67" s="23" t="s">
        <v>105</v>
      </c>
      <c r="G67" s="25">
        <v>9.610450005E9</v>
      </c>
    </row>
    <row r="68" ht="22.5" customHeight="1">
      <c r="A68" s="18" t="s">
        <v>1473</v>
      </c>
      <c r="B68" s="19" t="s">
        <v>1475</v>
      </c>
      <c r="C68" s="20" t="s">
        <v>1480</v>
      </c>
      <c r="D68" s="19" t="s">
        <v>1483</v>
      </c>
      <c r="E68" s="19" t="s">
        <v>346</v>
      </c>
      <c r="F68" s="19" t="s">
        <v>105</v>
      </c>
      <c r="G68" s="21">
        <v>6.239258997E9</v>
      </c>
    </row>
    <row r="69" ht="22.5" customHeight="1">
      <c r="A69" s="22" t="s">
        <v>1494</v>
      </c>
      <c r="B69" s="23" t="s">
        <v>1501</v>
      </c>
      <c r="C69" s="24" t="s">
        <v>1503</v>
      </c>
      <c r="D69" s="23" t="s">
        <v>1494</v>
      </c>
      <c r="E69" s="23" t="s">
        <v>227</v>
      </c>
      <c r="F69" s="23" t="s">
        <v>105</v>
      </c>
      <c r="G69" s="25">
        <v>9.310546475E9</v>
      </c>
    </row>
    <row r="70" ht="22.5" customHeight="1">
      <c r="A70" s="18" t="s">
        <v>1518</v>
      </c>
      <c r="B70" s="19" t="s">
        <v>1520</v>
      </c>
      <c r="C70" s="20" t="s">
        <v>1526</v>
      </c>
      <c r="D70" s="19" t="s">
        <v>1518</v>
      </c>
      <c r="E70" s="19" t="s">
        <v>265</v>
      </c>
      <c r="F70" s="19" t="s">
        <v>105</v>
      </c>
      <c r="G70" s="21">
        <v>9.888032446E9</v>
      </c>
    </row>
    <row r="71" ht="22.5" customHeight="1">
      <c r="A71" s="22" t="s">
        <v>1539</v>
      </c>
      <c r="B71" s="23" t="s">
        <v>1548</v>
      </c>
      <c r="C71" s="24" t="s">
        <v>1553</v>
      </c>
      <c r="D71" s="23" t="s">
        <v>1559</v>
      </c>
      <c r="E71" s="23" t="s">
        <v>1561</v>
      </c>
      <c r="F71" s="23" t="s">
        <v>105</v>
      </c>
      <c r="G71" s="25">
        <v>8.168460937E9</v>
      </c>
    </row>
    <row r="72" ht="22.5" customHeight="1">
      <c r="A72" s="18" t="s">
        <v>1572</v>
      </c>
      <c r="B72" s="19" t="s">
        <v>1575</v>
      </c>
      <c r="C72" s="20" t="s">
        <v>1578</v>
      </c>
      <c r="D72" s="19" t="s">
        <v>1583</v>
      </c>
      <c r="E72" s="19" t="s">
        <v>100</v>
      </c>
      <c r="F72" s="19" t="s">
        <v>105</v>
      </c>
      <c r="G72" s="21">
        <v>8.146805304E9</v>
      </c>
    </row>
    <row r="73" ht="22.5" customHeight="1">
      <c r="A73" s="22" t="s">
        <v>1595</v>
      </c>
      <c r="B73" s="23" t="s">
        <v>1598</v>
      </c>
      <c r="C73" s="24" t="s">
        <v>1600</v>
      </c>
      <c r="D73" s="23" t="s">
        <v>1606</v>
      </c>
      <c r="E73" s="23" t="s">
        <v>1607</v>
      </c>
      <c r="F73" s="23" t="s">
        <v>105</v>
      </c>
      <c r="G73" s="25">
        <v>9.646006222E9</v>
      </c>
    </row>
    <row r="74" ht="22.5" customHeight="1">
      <c r="A74" s="18" t="s">
        <v>1618</v>
      </c>
      <c r="B74" s="19" t="s">
        <v>1621</v>
      </c>
      <c r="C74" s="20" t="s">
        <v>1627</v>
      </c>
      <c r="D74" s="19" t="s">
        <v>1629</v>
      </c>
      <c r="E74" s="19" t="s">
        <v>30</v>
      </c>
      <c r="F74" s="19" t="s">
        <v>105</v>
      </c>
      <c r="G74" s="21">
        <v>9.506667E9</v>
      </c>
    </row>
    <row r="75" ht="22.5" customHeight="1">
      <c r="A75" s="22" t="s">
        <v>992</v>
      </c>
      <c r="B75" s="23" t="s">
        <v>1646</v>
      </c>
      <c r="C75" s="24" t="s">
        <v>993</v>
      </c>
      <c r="D75" s="23" t="s">
        <v>1654</v>
      </c>
      <c r="E75" s="23" t="s">
        <v>140</v>
      </c>
      <c r="F75" s="23" t="s">
        <v>105</v>
      </c>
      <c r="G75" s="25">
        <v>9.417029358E9</v>
      </c>
    </row>
    <row r="76" ht="22.5" customHeight="1">
      <c r="A76" s="18" t="s">
        <v>1665</v>
      </c>
      <c r="B76" s="19" t="s">
        <v>1667</v>
      </c>
      <c r="C76" s="20" t="s">
        <v>1671</v>
      </c>
      <c r="D76" s="19" t="s">
        <v>1674</v>
      </c>
      <c r="E76" s="19" t="s">
        <v>303</v>
      </c>
      <c r="F76" s="19" t="s">
        <v>105</v>
      </c>
      <c r="G76" s="21">
        <v>8.368445475E9</v>
      </c>
    </row>
    <row r="77" ht="22.5" customHeight="1">
      <c r="A77" s="22" t="s">
        <v>773</v>
      </c>
      <c r="B77" s="23" t="s">
        <v>770</v>
      </c>
      <c r="C77" s="24" t="s">
        <v>774</v>
      </c>
      <c r="D77" s="23" t="s">
        <v>1693</v>
      </c>
      <c r="E77" s="23" t="s">
        <v>106</v>
      </c>
      <c r="F77" s="23" t="s">
        <v>105</v>
      </c>
      <c r="G77" s="25">
        <v>7.973771188E9</v>
      </c>
    </row>
    <row r="78" ht="22.5" customHeight="1">
      <c r="A78" s="18" t="s">
        <v>1704</v>
      </c>
      <c r="B78" s="19" t="s">
        <v>1709</v>
      </c>
      <c r="C78" s="20" t="s">
        <v>1711</v>
      </c>
      <c r="D78" s="19" t="s">
        <v>1715</v>
      </c>
      <c r="E78" s="19" t="s">
        <v>30</v>
      </c>
      <c r="F78" s="19" t="s">
        <v>105</v>
      </c>
      <c r="G78" s="21">
        <v>9.876536036E9</v>
      </c>
    </row>
    <row r="79" ht="22.5" customHeight="1">
      <c r="A79" s="22" t="s">
        <v>1724</v>
      </c>
      <c r="B79" s="23" t="s">
        <v>1726</v>
      </c>
      <c r="C79" s="24" t="s">
        <v>1731</v>
      </c>
      <c r="D79" s="23" t="s">
        <v>1733</v>
      </c>
      <c r="E79" s="23" t="s">
        <v>1737</v>
      </c>
      <c r="F79" s="23" t="s">
        <v>105</v>
      </c>
      <c r="G79" s="25">
        <v>9.667880105E9</v>
      </c>
    </row>
    <row r="80" ht="22.5" customHeight="1">
      <c r="A80" s="18" t="s">
        <v>1747</v>
      </c>
      <c r="B80" s="19" t="s">
        <v>1749</v>
      </c>
      <c r="C80" s="20" t="s">
        <v>1754</v>
      </c>
      <c r="D80" s="19" t="s">
        <v>1756</v>
      </c>
      <c r="E80" s="19" t="s">
        <v>100</v>
      </c>
      <c r="F80" s="19" t="s">
        <v>105</v>
      </c>
      <c r="G80" s="21">
        <v>9.855096762E9</v>
      </c>
    </row>
    <row r="81" ht="22.5" customHeight="1">
      <c r="A81" s="22" t="s">
        <v>1767</v>
      </c>
      <c r="B81" s="23" t="s">
        <v>1768</v>
      </c>
      <c r="C81" s="24" t="s">
        <v>1774</v>
      </c>
      <c r="D81" s="23" t="s">
        <v>1776</v>
      </c>
      <c r="E81" s="23" t="s">
        <v>617</v>
      </c>
      <c r="F81" s="23" t="s">
        <v>105</v>
      </c>
      <c r="G81" s="25">
        <v>9.87408459E9</v>
      </c>
    </row>
    <row r="82" ht="22.5" customHeight="1">
      <c r="A82" s="18" t="s">
        <v>1790</v>
      </c>
      <c r="B82" s="19" t="s">
        <v>1791</v>
      </c>
      <c r="C82" s="20" t="s">
        <v>1792</v>
      </c>
      <c r="D82" s="19" t="s">
        <v>1794</v>
      </c>
      <c r="E82" s="19" t="s">
        <v>384</v>
      </c>
      <c r="F82" s="19" t="s">
        <v>105</v>
      </c>
      <c r="G82" s="21">
        <v>9.760409922E9</v>
      </c>
    </row>
    <row r="83" ht="22.5" customHeight="1">
      <c r="A83" s="22" t="s">
        <v>1800</v>
      </c>
      <c r="B83" s="23" t="s">
        <v>1802</v>
      </c>
      <c r="C83" s="24" t="s">
        <v>1806</v>
      </c>
      <c r="D83" s="23" t="s">
        <v>1807</v>
      </c>
      <c r="E83" s="23" t="s">
        <v>42</v>
      </c>
      <c r="F83" s="23" t="s">
        <v>105</v>
      </c>
      <c r="G83" s="25">
        <v>9.205957431E9</v>
      </c>
    </row>
    <row r="84" ht="22.5" customHeight="1">
      <c r="A84" s="18" t="s">
        <v>1816</v>
      </c>
      <c r="B84" s="19" t="s">
        <v>1819</v>
      </c>
      <c r="C84" s="20" t="s">
        <v>1821</v>
      </c>
      <c r="D84" s="19" t="s">
        <v>1824</v>
      </c>
      <c r="E84" s="19" t="s">
        <v>1243</v>
      </c>
      <c r="F84" s="19" t="s">
        <v>105</v>
      </c>
      <c r="G84" s="21">
        <v>8.882137371E9</v>
      </c>
    </row>
    <row r="85" ht="22.5" customHeight="1">
      <c r="A85" s="22" t="s">
        <v>1833</v>
      </c>
      <c r="B85" s="23" t="s">
        <v>1840</v>
      </c>
      <c r="C85" s="24" t="s">
        <v>1844</v>
      </c>
      <c r="D85" s="23" t="s">
        <v>1833</v>
      </c>
      <c r="E85" s="23" t="s">
        <v>314</v>
      </c>
      <c r="F85" s="23" t="s">
        <v>105</v>
      </c>
      <c r="G85" s="25">
        <v>9.779756515E9</v>
      </c>
    </row>
    <row r="86" ht="22.5" customHeight="1">
      <c r="A86" s="18" t="s">
        <v>1853</v>
      </c>
      <c r="B86" s="19" t="s">
        <v>1854</v>
      </c>
      <c r="C86" s="20" t="s">
        <v>1857</v>
      </c>
      <c r="D86" s="19" t="s">
        <v>1860</v>
      </c>
      <c r="E86" s="19" t="s">
        <v>604</v>
      </c>
      <c r="F86" s="19" t="s">
        <v>105</v>
      </c>
      <c r="G86" s="21">
        <v>9.87774242E9</v>
      </c>
    </row>
    <row r="87" ht="22.5" customHeight="1">
      <c r="A87" s="22" t="s">
        <v>1864</v>
      </c>
      <c r="B87" s="23" t="s">
        <v>1866</v>
      </c>
      <c r="C87" s="24" t="s">
        <v>1869</v>
      </c>
      <c r="D87" s="23" t="s">
        <v>1872</v>
      </c>
      <c r="E87" s="23" t="s">
        <v>1873</v>
      </c>
      <c r="F87" s="23" t="s">
        <v>105</v>
      </c>
      <c r="G87" s="25">
        <v>7.974365754E9</v>
      </c>
    </row>
    <row r="88" ht="22.5" customHeight="1">
      <c r="A88" s="18" t="s">
        <v>1879</v>
      </c>
      <c r="B88" s="19" t="s">
        <v>1884</v>
      </c>
      <c r="C88" s="20" t="s">
        <v>1888</v>
      </c>
      <c r="D88" s="19" t="s">
        <v>1889</v>
      </c>
      <c r="E88" s="19" t="s">
        <v>22</v>
      </c>
      <c r="F88" s="19" t="s">
        <v>105</v>
      </c>
      <c r="G88" s="21">
        <v>9.056303403E9</v>
      </c>
    </row>
    <row r="89" ht="22.5" customHeight="1">
      <c r="A89" s="22" t="s">
        <v>1898</v>
      </c>
      <c r="B89" s="23" t="s">
        <v>1899</v>
      </c>
      <c r="C89" s="24" t="s">
        <v>1902</v>
      </c>
      <c r="D89" s="23" t="s">
        <v>1898</v>
      </c>
      <c r="E89" s="23" t="s">
        <v>1737</v>
      </c>
      <c r="F89" s="23" t="s">
        <v>105</v>
      </c>
      <c r="G89" s="25">
        <v>7.850827619E9</v>
      </c>
    </row>
    <row r="90" ht="22.5" customHeight="1">
      <c r="A90" s="18" t="s">
        <v>1911</v>
      </c>
      <c r="B90" s="19" t="s">
        <v>1914</v>
      </c>
      <c r="C90" s="20" t="s">
        <v>1915</v>
      </c>
      <c r="D90" s="19" t="s">
        <v>1919</v>
      </c>
      <c r="E90" s="19" t="s">
        <v>889</v>
      </c>
      <c r="F90" s="19" t="s">
        <v>105</v>
      </c>
      <c r="G90" s="21">
        <v>7.879180647E9</v>
      </c>
    </row>
    <row r="91" ht="22.5" customHeight="1">
      <c r="A91" s="22" t="s">
        <v>1925</v>
      </c>
      <c r="B91" s="23" t="s">
        <v>1928</v>
      </c>
      <c r="C91" s="24" t="s">
        <v>1931</v>
      </c>
      <c r="D91" s="23" t="s">
        <v>1932</v>
      </c>
      <c r="E91" s="23" t="s">
        <v>756</v>
      </c>
      <c r="F91" s="23" t="s">
        <v>105</v>
      </c>
      <c r="G91" s="25">
        <v>6.283990383E9</v>
      </c>
    </row>
    <row r="92" ht="22.5" customHeight="1">
      <c r="A92" s="18" t="s">
        <v>1937</v>
      </c>
      <c r="B92" s="19" t="s">
        <v>1940</v>
      </c>
      <c r="C92" s="20" t="s">
        <v>1943</v>
      </c>
      <c r="D92" s="19" t="s">
        <v>1944</v>
      </c>
      <c r="E92" s="19" t="s">
        <v>1946</v>
      </c>
      <c r="F92" s="19" t="s">
        <v>105</v>
      </c>
      <c r="G92" s="21">
        <v>9.814840044E9</v>
      </c>
    </row>
    <row r="93" ht="22.5" customHeight="1">
      <c r="A93" s="22" t="s">
        <v>1953</v>
      </c>
      <c r="B93" s="23" t="s">
        <v>1955</v>
      </c>
      <c r="C93" s="24" t="s">
        <v>1956</v>
      </c>
      <c r="D93" s="23" t="s">
        <v>1960</v>
      </c>
      <c r="E93" s="23" t="s">
        <v>314</v>
      </c>
      <c r="F93" s="23" t="s">
        <v>105</v>
      </c>
      <c r="G93" s="25">
        <v>9.910594551E9</v>
      </c>
    </row>
    <row r="94" ht="22.5" customHeight="1">
      <c r="A94" s="18" t="s">
        <v>1966</v>
      </c>
      <c r="B94" s="19" t="s">
        <v>1970</v>
      </c>
      <c r="C94" s="20" t="s">
        <v>1972</v>
      </c>
      <c r="D94" s="19" t="s">
        <v>1973</v>
      </c>
      <c r="E94" s="19" t="s">
        <v>1946</v>
      </c>
      <c r="F94" s="19" t="s">
        <v>105</v>
      </c>
      <c r="G94" s="21">
        <v>9.259512468E9</v>
      </c>
    </row>
    <row r="95" ht="22.5" customHeight="1">
      <c r="A95" s="22" t="s">
        <v>1982</v>
      </c>
      <c r="B95" s="23" t="s">
        <v>1983</v>
      </c>
      <c r="C95" s="24" t="s">
        <v>1987</v>
      </c>
      <c r="D95" s="23" t="s">
        <v>1989</v>
      </c>
      <c r="E95" s="23" t="s">
        <v>1326</v>
      </c>
      <c r="F95" s="23" t="s">
        <v>105</v>
      </c>
      <c r="G95" s="25">
        <v>7.706061502E9</v>
      </c>
    </row>
    <row r="96" ht="22.5" customHeight="1">
      <c r="A96" s="18" t="s">
        <v>1876</v>
      </c>
      <c r="B96" s="19" t="s">
        <v>2001</v>
      </c>
      <c r="C96" s="20" t="s">
        <v>1877</v>
      </c>
      <c r="D96" s="19" t="s">
        <v>2006</v>
      </c>
      <c r="E96" s="19" t="s">
        <v>782</v>
      </c>
      <c r="F96" s="19" t="s">
        <v>105</v>
      </c>
      <c r="G96" s="21">
        <v>9.123826923E9</v>
      </c>
    </row>
    <row r="97" ht="22.5" customHeight="1">
      <c r="A97" s="22" t="s">
        <v>2016</v>
      </c>
      <c r="B97" s="23" t="s">
        <v>2021</v>
      </c>
      <c r="C97" s="24" t="s">
        <v>2023</v>
      </c>
      <c r="D97" s="23" t="s">
        <v>2027</v>
      </c>
      <c r="E97" s="23" t="s">
        <v>1622</v>
      </c>
      <c r="F97" s="23" t="s">
        <v>105</v>
      </c>
      <c r="G97" s="25">
        <v>6.284557931E9</v>
      </c>
    </row>
    <row r="98" ht="22.5" customHeight="1">
      <c r="A98" s="18" t="s">
        <v>2033</v>
      </c>
      <c r="B98" s="19" t="s">
        <v>2035</v>
      </c>
      <c r="C98" s="20" t="s">
        <v>2036</v>
      </c>
      <c r="D98" s="19" t="s">
        <v>2041</v>
      </c>
      <c r="E98" s="19" t="s">
        <v>1561</v>
      </c>
      <c r="F98" s="19" t="s">
        <v>105</v>
      </c>
      <c r="G98" s="21">
        <v>7.082555237E9</v>
      </c>
    </row>
    <row r="99" ht="22.5" customHeight="1">
      <c r="A99" s="22" t="s">
        <v>2010</v>
      </c>
      <c r="B99" s="23" t="s">
        <v>2046</v>
      </c>
      <c r="C99" s="24" t="s">
        <v>2011</v>
      </c>
      <c r="D99" s="23" t="s">
        <v>2051</v>
      </c>
      <c r="E99" s="23" t="s">
        <v>17</v>
      </c>
      <c r="F99" s="23" t="s">
        <v>105</v>
      </c>
      <c r="G99" s="25">
        <v>8.279322377E9</v>
      </c>
    </row>
    <row r="100" ht="22.5" customHeight="1">
      <c r="A100" s="18" t="s">
        <v>2056</v>
      </c>
      <c r="B100" s="19" t="s">
        <v>2060</v>
      </c>
      <c r="C100" s="20" t="s">
        <v>2062</v>
      </c>
      <c r="D100" s="19" t="s">
        <v>2063</v>
      </c>
      <c r="E100" s="19" t="s">
        <v>365</v>
      </c>
      <c r="F100" s="19" t="s">
        <v>105</v>
      </c>
      <c r="G100" s="21">
        <v>9.02620818E9</v>
      </c>
    </row>
    <row r="101" ht="22.5" customHeight="1">
      <c r="A101" s="22" t="s">
        <v>1760</v>
      </c>
      <c r="B101" s="23" t="s">
        <v>2072</v>
      </c>
      <c r="C101" s="24" t="s">
        <v>1761</v>
      </c>
      <c r="D101" s="23" t="s">
        <v>2077</v>
      </c>
      <c r="E101" s="23" t="s">
        <v>1653</v>
      </c>
      <c r="F101" s="23" t="s">
        <v>105</v>
      </c>
      <c r="G101" s="25">
        <v>7.903894407E9</v>
      </c>
    </row>
    <row r="102" ht="22.5" customHeight="1">
      <c r="A102" s="18" t="s">
        <v>2082</v>
      </c>
      <c r="B102" s="19" t="s">
        <v>2085</v>
      </c>
      <c r="C102" s="20" t="s">
        <v>2088</v>
      </c>
      <c r="D102" s="19" t="s">
        <v>2090</v>
      </c>
      <c r="E102" s="19" t="s">
        <v>304</v>
      </c>
      <c r="F102" s="19" t="s">
        <v>105</v>
      </c>
      <c r="G102" s="21">
        <v>8.595771396E9</v>
      </c>
    </row>
    <row r="103" ht="22.5" customHeight="1">
      <c r="A103" s="22" t="s">
        <v>2098</v>
      </c>
      <c r="B103" s="23" t="s">
        <v>2100</v>
      </c>
      <c r="C103" s="24" t="s">
        <v>2103</v>
      </c>
      <c r="D103" s="23" t="s">
        <v>2105</v>
      </c>
      <c r="E103" s="23" t="s">
        <v>1607</v>
      </c>
      <c r="F103" s="23" t="s">
        <v>105</v>
      </c>
      <c r="G103" s="25">
        <v>8.708540356E9</v>
      </c>
    </row>
    <row r="104" ht="22.5" customHeight="1">
      <c r="A104" s="18" t="s">
        <v>2122</v>
      </c>
      <c r="B104" s="19" t="s">
        <v>2124</v>
      </c>
      <c r="C104" s="20" t="s">
        <v>2127</v>
      </c>
      <c r="D104" s="19" t="s">
        <v>2130</v>
      </c>
      <c r="E104" s="19" t="s">
        <v>314</v>
      </c>
      <c r="F104" s="19" t="s">
        <v>105</v>
      </c>
      <c r="G104" s="21">
        <v>6.283941518E9</v>
      </c>
    </row>
    <row r="105" ht="22.5" customHeight="1">
      <c r="A105" s="22" t="s">
        <v>2139</v>
      </c>
      <c r="B105" s="23" t="s">
        <v>2140</v>
      </c>
      <c r="C105" s="24" t="s">
        <v>2145</v>
      </c>
      <c r="D105" s="23" t="s">
        <v>2146</v>
      </c>
      <c r="E105" s="23" t="s">
        <v>37</v>
      </c>
      <c r="F105" s="23" t="s">
        <v>105</v>
      </c>
      <c r="G105" s="25">
        <v>7.508020539E9</v>
      </c>
    </row>
    <row r="106" ht="22.5" customHeight="1">
      <c r="A106" s="18" t="s">
        <v>2153</v>
      </c>
      <c r="B106" s="19" t="s">
        <v>2156</v>
      </c>
      <c r="C106" s="20" t="s">
        <v>2157</v>
      </c>
      <c r="D106" s="19" t="s">
        <v>2160</v>
      </c>
      <c r="E106" s="19" t="s">
        <v>277</v>
      </c>
      <c r="F106" s="19" t="s">
        <v>105</v>
      </c>
      <c r="G106" s="21">
        <v>9.915958685E9</v>
      </c>
    </row>
    <row r="107" ht="22.5" customHeight="1">
      <c r="A107" s="22" t="s">
        <v>2167</v>
      </c>
      <c r="B107" s="23" t="s">
        <v>2168</v>
      </c>
      <c r="C107" s="24" t="s">
        <v>2173</v>
      </c>
      <c r="D107" s="23" t="s">
        <v>2174</v>
      </c>
      <c r="E107" s="23" t="s">
        <v>304</v>
      </c>
      <c r="F107" s="23" t="s">
        <v>105</v>
      </c>
      <c r="G107" s="25">
        <v>9.779357022E9</v>
      </c>
    </row>
    <row r="108" ht="22.5" customHeight="1">
      <c r="A108" s="18" t="s">
        <v>2181</v>
      </c>
      <c r="B108" s="19" t="s">
        <v>2190</v>
      </c>
      <c r="C108" s="20" t="s">
        <v>2195</v>
      </c>
      <c r="D108" s="19" t="s">
        <v>2198</v>
      </c>
      <c r="E108" s="19" t="s">
        <v>1243</v>
      </c>
      <c r="F108" s="19" t="s">
        <v>105</v>
      </c>
      <c r="G108" s="21">
        <v>9.311788334E9</v>
      </c>
    </row>
    <row r="109" ht="22.5" customHeight="1">
      <c r="A109" s="22" t="s">
        <v>2205</v>
      </c>
      <c r="B109" s="23" t="s">
        <v>2209</v>
      </c>
      <c r="C109" s="24" t="s">
        <v>2210</v>
      </c>
      <c r="D109" s="23" t="s">
        <v>2205</v>
      </c>
      <c r="E109" s="23" t="s">
        <v>1071</v>
      </c>
      <c r="F109" s="23" t="s">
        <v>105</v>
      </c>
      <c r="G109" s="25">
        <v>7.888619024E9</v>
      </c>
    </row>
    <row r="110" ht="22.5" customHeight="1">
      <c r="A110" s="18" t="s">
        <v>2220</v>
      </c>
      <c r="B110" s="19" t="s">
        <v>2221</v>
      </c>
      <c r="C110" s="20" t="s">
        <v>2225</v>
      </c>
      <c r="D110" s="19" t="s">
        <v>2227</v>
      </c>
      <c r="E110" s="19" t="s">
        <v>100</v>
      </c>
      <c r="F110" s="19" t="s">
        <v>105</v>
      </c>
      <c r="G110" s="21">
        <v>8.218668427E9</v>
      </c>
    </row>
    <row r="111" ht="22.5" customHeight="1">
      <c r="A111" s="22" t="s">
        <v>2236</v>
      </c>
      <c r="B111" s="23" t="s">
        <v>2238</v>
      </c>
      <c r="C111" s="24" t="s">
        <v>2239</v>
      </c>
      <c r="D111" s="23" t="s">
        <v>2243</v>
      </c>
      <c r="E111" s="23" t="s">
        <v>30</v>
      </c>
      <c r="F111" s="23" t="s">
        <v>105</v>
      </c>
      <c r="G111" s="25">
        <v>9.8031907E9</v>
      </c>
    </row>
    <row r="112" ht="22.5" customHeight="1">
      <c r="A112" s="18" t="s">
        <v>2247</v>
      </c>
      <c r="B112" s="19" t="s">
        <v>2249</v>
      </c>
      <c r="C112" s="20" t="s">
        <v>2252</v>
      </c>
      <c r="D112" s="19" t="s">
        <v>2255</v>
      </c>
      <c r="E112" s="19" t="s">
        <v>265</v>
      </c>
      <c r="F112" s="19" t="s">
        <v>105</v>
      </c>
      <c r="G112" s="21">
        <v>9.88858921E9</v>
      </c>
    </row>
    <row r="113" ht="22.5" customHeight="1">
      <c r="A113" s="22" t="s">
        <v>509</v>
      </c>
      <c r="B113" s="23" t="s">
        <v>507</v>
      </c>
      <c r="C113" s="24" t="s">
        <v>510</v>
      </c>
      <c r="D113" s="23" t="s">
        <v>2270</v>
      </c>
      <c r="E113" s="23" t="s">
        <v>512</v>
      </c>
      <c r="F113" s="23" t="s">
        <v>105</v>
      </c>
      <c r="G113" s="25">
        <v>9.027744109E9</v>
      </c>
    </row>
    <row r="114" ht="22.5" customHeight="1">
      <c r="A114" s="18" t="s">
        <v>2274</v>
      </c>
      <c r="B114" s="19" t="s">
        <v>507</v>
      </c>
      <c r="C114" s="20" t="s">
        <v>2279</v>
      </c>
      <c r="D114" s="19" t="s">
        <v>2281</v>
      </c>
      <c r="E114" s="19" t="s">
        <v>689</v>
      </c>
      <c r="F114" s="19" t="s">
        <v>105</v>
      </c>
      <c r="G114" s="21">
        <v>7.889148902E9</v>
      </c>
    </row>
    <row r="115" ht="22.5" customHeight="1">
      <c r="A115" s="22" t="s">
        <v>2291</v>
      </c>
      <c r="B115" s="23" t="s">
        <v>2292</v>
      </c>
      <c r="C115" s="24" t="s">
        <v>2296</v>
      </c>
      <c r="D115" s="23" t="s">
        <v>2299</v>
      </c>
      <c r="E115" s="23" t="s">
        <v>384</v>
      </c>
      <c r="F115" s="23" t="s">
        <v>105</v>
      </c>
      <c r="G115" s="25">
        <v>9.888069081E9</v>
      </c>
    </row>
    <row r="116" ht="22.5" customHeight="1">
      <c r="A116" s="18" t="s">
        <v>2306</v>
      </c>
      <c r="B116" s="19" t="s">
        <v>2311</v>
      </c>
      <c r="C116" s="20" t="s">
        <v>2312</v>
      </c>
      <c r="D116" s="19" t="s">
        <v>2315</v>
      </c>
      <c r="E116" s="19" t="s">
        <v>42</v>
      </c>
      <c r="F116" s="19" t="s">
        <v>105</v>
      </c>
      <c r="G116" s="21">
        <v>9.289580958E9</v>
      </c>
    </row>
    <row r="117" ht="22.5" customHeight="1">
      <c r="A117" s="22" t="s">
        <v>2324</v>
      </c>
      <c r="B117" s="23" t="s">
        <v>2326</v>
      </c>
      <c r="C117" s="24" t="s">
        <v>2329</v>
      </c>
      <c r="D117" s="23" t="s">
        <v>2324</v>
      </c>
      <c r="E117" s="23" t="s">
        <v>1071</v>
      </c>
      <c r="F117" s="23" t="s">
        <v>105</v>
      </c>
      <c r="G117" s="25">
        <v>7.009030521E9</v>
      </c>
    </row>
    <row r="118" ht="22.5" customHeight="1">
      <c r="A118" s="18" t="s">
        <v>2336</v>
      </c>
      <c r="B118" s="19" t="s">
        <v>2342</v>
      </c>
      <c r="C118" s="20" t="s">
        <v>2343</v>
      </c>
      <c r="D118" s="19" t="s">
        <v>2345</v>
      </c>
      <c r="E118" s="19" t="s">
        <v>30</v>
      </c>
      <c r="F118" s="19" t="s">
        <v>105</v>
      </c>
      <c r="G118" s="21">
        <v>9.041224953E9</v>
      </c>
    </row>
    <row r="119" ht="22.5" customHeight="1">
      <c r="A119" s="22" t="s">
        <v>2365</v>
      </c>
      <c r="B119" s="23" t="s">
        <v>2368</v>
      </c>
      <c r="C119" s="24" t="s">
        <v>2372</v>
      </c>
      <c r="D119" s="23" t="s">
        <v>2374</v>
      </c>
      <c r="E119" s="23" t="s">
        <v>277</v>
      </c>
      <c r="F119" s="23" t="s">
        <v>105</v>
      </c>
      <c r="G119" s="25">
        <v>9.46343422E9</v>
      </c>
    </row>
    <row r="120" ht="22.5" customHeight="1">
      <c r="A120" s="30" t="s">
        <v>2383</v>
      </c>
      <c r="B120" s="19" t="s">
        <v>2386</v>
      </c>
      <c r="C120" s="20" t="s">
        <v>2387</v>
      </c>
      <c r="D120" s="19" t="s">
        <v>2391</v>
      </c>
      <c r="E120" s="19" t="s">
        <v>1946</v>
      </c>
      <c r="F120" s="19" t="s">
        <v>105</v>
      </c>
      <c r="G120" s="21">
        <v>8.800746129E9</v>
      </c>
    </row>
    <row r="121" ht="22.5" customHeight="1">
      <c r="A121" s="22" t="s">
        <v>2399</v>
      </c>
      <c r="B121" s="23" t="s">
        <v>2401</v>
      </c>
      <c r="C121" s="24" t="s">
        <v>2406</v>
      </c>
      <c r="D121" s="23" t="s">
        <v>2407</v>
      </c>
      <c r="E121" s="23" t="s">
        <v>1064</v>
      </c>
      <c r="F121" s="23" t="s">
        <v>105</v>
      </c>
      <c r="G121" s="25">
        <v>8.727820328E9</v>
      </c>
    </row>
    <row r="122" ht="22.5" customHeight="1">
      <c r="A122" s="18" t="s">
        <v>2415</v>
      </c>
      <c r="B122" s="19" t="s">
        <v>2416</v>
      </c>
      <c r="C122" s="20" t="s">
        <v>2417</v>
      </c>
      <c r="D122" s="19" t="s">
        <v>2418</v>
      </c>
      <c r="E122" s="19" t="s">
        <v>1064</v>
      </c>
      <c r="F122" s="19" t="s">
        <v>105</v>
      </c>
      <c r="G122" s="21">
        <v>9.915557704E9</v>
      </c>
    </row>
    <row r="123" ht="22.5" customHeight="1">
      <c r="A123" s="22" t="s">
        <v>2426</v>
      </c>
      <c r="B123" s="23" t="s">
        <v>2429</v>
      </c>
      <c r="C123" s="24" t="s">
        <v>2430</v>
      </c>
      <c r="D123" s="23" t="s">
        <v>2426</v>
      </c>
      <c r="E123" s="23" t="s">
        <v>47</v>
      </c>
      <c r="F123" s="23" t="s">
        <v>105</v>
      </c>
      <c r="G123" s="25">
        <v>9.501866272E9</v>
      </c>
    </row>
    <row r="124" ht="22.5" customHeight="1">
      <c r="A124" s="18" t="s">
        <v>2440</v>
      </c>
      <c r="B124" s="19" t="s">
        <v>2443</v>
      </c>
      <c r="C124" s="20" t="s">
        <v>2444</v>
      </c>
      <c r="D124" s="19" t="s">
        <v>2447</v>
      </c>
      <c r="E124" s="19" t="s">
        <v>384</v>
      </c>
      <c r="F124" s="19" t="s">
        <v>105</v>
      </c>
      <c r="G124" s="21">
        <v>9.46467303E9</v>
      </c>
    </row>
    <row r="125" ht="22.5" customHeight="1">
      <c r="A125" s="22" t="s">
        <v>2454</v>
      </c>
      <c r="B125" s="23" t="s">
        <v>2455</v>
      </c>
      <c r="C125" s="24" t="s">
        <v>2459</v>
      </c>
      <c r="D125" s="23" t="s">
        <v>2462</v>
      </c>
      <c r="E125" s="23" t="s">
        <v>314</v>
      </c>
      <c r="F125" s="23" t="s">
        <v>105</v>
      </c>
      <c r="G125" s="25">
        <v>9.811673606E9</v>
      </c>
    </row>
    <row r="126" ht="22.5" customHeight="1">
      <c r="A126" s="18" t="s">
        <v>2469</v>
      </c>
      <c r="B126" s="19" t="s">
        <v>2472</v>
      </c>
      <c r="C126" s="20" t="s">
        <v>2475</v>
      </c>
      <c r="D126" s="19" t="s">
        <v>2477</v>
      </c>
      <c r="E126" s="19" t="s">
        <v>1071</v>
      </c>
      <c r="F126" s="19" t="s">
        <v>105</v>
      </c>
      <c r="G126" s="21">
        <v>9.83921464E9</v>
      </c>
    </row>
    <row r="127" ht="22.5" customHeight="1">
      <c r="A127" s="22" t="s">
        <v>2370</v>
      </c>
      <c r="B127" s="23" t="s">
        <v>2490</v>
      </c>
      <c r="C127" s="24" t="s">
        <v>2371</v>
      </c>
      <c r="D127" s="23" t="s">
        <v>2497</v>
      </c>
      <c r="E127" s="23" t="s">
        <v>1873</v>
      </c>
      <c r="F127" s="23" t="s">
        <v>105</v>
      </c>
      <c r="G127" s="25">
        <v>7.015022625E9</v>
      </c>
    </row>
    <row r="128" ht="22.5" customHeight="1">
      <c r="A128" s="18" t="s">
        <v>2509</v>
      </c>
      <c r="B128" s="19" t="s">
        <v>2514</v>
      </c>
      <c r="C128" s="20" t="s">
        <v>2515</v>
      </c>
      <c r="D128" s="19" t="s">
        <v>2520</v>
      </c>
      <c r="E128" s="19" t="s">
        <v>2522</v>
      </c>
      <c r="F128" s="19" t="s">
        <v>105</v>
      </c>
      <c r="G128" s="21">
        <v>8.273745264E9</v>
      </c>
    </row>
    <row r="129" ht="22.5" customHeight="1">
      <c r="A129" s="22" t="s">
        <v>2532</v>
      </c>
      <c r="B129" s="23" t="s">
        <v>2535</v>
      </c>
      <c r="C129" s="24" t="s">
        <v>2539</v>
      </c>
      <c r="D129" s="23" t="s">
        <v>2541</v>
      </c>
      <c r="E129" s="23" t="s">
        <v>227</v>
      </c>
      <c r="F129" s="23" t="s">
        <v>105</v>
      </c>
      <c r="G129" s="34" t="str">
        <f>+91 9501435950</f>
        <v>#ERROR!</v>
      </c>
    </row>
    <row r="130" ht="22.5" customHeight="1">
      <c r="A130" s="18" t="s">
        <v>2558</v>
      </c>
      <c r="B130" s="19" t="s">
        <v>2561</v>
      </c>
      <c r="C130" s="20" t="s">
        <v>2450</v>
      </c>
      <c r="D130" s="19" t="s">
        <v>2564</v>
      </c>
      <c r="E130" s="19" t="s">
        <v>184</v>
      </c>
      <c r="F130" s="19" t="s">
        <v>105</v>
      </c>
      <c r="G130" s="21">
        <v>9.844324E9</v>
      </c>
    </row>
    <row r="131" ht="22.5" customHeight="1">
      <c r="A131" s="22" t="s">
        <v>1444</v>
      </c>
      <c r="B131" s="23" t="s">
        <v>2535</v>
      </c>
      <c r="C131" s="24" t="s">
        <v>1445</v>
      </c>
      <c r="D131" s="23" t="s">
        <v>2578</v>
      </c>
      <c r="E131" s="23" t="s">
        <v>389</v>
      </c>
      <c r="F131" s="23" t="s">
        <v>105</v>
      </c>
      <c r="G131" s="25">
        <v>9.990371E9</v>
      </c>
    </row>
    <row r="132" ht="22.5" customHeight="1">
      <c r="A132" s="18" t="s">
        <v>2589</v>
      </c>
      <c r="B132" s="19" t="s">
        <v>2593</v>
      </c>
      <c r="C132" s="20" t="s">
        <v>2596</v>
      </c>
      <c r="D132" s="19" t="s">
        <v>2601</v>
      </c>
      <c r="E132" s="19" t="s">
        <v>1737</v>
      </c>
      <c r="F132" s="19" t="s">
        <v>105</v>
      </c>
      <c r="G132" s="21">
        <v>7.341179362E9</v>
      </c>
    </row>
    <row r="133" ht="22.5" customHeight="1">
      <c r="A133" s="22" t="s">
        <v>2610</v>
      </c>
      <c r="B133" s="23" t="s">
        <v>2613</v>
      </c>
      <c r="C133" s="24" t="s">
        <v>2618</v>
      </c>
      <c r="D133" s="23" t="s">
        <v>2620</v>
      </c>
      <c r="E133" s="23" t="s">
        <v>346</v>
      </c>
      <c r="F133" s="23" t="s">
        <v>105</v>
      </c>
      <c r="G133" s="25">
        <v>9.417712199E9</v>
      </c>
    </row>
    <row r="134" ht="22.5" customHeight="1">
      <c r="A134" s="18" t="s">
        <v>2577</v>
      </c>
      <c r="B134" s="19" t="s">
        <v>2634</v>
      </c>
      <c r="C134" s="20" t="s">
        <v>2580</v>
      </c>
      <c r="D134" s="19" t="s">
        <v>2640</v>
      </c>
      <c r="E134" s="19" t="s">
        <v>63</v>
      </c>
      <c r="F134" s="19" t="s">
        <v>105</v>
      </c>
      <c r="G134" s="21">
        <v>7.009557036E9</v>
      </c>
    </row>
    <row r="135" ht="22.5" customHeight="1">
      <c r="A135" s="22" t="s">
        <v>2651</v>
      </c>
      <c r="B135" s="23" t="s">
        <v>2653</v>
      </c>
      <c r="C135" s="24" t="s">
        <v>817</v>
      </c>
      <c r="D135" s="23" t="s">
        <v>2658</v>
      </c>
      <c r="E135" s="23" t="s">
        <v>52</v>
      </c>
      <c r="F135" s="23" t="s">
        <v>105</v>
      </c>
      <c r="G135" s="25">
        <v>8.8726985E9</v>
      </c>
    </row>
    <row r="136" ht="22.5" customHeight="1">
      <c r="A136" s="18" t="s">
        <v>1689</v>
      </c>
      <c r="B136" s="19" t="s">
        <v>2672</v>
      </c>
      <c r="C136" s="20" t="s">
        <v>1690</v>
      </c>
      <c r="D136" s="19" t="s">
        <v>2678</v>
      </c>
      <c r="E136" s="19" t="s">
        <v>1653</v>
      </c>
      <c r="F136" s="19" t="s">
        <v>105</v>
      </c>
      <c r="G136" s="21">
        <v>8.69964479E9</v>
      </c>
    </row>
    <row r="137" ht="22.5" customHeight="1">
      <c r="A137" s="22" t="s">
        <v>2688</v>
      </c>
      <c r="B137" s="23" t="s">
        <v>2690</v>
      </c>
      <c r="C137" s="24" t="s">
        <v>2694</v>
      </c>
      <c r="D137" s="23" t="s">
        <v>2697</v>
      </c>
      <c r="E137" s="23" t="s">
        <v>1946</v>
      </c>
      <c r="F137" s="23" t="s">
        <v>105</v>
      </c>
      <c r="G137" s="25">
        <v>7.347622176E9</v>
      </c>
    </row>
    <row r="138" ht="22.5" customHeight="1">
      <c r="A138" s="18" t="s">
        <v>2706</v>
      </c>
      <c r="B138" s="19" t="s">
        <v>2711</v>
      </c>
      <c r="C138" s="20" t="s">
        <v>2715</v>
      </c>
      <c r="D138" s="19" t="s">
        <v>2716</v>
      </c>
      <c r="E138" s="19" t="s">
        <v>523</v>
      </c>
      <c r="F138" s="19" t="s">
        <v>105</v>
      </c>
      <c r="G138" s="21">
        <v>7.8142067E9</v>
      </c>
    </row>
    <row r="139" ht="22.5" customHeight="1">
      <c r="A139" s="22" t="s">
        <v>2727</v>
      </c>
      <c r="B139" s="23" t="s">
        <v>2732</v>
      </c>
      <c r="C139" s="24" t="s">
        <v>2737</v>
      </c>
      <c r="D139" s="23" t="s">
        <v>2738</v>
      </c>
      <c r="E139" s="23" t="s">
        <v>1326</v>
      </c>
      <c r="F139" s="23" t="s">
        <v>105</v>
      </c>
      <c r="G139" s="25">
        <v>6.284710438E9</v>
      </c>
    </row>
    <row r="140" ht="22.5" customHeight="1">
      <c r="A140" s="18" t="s">
        <v>2748</v>
      </c>
      <c r="B140" s="19" t="s">
        <v>2752</v>
      </c>
      <c r="C140" s="20" t="s">
        <v>2753</v>
      </c>
      <c r="D140" s="19" t="s">
        <v>2758</v>
      </c>
      <c r="E140" s="19" t="s">
        <v>1071</v>
      </c>
      <c r="F140" s="19" t="s">
        <v>105</v>
      </c>
      <c r="G140" s="29"/>
    </row>
    <row r="141" ht="22.5" customHeight="1">
      <c r="A141" s="22" t="s">
        <v>2767</v>
      </c>
      <c r="B141" s="23" t="s">
        <v>2770</v>
      </c>
      <c r="C141" s="24" t="s">
        <v>2772</v>
      </c>
      <c r="D141" s="23" t="s">
        <v>2777</v>
      </c>
      <c r="E141" s="23" t="s">
        <v>1002</v>
      </c>
      <c r="F141" s="23" t="s">
        <v>105</v>
      </c>
      <c r="G141" s="25">
        <v>8.279958435E9</v>
      </c>
    </row>
    <row r="142" ht="22.5" customHeight="1">
      <c r="A142" s="18" t="s">
        <v>2787</v>
      </c>
      <c r="B142" s="19" t="s">
        <v>2793</v>
      </c>
      <c r="C142" s="20" t="s">
        <v>2798</v>
      </c>
      <c r="D142" s="19" t="s">
        <v>2787</v>
      </c>
      <c r="E142" s="19" t="s">
        <v>303</v>
      </c>
      <c r="F142" s="19" t="s">
        <v>105</v>
      </c>
      <c r="G142" s="21">
        <v>9.136321694E9</v>
      </c>
    </row>
    <row r="143" ht="22.5" customHeight="1">
      <c r="A143" s="22" t="s">
        <v>2808</v>
      </c>
      <c r="B143" s="23" t="s">
        <v>2814</v>
      </c>
      <c r="C143" s="24" t="s">
        <v>2816</v>
      </c>
      <c r="D143" s="23" t="s">
        <v>2820</v>
      </c>
      <c r="E143" s="23" t="s">
        <v>1379</v>
      </c>
      <c r="F143" s="23" t="s">
        <v>105</v>
      </c>
      <c r="G143" s="25">
        <v>9.646203771E9</v>
      </c>
    </row>
    <row r="144" ht="22.5" customHeight="1">
      <c r="A144" s="18" t="s">
        <v>2835</v>
      </c>
      <c r="B144" s="19" t="s">
        <v>2837</v>
      </c>
      <c r="C144" s="20" t="s">
        <v>2842</v>
      </c>
      <c r="D144" s="19" t="s">
        <v>2848</v>
      </c>
      <c r="E144" s="19" t="s">
        <v>47</v>
      </c>
      <c r="F144" s="19" t="s">
        <v>105</v>
      </c>
      <c r="G144" s="21">
        <v>9.170822752E9</v>
      </c>
    </row>
    <row r="145" ht="22.5" customHeight="1">
      <c r="A145" s="22" t="s">
        <v>726</v>
      </c>
      <c r="B145" s="23" t="s">
        <v>723</v>
      </c>
      <c r="C145" s="24" t="s">
        <v>727</v>
      </c>
      <c r="D145" s="23" t="s">
        <v>2863</v>
      </c>
      <c r="E145" s="23" t="s">
        <v>57</v>
      </c>
      <c r="F145" s="23" t="s">
        <v>105</v>
      </c>
      <c r="G145" s="25">
        <v>9.910788359E9</v>
      </c>
    </row>
    <row r="146" ht="22.5" customHeight="1">
      <c r="A146" s="18" t="s">
        <v>2802</v>
      </c>
      <c r="B146" s="19" t="s">
        <v>2874</v>
      </c>
      <c r="C146" s="20" t="s">
        <v>2803</v>
      </c>
      <c r="D146" s="19" t="s">
        <v>2802</v>
      </c>
      <c r="E146" s="19" t="s">
        <v>265</v>
      </c>
      <c r="F146" s="19" t="s">
        <v>105</v>
      </c>
      <c r="G146" s="21">
        <v>9.336803273E9</v>
      </c>
    </row>
    <row r="147" ht="22.5" customHeight="1">
      <c r="A147" s="22" t="s">
        <v>2889</v>
      </c>
      <c r="B147" s="23" t="s">
        <v>2894</v>
      </c>
      <c r="C147" s="24" t="s">
        <v>2895</v>
      </c>
      <c r="D147" s="23" t="s">
        <v>2899</v>
      </c>
      <c r="E147" s="23" t="s">
        <v>282</v>
      </c>
      <c r="F147" s="23" t="s">
        <v>105</v>
      </c>
      <c r="G147" s="25">
        <v>7.657857127E9</v>
      </c>
    </row>
    <row r="148" ht="22.5" customHeight="1">
      <c r="A148" s="18" t="s">
        <v>1273</v>
      </c>
      <c r="B148" s="19" t="s">
        <v>2911</v>
      </c>
      <c r="C148" s="20" t="s">
        <v>1275</v>
      </c>
      <c r="D148" s="19" t="s">
        <v>2917</v>
      </c>
      <c r="E148" s="19" t="s">
        <v>1149</v>
      </c>
      <c r="F148" s="19" t="s">
        <v>105</v>
      </c>
      <c r="G148" s="21">
        <v>9.878742009E9</v>
      </c>
    </row>
    <row r="149" ht="22.5" customHeight="1">
      <c r="A149" s="35" t="s">
        <v>1536</v>
      </c>
      <c r="B149" s="23" t="s">
        <v>2935</v>
      </c>
      <c r="C149" s="24" t="s">
        <v>1537</v>
      </c>
      <c r="D149" s="23" t="s">
        <v>2940</v>
      </c>
      <c r="E149" s="23" t="s">
        <v>75</v>
      </c>
      <c r="F149" s="23" t="s">
        <v>105</v>
      </c>
      <c r="G149" s="25">
        <v>7.888768366E9</v>
      </c>
    </row>
    <row r="150" ht="22.5" customHeight="1">
      <c r="A150" s="18" t="s">
        <v>1722</v>
      </c>
      <c r="B150" s="19" t="s">
        <v>2948</v>
      </c>
      <c r="C150" s="20" t="s">
        <v>1723</v>
      </c>
      <c r="D150" s="19" t="s">
        <v>2952</v>
      </c>
      <c r="E150" s="19" t="s">
        <v>1653</v>
      </c>
      <c r="F150" s="19" t="s">
        <v>105</v>
      </c>
      <c r="G150" s="21">
        <v>9.354081055E9</v>
      </c>
    </row>
    <row r="151" ht="22.5" customHeight="1">
      <c r="A151" s="22" t="s">
        <v>2958</v>
      </c>
      <c r="B151" s="23" t="s">
        <v>2963</v>
      </c>
      <c r="C151" s="24" t="s">
        <v>2965</v>
      </c>
      <c r="D151" s="23" t="s">
        <v>2966</v>
      </c>
      <c r="E151" s="23" t="s">
        <v>2970</v>
      </c>
      <c r="F151" s="23" t="s">
        <v>105</v>
      </c>
      <c r="G151" s="25">
        <v>9.056690327E9</v>
      </c>
    </row>
    <row r="152" ht="22.5" customHeight="1">
      <c r="A152" s="18" t="s">
        <v>2975</v>
      </c>
      <c r="B152" s="19" t="s">
        <v>2978</v>
      </c>
      <c r="C152" s="20" t="s">
        <v>2850</v>
      </c>
      <c r="D152" s="19" t="s">
        <v>2981</v>
      </c>
      <c r="E152" s="19" t="s">
        <v>1379</v>
      </c>
      <c r="F152" s="19" t="s">
        <v>105</v>
      </c>
      <c r="G152" s="21">
        <v>8.360505875E9</v>
      </c>
    </row>
    <row r="153" ht="22.5" customHeight="1">
      <c r="A153" s="22" t="s">
        <v>2991</v>
      </c>
      <c r="B153" s="23" t="s">
        <v>2996</v>
      </c>
      <c r="C153" s="24" t="s">
        <v>2998</v>
      </c>
      <c r="D153" s="23" t="s">
        <v>3000</v>
      </c>
      <c r="E153" s="23" t="s">
        <v>303</v>
      </c>
      <c r="F153" s="23" t="s">
        <v>105</v>
      </c>
      <c r="G153" s="25">
        <v>9.878659234E9</v>
      </c>
    </row>
    <row r="154" ht="22.5" customHeight="1">
      <c r="A154" s="18" t="s">
        <v>3011</v>
      </c>
      <c r="B154" s="19" t="s">
        <v>3015</v>
      </c>
      <c r="C154" s="20" t="s">
        <v>3016</v>
      </c>
      <c r="D154" s="19" t="s">
        <v>3021</v>
      </c>
      <c r="E154" s="19" t="s">
        <v>617</v>
      </c>
      <c r="F154" s="19" t="s">
        <v>105</v>
      </c>
      <c r="G154" s="21">
        <v>8.07750078E9</v>
      </c>
    </row>
    <row r="155" ht="22.5" customHeight="1">
      <c r="A155" s="22" t="s">
        <v>1307</v>
      </c>
      <c r="B155" s="23" t="s">
        <v>3033</v>
      </c>
      <c r="C155" s="24" t="s">
        <v>1309</v>
      </c>
      <c r="D155" s="23" t="s">
        <v>3038</v>
      </c>
      <c r="E155" s="23" t="s">
        <v>1149</v>
      </c>
      <c r="F155" s="23" t="s">
        <v>105</v>
      </c>
      <c r="G155" s="25">
        <v>8.708797592E9</v>
      </c>
    </row>
    <row r="156" ht="22.5" customHeight="1">
      <c r="A156" s="18" t="s">
        <v>3047</v>
      </c>
      <c r="B156" s="19" t="s">
        <v>3049</v>
      </c>
      <c r="C156" s="20" t="s">
        <v>3053</v>
      </c>
      <c r="D156" s="19" t="s">
        <v>3055</v>
      </c>
      <c r="E156" s="19" t="s">
        <v>2970</v>
      </c>
      <c r="F156" s="19" t="s">
        <v>105</v>
      </c>
      <c r="G156" s="21">
        <v>8.949901167E9</v>
      </c>
    </row>
    <row r="157" ht="22.5" customHeight="1">
      <c r="A157" s="22" t="s">
        <v>3061</v>
      </c>
      <c r="B157" s="23" t="s">
        <v>3033</v>
      </c>
      <c r="C157" s="24" t="s">
        <v>3067</v>
      </c>
      <c r="D157" s="23" t="s">
        <v>3069</v>
      </c>
      <c r="E157" s="23" t="s">
        <v>756</v>
      </c>
      <c r="F157" s="23" t="s">
        <v>105</v>
      </c>
      <c r="G157" s="25">
        <v>8.829922858E9</v>
      </c>
    </row>
    <row r="158" ht="22.5" customHeight="1">
      <c r="A158" s="18" t="s">
        <v>3077</v>
      </c>
      <c r="B158" s="19" t="s">
        <v>3079</v>
      </c>
      <c r="C158" s="20" t="s">
        <v>3084</v>
      </c>
      <c r="D158" s="19" t="s">
        <v>3085</v>
      </c>
      <c r="E158" s="19" t="s">
        <v>47</v>
      </c>
      <c r="F158" s="19" t="s">
        <v>105</v>
      </c>
      <c r="G158" s="21">
        <v>7.888529156E9</v>
      </c>
    </row>
    <row r="159" ht="22.5" customHeight="1">
      <c r="A159" s="22" t="s">
        <v>3092</v>
      </c>
      <c r="B159" s="23" t="s">
        <v>3096</v>
      </c>
      <c r="C159" s="24" t="s">
        <v>3097</v>
      </c>
      <c r="D159" s="23" t="s">
        <v>3092</v>
      </c>
      <c r="E159" s="23" t="s">
        <v>100</v>
      </c>
      <c r="F159" s="23" t="s">
        <v>105</v>
      </c>
      <c r="G159" s="25">
        <v>8.154868191E9</v>
      </c>
    </row>
    <row r="160" ht="22.5" customHeight="1">
      <c r="A160" s="18" t="s">
        <v>3106</v>
      </c>
      <c r="B160" s="19" t="s">
        <v>3107</v>
      </c>
      <c r="C160" s="20" t="s">
        <v>3112</v>
      </c>
      <c r="D160" s="19" t="s">
        <v>3113</v>
      </c>
      <c r="E160" s="19" t="s">
        <v>3118</v>
      </c>
      <c r="F160" s="19" t="s">
        <v>105</v>
      </c>
      <c r="G160" s="21">
        <v>9.582054537E9</v>
      </c>
    </row>
    <row r="161" ht="22.5" customHeight="1">
      <c r="A161" s="22" t="s">
        <v>3123</v>
      </c>
      <c r="B161" s="23" t="s">
        <v>3127</v>
      </c>
      <c r="C161" s="24" t="s">
        <v>3129</v>
      </c>
      <c r="D161" s="23" t="s">
        <v>3132</v>
      </c>
      <c r="E161" s="23" t="s">
        <v>57</v>
      </c>
      <c r="F161" s="23" t="s">
        <v>105</v>
      </c>
      <c r="G161" s="25">
        <v>9.996913289E9</v>
      </c>
    </row>
    <row r="162" ht="22.5" customHeight="1">
      <c r="A162" s="18" t="s">
        <v>3139</v>
      </c>
      <c r="B162" s="19" t="s">
        <v>3142</v>
      </c>
      <c r="C162" s="20" t="s">
        <v>3144</v>
      </c>
      <c r="D162" s="19" t="s">
        <v>3146</v>
      </c>
      <c r="E162" s="19" t="s">
        <v>282</v>
      </c>
      <c r="F162" s="19" t="s">
        <v>105</v>
      </c>
      <c r="G162" s="21">
        <v>9.310110875E9</v>
      </c>
    </row>
    <row r="163" ht="22.5" customHeight="1">
      <c r="A163" s="22" t="s">
        <v>1505</v>
      </c>
      <c r="B163" s="23" t="s">
        <v>3155</v>
      </c>
      <c r="C163" s="24" t="s">
        <v>1507</v>
      </c>
      <c r="D163" s="23" t="s">
        <v>3160</v>
      </c>
      <c r="E163" s="23" t="s">
        <v>75</v>
      </c>
      <c r="F163" s="23" t="s">
        <v>105</v>
      </c>
      <c r="G163" s="25">
        <v>8.69981575E9</v>
      </c>
    </row>
    <row r="164" ht="22.5" customHeight="1">
      <c r="A164" s="18" t="s">
        <v>2264</v>
      </c>
      <c r="B164" s="19" t="s">
        <v>3169</v>
      </c>
      <c r="C164" s="20" t="s">
        <v>2265</v>
      </c>
      <c r="D164" s="19" t="s">
        <v>3174</v>
      </c>
      <c r="E164" s="19" t="s">
        <v>304</v>
      </c>
      <c r="F164" s="19" t="s">
        <v>105</v>
      </c>
      <c r="G164" s="21">
        <v>6.283660062E9</v>
      </c>
    </row>
    <row r="165" ht="22.5" customHeight="1">
      <c r="A165" s="22" t="s">
        <v>3183</v>
      </c>
      <c r="B165" s="23" t="s">
        <v>3186</v>
      </c>
      <c r="C165" s="24" t="s">
        <v>3189</v>
      </c>
      <c r="D165" s="23" t="s">
        <v>3191</v>
      </c>
      <c r="E165" s="23" t="s">
        <v>524</v>
      </c>
      <c r="F165" s="23" t="s">
        <v>105</v>
      </c>
      <c r="G165" s="25">
        <v>9.056665414E9</v>
      </c>
    </row>
    <row r="166" ht="22.5" customHeight="1">
      <c r="A166" s="18" t="s">
        <v>3197</v>
      </c>
      <c r="B166" s="19" t="s">
        <v>3199</v>
      </c>
      <c r="C166" s="20" t="s">
        <v>3201</v>
      </c>
      <c r="D166" s="19" t="s">
        <v>3202</v>
      </c>
      <c r="E166" s="19" t="s">
        <v>314</v>
      </c>
      <c r="F166" s="19" t="s">
        <v>105</v>
      </c>
      <c r="G166" s="21">
        <v>7.71964407E8</v>
      </c>
    </row>
    <row r="167" ht="22.5" customHeight="1">
      <c r="A167" s="22" t="s">
        <v>3210</v>
      </c>
      <c r="B167" s="23" t="s">
        <v>3212</v>
      </c>
      <c r="C167" s="24" t="s">
        <v>3214</v>
      </c>
      <c r="D167" s="23" t="s">
        <v>3216</v>
      </c>
      <c r="E167" s="23" t="s">
        <v>100</v>
      </c>
      <c r="F167" s="23" t="s">
        <v>105</v>
      </c>
      <c r="G167" s="25">
        <v>7.009838151E9</v>
      </c>
    </row>
    <row r="168" ht="22.5" customHeight="1">
      <c r="A168" s="18" t="s">
        <v>3223</v>
      </c>
      <c r="B168" s="19" t="s">
        <v>3224</v>
      </c>
      <c r="C168" s="20" t="s">
        <v>3228</v>
      </c>
      <c r="D168" s="19" t="s">
        <v>3230</v>
      </c>
      <c r="E168" s="19" t="s">
        <v>384</v>
      </c>
      <c r="F168" s="19" t="s">
        <v>105</v>
      </c>
      <c r="G168" s="21">
        <v>7.009560518E9</v>
      </c>
    </row>
    <row r="169" ht="22.5" customHeight="1">
      <c r="A169" s="22" t="s">
        <v>3239</v>
      </c>
      <c r="B169" s="23" t="s">
        <v>3242</v>
      </c>
      <c r="C169" s="24" t="s">
        <v>3027</v>
      </c>
      <c r="D169" s="23" t="s">
        <v>3239</v>
      </c>
      <c r="E169" s="23" t="s">
        <v>1622</v>
      </c>
      <c r="F169" s="23" t="s">
        <v>105</v>
      </c>
      <c r="G169" s="25">
        <v>6.239220413E9</v>
      </c>
    </row>
    <row r="170" ht="22.5" customHeight="1">
      <c r="A170" s="18" t="s">
        <v>2638</v>
      </c>
      <c r="B170" s="19" t="s">
        <v>3255</v>
      </c>
      <c r="C170" s="20" t="s">
        <v>2639</v>
      </c>
      <c r="D170" s="19" t="s">
        <v>3257</v>
      </c>
      <c r="E170" s="19" t="s">
        <v>265</v>
      </c>
      <c r="F170" s="19" t="s">
        <v>105</v>
      </c>
      <c r="G170" s="21">
        <v>9.988690211E9</v>
      </c>
    </row>
    <row r="171" ht="22.5" customHeight="1">
      <c r="A171" s="22" t="s">
        <v>3263</v>
      </c>
      <c r="B171" s="23" t="s">
        <v>3268</v>
      </c>
      <c r="C171" s="24" t="s">
        <v>3269</v>
      </c>
      <c r="D171" s="23" t="s">
        <v>3272</v>
      </c>
      <c r="E171" s="23" t="s">
        <v>346</v>
      </c>
      <c r="F171" s="23" t="s">
        <v>105</v>
      </c>
      <c r="G171" s="25">
        <v>7.986331052E9</v>
      </c>
    </row>
    <row r="172" ht="22.5" customHeight="1">
      <c r="A172" s="18" t="s">
        <v>3279</v>
      </c>
      <c r="B172" s="19" t="s">
        <v>3282</v>
      </c>
      <c r="C172" s="20" t="s">
        <v>1701</v>
      </c>
      <c r="D172" s="19" t="s">
        <v>3287</v>
      </c>
      <c r="E172" s="19" t="s">
        <v>1653</v>
      </c>
      <c r="F172" s="19" t="s">
        <v>105</v>
      </c>
      <c r="G172" s="21">
        <v>9.816974858E9</v>
      </c>
    </row>
    <row r="173" ht="22.5" customHeight="1">
      <c r="A173" s="22" t="s">
        <v>3292</v>
      </c>
      <c r="B173" s="23" t="s">
        <v>3295</v>
      </c>
      <c r="C173" s="24" t="s">
        <v>3298</v>
      </c>
      <c r="D173" s="23" t="s">
        <v>3302</v>
      </c>
      <c r="E173" s="23" t="s">
        <v>346</v>
      </c>
      <c r="F173" s="23" t="s">
        <v>105</v>
      </c>
      <c r="G173" s="25">
        <v>9.805970417E9</v>
      </c>
    </row>
    <row r="174" ht="22.5" customHeight="1">
      <c r="A174" s="18" t="s">
        <v>2692</v>
      </c>
      <c r="B174" s="19" t="s">
        <v>3312</v>
      </c>
      <c r="C174" s="20" t="s">
        <v>2693</v>
      </c>
      <c r="D174" s="19" t="s">
        <v>3317</v>
      </c>
      <c r="E174" s="19" t="s">
        <v>204</v>
      </c>
      <c r="F174" s="19" t="s">
        <v>105</v>
      </c>
      <c r="G174" s="21">
        <v>8.9681964E9</v>
      </c>
    </row>
    <row r="175" ht="22.5" customHeight="1">
      <c r="A175" s="22" t="s">
        <v>3326</v>
      </c>
      <c r="B175" s="23" t="s">
        <v>3328</v>
      </c>
      <c r="C175" s="24" t="s">
        <v>3332</v>
      </c>
      <c r="D175" s="23" t="s">
        <v>3334</v>
      </c>
      <c r="E175" s="23" t="s">
        <v>543</v>
      </c>
      <c r="F175" s="23" t="s">
        <v>105</v>
      </c>
      <c r="G175" s="25">
        <v>8.076772674E9</v>
      </c>
    </row>
    <row r="176" ht="22.5" customHeight="1">
      <c r="A176" s="18" t="s">
        <v>3342</v>
      </c>
      <c r="B176" s="19" t="s">
        <v>3347</v>
      </c>
      <c r="C176" s="20" t="s">
        <v>3348</v>
      </c>
      <c r="D176" s="19" t="s">
        <v>3352</v>
      </c>
      <c r="E176" s="19" t="s">
        <v>255</v>
      </c>
      <c r="F176" s="19" t="s">
        <v>105</v>
      </c>
      <c r="G176" s="21">
        <v>9.878748016E9</v>
      </c>
    </row>
    <row r="177" ht="22.5" customHeight="1">
      <c r="A177" s="22" t="s">
        <v>2995</v>
      </c>
      <c r="B177" s="23" t="s">
        <v>3358</v>
      </c>
      <c r="C177" s="24" t="s">
        <v>2997</v>
      </c>
      <c r="D177" s="23" t="s">
        <v>3363</v>
      </c>
      <c r="E177" s="23" t="s">
        <v>22</v>
      </c>
      <c r="F177" s="23" t="s">
        <v>105</v>
      </c>
      <c r="G177" s="25">
        <v>9.915211114E9</v>
      </c>
    </row>
    <row r="178" ht="22.5" customHeight="1">
      <c r="A178" s="18" t="s">
        <v>202</v>
      </c>
      <c r="B178" s="19" t="s">
        <v>3372</v>
      </c>
      <c r="C178" s="20" t="s">
        <v>203</v>
      </c>
      <c r="D178" s="19" t="s">
        <v>202</v>
      </c>
      <c r="E178" s="19" t="s">
        <v>106</v>
      </c>
      <c r="F178" s="19" t="s">
        <v>105</v>
      </c>
      <c r="G178" s="21">
        <v>6.283585441E9</v>
      </c>
    </row>
    <row r="179" ht="22.5" customHeight="1">
      <c r="A179" s="22" t="s">
        <v>3384</v>
      </c>
      <c r="B179" s="23" t="s">
        <v>3386</v>
      </c>
      <c r="C179" s="24" t="s">
        <v>3391</v>
      </c>
      <c r="D179" s="23" t="s">
        <v>3396</v>
      </c>
      <c r="E179" s="23" t="s">
        <v>469</v>
      </c>
      <c r="F179" s="23" t="s">
        <v>105</v>
      </c>
      <c r="G179" s="25">
        <v>8.837821844E9</v>
      </c>
    </row>
    <row r="180" ht="22.5" customHeight="1">
      <c r="A180" s="18" t="s">
        <v>3403</v>
      </c>
      <c r="B180" s="19" t="s">
        <v>3407</v>
      </c>
      <c r="C180" s="20" t="s">
        <v>3409</v>
      </c>
      <c r="D180" s="19" t="s">
        <v>3412</v>
      </c>
      <c r="E180" s="19" t="s">
        <v>255</v>
      </c>
      <c r="F180" s="19" t="s">
        <v>105</v>
      </c>
      <c r="G180" s="21">
        <v>9.779896752E9</v>
      </c>
    </row>
    <row r="181" ht="22.5" customHeight="1">
      <c r="A181" s="22" t="s">
        <v>3419</v>
      </c>
      <c r="B181" s="23" t="s">
        <v>3422</v>
      </c>
      <c r="C181" s="24" t="s">
        <v>3424</v>
      </c>
      <c r="D181" s="23" t="s">
        <v>3426</v>
      </c>
      <c r="E181" s="23" t="s">
        <v>512</v>
      </c>
      <c r="F181" s="23" t="s">
        <v>105</v>
      </c>
      <c r="G181" s="25">
        <v>8.377994665E9</v>
      </c>
    </row>
    <row r="182" ht="22.5" customHeight="1">
      <c r="A182" s="18" t="s">
        <v>3432</v>
      </c>
      <c r="B182" s="19" t="s">
        <v>3433</v>
      </c>
      <c r="C182" s="20" t="s">
        <v>3435</v>
      </c>
      <c r="D182" s="19" t="s">
        <v>3439</v>
      </c>
      <c r="E182" s="19" t="s">
        <v>238</v>
      </c>
      <c r="F182" s="19" t="s">
        <v>105</v>
      </c>
      <c r="G182" s="21">
        <v>8.107672544E9</v>
      </c>
    </row>
    <row r="183" ht="22.5" customHeight="1">
      <c r="A183" s="22" t="s">
        <v>1892</v>
      </c>
      <c r="B183" s="23" t="s">
        <v>3448</v>
      </c>
      <c r="C183" s="24" t="s">
        <v>1893</v>
      </c>
      <c r="D183" s="23" t="s">
        <v>3453</v>
      </c>
      <c r="E183" s="23" t="s">
        <v>782</v>
      </c>
      <c r="F183" s="23" t="s">
        <v>105</v>
      </c>
      <c r="G183" s="25">
        <v>8.770546431E9</v>
      </c>
    </row>
    <row r="184" ht="22.5" customHeight="1">
      <c r="A184" s="18" t="s">
        <v>2253</v>
      </c>
      <c r="B184" s="19" t="s">
        <v>3462</v>
      </c>
      <c r="C184" s="20" t="s">
        <v>2254</v>
      </c>
      <c r="D184" s="19" t="s">
        <v>3467</v>
      </c>
      <c r="E184" s="19" t="s">
        <v>304</v>
      </c>
      <c r="F184" s="19" t="s">
        <v>105</v>
      </c>
      <c r="G184" s="21">
        <v>8.448574101E9</v>
      </c>
    </row>
    <row r="185" ht="22.5" customHeight="1">
      <c r="A185" s="22" t="s">
        <v>3476</v>
      </c>
      <c r="B185" s="23" t="s">
        <v>3479</v>
      </c>
      <c r="C185" s="24" t="s">
        <v>2979</v>
      </c>
      <c r="D185" s="23" t="s">
        <v>3483</v>
      </c>
      <c r="E185" s="23" t="s">
        <v>1622</v>
      </c>
      <c r="F185" s="23" t="s">
        <v>105</v>
      </c>
      <c r="G185" s="25">
        <v>8.950849334E9</v>
      </c>
    </row>
    <row r="186" ht="22.5" customHeight="1">
      <c r="A186" s="18" t="s">
        <v>3490</v>
      </c>
      <c r="B186" s="19" t="s">
        <v>3494</v>
      </c>
      <c r="C186" s="20" t="s">
        <v>3495</v>
      </c>
      <c r="D186" s="19" t="s">
        <v>3497</v>
      </c>
      <c r="E186" s="19" t="s">
        <v>1607</v>
      </c>
      <c r="F186" s="19" t="s">
        <v>105</v>
      </c>
      <c r="G186" s="21">
        <v>9.306731334E9</v>
      </c>
    </row>
    <row r="187" ht="22.5" customHeight="1">
      <c r="A187" s="22" t="s">
        <v>3504</v>
      </c>
      <c r="B187" s="23" t="s">
        <v>3507</v>
      </c>
      <c r="C187" s="24" t="s">
        <v>3508</v>
      </c>
      <c r="D187" s="23" t="s">
        <v>3513</v>
      </c>
      <c r="E187" s="23" t="s">
        <v>346</v>
      </c>
      <c r="F187" s="23" t="s">
        <v>105</v>
      </c>
      <c r="G187" s="25">
        <v>9.949555353E9</v>
      </c>
    </row>
    <row r="188" ht="22.5" customHeight="1">
      <c r="A188" s="18" t="s">
        <v>3527</v>
      </c>
      <c r="B188" s="19" t="s">
        <v>3531</v>
      </c>
      <c r="C188" s="20" t="s">
        <v>3533</v>
      </c>
      <c r="D188" s="19" t="s">
        <v>3527</v>
      </c>
      <c r="E188" s="19" t="s">
        <v>1561</v>
      </c>
      <c r="F188" s="19" t="s">
        <v>105</v>
      </c>
      <c r="G188" s="21">
        <v>8.437774535E9</v>
      </c>
    </row>
    <row r="189" ht="22.5" customHeight="1">
      <c r="A189" s="22" t="s">
        <v>1986</v>
      </c>
      <c r="B189" s="23" t="s">
        <v>3544</v>
      </c>
      <c r="C189" s="24" t="s">
        <v>1988</v>
      </c>
      <c r="D189" s="23" t="s">
        <v>3548</v>
      </c>
      <c r="E189" s="23" t="s">
        <v>17</v>
      </c>
      <c r="F189" s="23" t="s">
        <v>105</v>
      </c>
      <c r="G189" s="25">
        <v>9.646666605E9</v>
      </c>
    </row>
    <row r="190" ht="22.5" customHeight="1">
      <c r="A190" s="18" t="s">
        <v>3555</v>
      </c>
      <c r="B190" s="19" t="s">
        <v>3556</v>
      </c>
      <c r="C190" s="20" t="s">
        <v>3558</v>
      </c>
      <c r="D190" s="19" t="s">
        <v>3555</v>
      </c>
      <c r="E190" s="19" t="s">
        <v>2522</v>
      </c>
      <c r="F190" s="19" t="s">
        <v>105</v>
      </c>
      <c r="G190" s="21">
        <v>9.81103269E9</v>
      </c>
    </row>
    <row r="191" ht="22.5" customHeight="1">
      <c r="A191" s="22" t="s">
        <v>3566</v>
      </c>
      <c r="B191" s="23" t="s">
        <v>3567</v>
      </c>
      <c r="C191" s="24" t="s">
        <v>3569</v>
      </c>
      <c r="D191" s="23" t="s">
        <v>3571</v>
      </c>
      <c r="E191" s="23" t="s">
        <v>3572</v>
      </c>
      <c r="F191" s="23" t="s">
        <v>105</v>
      </c>
      <c r="G191" s="25">
        <v>9.810796064E9</v>
      </c>
    </row>
    <row r="192" ht="22.5" customHeight="1">
      <c r="A192" s="18" t="s">
        <v>2857</v>
      </c>
      <c r="B192" s="19" t="s">
        <v>3578</v>
      </c>
      <c r="C192" s="20" t="s">
        <v>2858</v>
      </c>
      <c r="D192" s="19" t="s">
        <v>3582</v>
      </c>
      <c r="E192" s="19" t="s">
        <v>265</v>
      </c>
      <c r="F192" s="19" t="s">
        <v>105</v>
      </c>
      <c r="G192" s="21">
        <v>9.955992866E9</v>
      </c>
    </row>
    <row r="193" ht="22.5" customHeight="1">
      <c r="A193" s="22" t="s">
        <v>3588</v>
      </c>
      <c r="B193" s="23" t="s">
        <v>3589</v>
      </c>
      <c r="C193" s="24" t="s">
        <v>2262</v>
      </c>
      <c r="D193" s="23" t="s">
        <v>3593</v>
      </c>
      <c r="E193" s="23" t="s">
        <v>219</v>
      </c>
      <c r="F193" s="23" t="s">
        <v>105</v>
      </c>
      <c r="G193" s="25">
        <v>7.607255909E9</v>
      </c>
    </row>
    <row r="194" ht="22.5" customHeight="1">
      <c r="A194" s="18" t="s">
        <v>85</v>
      </c>
      <c r="B194" s="19" t="s">
        <v>83</v>
      </c>
      <c r="C194" s="20" t="s">
        <v>86</v>
      </c>
      <c r="D194" s="19" t="s">
        <v>3606</v>
      </c>
      <c r="E194" s="19" t="s">
        <v>81</v>
      </c>
      <c r="F194" s="19" t="s">
        <v>105</v>
      </c>
      <c r="G194" s="21">
        <v>9.518296887E9</v>
      </c>
    </row>
    <row r="195" ht="22.5" customHeight="1">
      <c r="A195" s="22" t="s">
        <v>3614</v>
      </c>
      <c r="B195" s="23" t="s">
        <v>3616</v>
      </c>
      <c r="C195" s="24" t="s">
        <v>3619</v>
      </c>
      <c r="D195" s="23" t="s">
        <v>3614</v>
      </c>
      <c r="E195" s="23" t="s">
        <v>2970</v>
      </c>
      <c r="F195" s="23" t="s">
        <v>105</v>
      </c>
      <c r="G195" s="25">
        <v>8.94977251E9</v>
      </c>
    </row>
    <row r="196" ht="22.5" customHeight="1">
      <c r="A196" s="18" t="s">
        <v>3629</v>
      </c>
      <c r="B196" s="19" t="s">
        <v>3633</v>
      </c>
      <c r="C196" s="20" t="s">
        <v>3634</v>
      </c>
      <c r="D196" s="19" t="s">
        <v>3638</v>
      </c>
      <c r="E196" s="19" t="s">
        <v>1002</v>
      </c>
      <c r="F196" s="19" t="s">
        <v>105</v>
      </c>
      <c r="G196" s="21">
        <v>9.634974399E9</v>
      </c>
    </row>
    <row r="197" ht="22.5" customHeight="1">
      <c r="A197" s="22" t="s">
        <v>3644</v>
      </c>
      <c r="B197" s="23" t="s">
        <v>83</v>
      </c>
      <c r="C197" s="24" t="s">
        <v>3647</v>
      </c>
      <c r="D197" s="23" t="s">
        <v>3649</v>
      </c>
      <c r="E197" s="23" t="s">
        <v>523</v>
      </c>
      <c r="F197" s="23" t="s">
        <v>105</v>
      </c>
      <c r="G197" s="25">
        <v>9.81717515E9</v>
      </c>
    </row>
    <row r="198" ht="22.5" customHeight="1">
      <c r="A198" s="18" t="s">
        <v>3656</v>
      </c>
      <c r="B198" s="19" t="s">
        <v>3657</v>
      </c>
      <c r="C198" s="20" t="s">
        <v>3660</v>
      </c>
      <c r="D198" s="19" t="s">
        <v>3661</v>
      </c>
      <c r="E198" s="19" t="s">
        <v>238</v>
      </c>
      <c r="F198" s="19" t="s">
        <v>105</v>
      </c>
      <c r="G198" s="21">
        <v>9.608808604E9</v>
      </c>
    </row>
    <row r="199" ht="22.5" customHeight="1">
      <c r="A199" s="22" t="s">
        <v>3666</v>
      </c>
      <c r="B199" s="23" t="s">
        <v>3668</v>
      </c>
      <c r="C199" s="24" t="s">
        <v>3671</v>
      </c>
      <c r="D199" s="23" t="s">
        <v>3672</v>
      </c>
      <c r="E199" s="23" t="s">
        <v>689</v>
      </c>
      <c r="F199" s="23" t="s">
        <v>105</v>
      </c>
      <c r="G199" s="25">
        <v>7.9911445E9</v>
      </c>
    </row>
    <row r="200" ht="22.5" customHeight="1">
      <c r="A200" s="18" t="s">
        <v>1268</v>
      </c>
      <c r="B200" s="19" t="s">
        <v>3682</v>
      </c>
      <c r="C200" s="20" t="s">
        <v>1269</v>
      </c>
      <c r="D200" s="19" t="s">
        <v>3686</v>
      </c>
      <c r="E200" s="19" t="s">
        <v>1149</v>
      </c>
      <c r="F200" s="19" t="s">
        <v>105</v>
      </c>
      <c r="G200" s="21">
        <v>8.264486267E9</v>
      </c>
    </row>
    <row r="201" ht="22.5" customHeight="1">
      <c r="A201" s="22" t="s">
        <v>109</v>
      </c>
      <c r="B201" s="23" t="s">
        <v>107</v>
      </c>
      <c r="C201" s="24" t="s">
        <v>110</v>
      </c>
      <c r="D201" s="23" t="s">
        <v>3694</v>
      </c>
      <c r="E201" s="23" t="s">
        <v>81</v>
      </c>
      <c r="F201" s="23" t="s">
        <v>105</v>
      </c>
      <c r="G201" s="25">
        <v>6.280442941E9</v>
      </c>
    </row>
    <row r="202" ht="22.5" customHeight="1">
      <c r="A202" s="18" t="s">
        <v>3701</v>
      </c>
      <c r="B202" s="19" t="s">
        <v>3702</v>
      </c>
      <c r="C202" s="20" t="s">
        <v>3703</v>
      </c>
      <c r="D202" s="19" t="s">
        <v>3707</v>
      </c>
      <c r="E202" s="19" t="s">
        <v>1561</v>
      </c>
      <c r="F202" s="19" t="s">
        <v>105</v>
      </c>
      <c r="G202" s="21">
        <v>8.690600758E9</v>
      </c>
    </row>
    <row r="203" ht="22.5" customHeight="1">
      <c r="A203" s="22" t="s">
        <v>3718</v>
      </c>
      <c r="B203" s="23" t="s">
        <v>3722</v>
      </c>
      <c r="C203" s="24" t="s">
        <v>3723</v>
      </c>
      <c r="D203" s="23" t="s">
        <v>3727</v>
      </c>
      <c r="E203" s="23" t="s">
        <v>543</v>
      </c>
      <c r="F203" s="23" t="s">
        <v>105</v>
      </c>
      <c r="G203" s="25">
        <v>7.307222E9</v>
      </c>
    </row>
    <row r="204" ht="22.5" customHeight="1">
      <c r="A204" s="18" t="s">
        <v>3736</v>
      </c>
      <c r="B204" s="19" t="s">
        <v>3738</v>
      </c>
      <c r="C204" s="20" t="s">
        <v>3741</v>
      </c>
      <c r="D204" s="19" t="s">
        <v>3746</v>
      </c>
      <c r="E204" s="19" t="s">
        <v>1326</v>
      </c>
      <c r="F204" s="19" t="s">
        <v>105</v>
      </c>
      <c r="G204" s="21">
        <v>6.284142166E9</v>
      </c>
    </row>
    <row r="205" ht="22.5" customHeight="1">
      <c r="A205" s="22" t="s">
        <v>307</v>
      </c>
      <c r="B205" s="23" t="s">
        <v>305</v>
      </c>
      <c r="C205" s="24" t="s">
        <v>308</v>
      </c>
      <c r="D205" s="23" t="s">
        <v>3759</v>
      </c>
      <c r="E205" s="23" t="s">
        <v>106</v>
      </c>
      <c r="F205" s="23" t="s">
        <v>105</v>
      </c>
      <c r="G205" s="25">
        <v>9.649314736E9</v>
      </c>
    </row>
    <row r="206" ht="22.5" customHeight="1">
      <c r="A206" s="18" t="s">
        <v>3767</v>
      </c>
      <c r="B206" s="19" t="s">
        <v>3769</v>
      </c>
      <c r="C206" s="20" t="s">
        <v>3773</v>
      </c>
      <c r="D206" s="19" t="s">
        <v>3777</v>
      </c>
      <c r="E206" s="19" t="s">
        <v>792</v>
      </c>
      <c r="F206" s="19" t="s">
        <v>105</v>
      </c>
      <c r="G206" s="21">
        <v>8.1789401E9</v>
      </c>
    </row>
    <row r="207" ht="22.5" customHeight="1">
      <c r="A207" s="22" t="s">
        <v>3784</v>
      </c>
      <c r="B207" s="23" t="s">
        <v>3785</v>
      </c>
      <c r="C207" s="24" t="s">
        <v>3788</v>
      </c>
      <c r="D207" s="23" t="s">
        <v>3790</v>
      </c>
      <c r="E207" s="23" t="s">
        <v>346</v>
      </c>
      <c r="F207" s="23" t="s">
        <v>105</v>
      </c>
      <c r="G207" s="25">
        <v>8.360393396E9</v>
      </c>
    </row>
    <row r="208" ht="22.5" customHeight="1">
      <c r="A208" s="18" t="s">
        <v>3794</v>
      </c>
      <c r="B208" s="19" t="s">
        <v>3795</v>
      </c>
      <c r="C208" s="20" t="s">
        <v>2287</v>
      </c>
      <c r="D208" s="19" t="s">
        <v>3799</v>
      </c>
      <c r="E208" s="19" t="s">
        <v>219</v>
      </c>
      <c r="F208" s="19" t="s">
        <v>105</v>
      </c>
      <c r="G208" s="21">
        <v>7.838800697E9</v>
      </c>
    </row>
    <row r="209" ht="22.5" customHeight="1">
      <c r="A209" s="22" t="s">
        <v>3803</v>
      </c>
      <c r="B209" s="23" t="s">
        <v>3804</v>
      </c>
      <c r="C209" s="24" t="s">
        <v>3808</v>
      </c>
      <c r="D209" s="23" t="s">
        <v>3809</v>
      </c>
      <c r="E209" s="23" t="s">
        <v>365</v>
      </c>
      <c r="F209" s="23" t="s">
        <v>105</v>
      </c>
      <c r="G209" s="25">
        <v>8.595407215E9</v>
      </c>
    </row>
    <row r="210" ht="22.5" customHeight="1">
      <c r="A210" s="18" t="s">
        <v>3177</v>
      </c>
      <c r="B210" s="19" t="s">
        <v>3816</v>
      </c>
      <c r="C210" s="20" t="s">
        <v>3178</v>
      </c>
      <c r="D210" s="19" t="s">
        <v>3820</v>
      </c>
      <c r="E210" s="19" t="s">
        <v>30</v>
      </c>
      <c r="F210" s="19" t="s">
        <v>105</v>
      </c>
      <c r="G210" s="21">
        <v>9.650402517E9</v>
      </c>
    </row>
    <row r="211" ht="22.5" customHeight="1">
      <c r="A211" s="22" t="s">
        <v>3827</v>
      </c>
      <c r="B211" s="23" t="s">
        <v>3828</v>
      </c>
      <c r="C211" s="24" t="s">
        <v>3831</v>
      </c>
      <c r="D211" s="23" t="s">
        <v>3833</v>
      </c>
      <c r="E211" s="23" t="s">
        <v>3118</v>
      </c>
      <c r="F211" s="23" t="s">
        <v>105</v>
      </c>
      <c r="G211" s="25">
        <v>8.851609408E9</v>
      </c>
    </row>
    <row r="212" ht="22.5" customHeight="1">
      <c r="A212" s="18" t="s">
        <v>3692</v>
      </c>
      <c r="B212" s="19" t="s">
        <v>3844</v>
      </c>
      <c r="C212" s="20" t="s">
        <v>3693</v>
      </c>
      <c r="D212" s="19" t="s">
        <v>3848</v>
      </c>
      <c r="E212" s="19" t="s">
        <v>227</v>
      </c>
      <c r="F212" s="19" t="s">
        <v>105</v>
      </c>
      <c r="G212" s="21">
        <v>6.284339224E9</v>
      </c>
    </row>
    <row r="213" ht="22.5" customHeight="1">
      <c r="A213" s="22" t="s">
        <v>2480</v>
      </c>
      <c r="B213" s="23" t="s">
        <v>3855</v>
      </c>
      <c r="C213" s="24" t="s">
        <v>2481</v>
      </c>
      <c r="D213" s="23" t="s">
        <v>3859</v>
      </c>
      <c r="E213" s="23" t="s">
        <v>63</v>
      </c>
      <c r="F213" s="23" t="s">
        <v>105</v>
      </c>
      <c r="G213" s="25">
        <v>7.658033032E9</v>
      </c>
    </row>
    <row r="214" ht="22.5" customHeight="1">
      <c r="A214" s="18" t="s">
        <v>3137</v>
      </c>
      <c r="B214" s="19" t="s">
        <v>3869</v>
      </c>
      <c r="C214" s="20" t="s">
        <v>3138</v>
      </c>
      <c r="D214" s="19" t="s">
        <v>3873</v>
      </c>
      <c r="E214" s="19" t="s">
        <v>22</v>
      </c>
      <c r="F214" s="19" t="s">
        <v>105</v>
      </c>
      <c r="G214" s="21">
        <v>7.888790051E9</v>
      </c>
    </row>
    <row r="215" ht="22.5" customHeight="1">
      <c r="A215" s="22" t="s">
        <v>1343</v>
      </c>
      <c r="B215" s="23" t="s">
        <v>3881</v>
      </c>
      <c r="C215" s="24" t="s">
        <v>1345</v>
      </c>
      <c r="D215" s="23" t="s">
        <v>3883</v>
      </c>
      <c r="E215" s="23" t="s">
        <v>1873</v>
      </c>
      <c r="F215" s="23" t="s">
        <v>105</v>
      </c>
      <c r="G215" s="25">
        <v>9.500086883E9</v>
      </c>
    </row>
    <row r="216" ht="22.5" customHeight="1">
      <c r="A216" s="18" t="s">
        <v>3442</v>
      </c>
      <c r="B216" s="19" t="s">
        <v>3888</v>
      </c>
      <c r="C216" s="20" t="s">
        <v>3443</v>
      </c>
      <c r="D216" s="19" t="s">
        <v>3892</v>
      </c>
      <c r="E216" s="19" t="s">
        <v>37</v>
      </c>
      <c r="F216" s="19" t="s">
        <v>105</v>
      </c>
      <c r="G216" s="21">
        <v>8.810836575E9</v>
      </c>
    </row>
    <row r="217" ht="22.5" customHeight="1">
      <c r="A217" s="22" t="s">
        <v>3899</v>
      </c>
      <c r="B217" s="23" t="s">
        <v>3900</v>
      </c>
      <c r="C217" s="24" t="s">
        <v>3904</v>
      </c>
      <c r="D217" s="23" t="s">
        <v>3905</v>
      </c>
      <c r="E217" s="23" t="s">
        <v>57</v>
      </c>
      <c r="F217" s="23" t="s">
        <v>105</v>
      </c>
      <c r="G217" s="25">
        <v>8.847656411E9</v>
      </c>
    </row>
    <row r="218" ht="22.5" customHeight="1">
      <c r="A218" s="18" t="s">
        <v>3912</v>
      </c>
      <c r="B218" s="19" t="s">
        <v>3916</v>
      </c>
      <c r="C218" s="20" t="s">
        <v>3918</v>
      </c>
      <c r="D218" s="19" t="s">
        <v>3921</v>
      </c>
      <c r="E218" s="19" t="s">
        <v>303</v>
      </c>
      <c r="F218" s="19" t="s">
        <v>105</v>
      </c>
      <c r="G218" s="21">
        <v>9.212294757E9</v>
      </c>
    </row>
    <row r="219" ht="22.5" customHeight="1">
      <c r="A219" s="22" t="s">
        <v>3933</v>
      </c>
      <c r="B219" s="23" t="s">
        <v>3935</v>
      </c>
      <c r="C219" s="24" t="s">
        <v>3938</v>
      </c>
      <c r="D219" s="23" t="s">
        <v>3940</v>
      </c>
      <c r="E219" s="23" t="s">
        <v>238</v>
      </c>
      <c r="F219" s="23" t="s">
        <v>105</v>
      </c>
      <c r="G219" s="25">
        <v>9.634922774E9</v>
      </c>
    </row>
    <row r="220" ht="22.5" customHeight="1">
      <c r="A220" s="18" t="s">
        <v>3944</v>
      </c>
      <c r="B220" s="19" t="s">
        <v>3948</v>
      </c>
      <c r="C220" s="20" t="s">
        <v>3950</v>
      </c>
      <c r="D220" s="19" t="s">
        <v>3951</v>
      </c>
      <c r="E220" s="19" t="s">
        <v>3956</v>
      </c>
      <c r="F220" s="19" t="s">
        <v>105</v>
      </c>
      <c r="G220" s="21">
        <v>7.678511833E9</v>
      </c>
    </row>
    <row r="221" ht="22.5" customHeight="1">
      <c r="A221" s="22" t="s">
        <v>3961</v>
      </c>
      <c r="B221" s="23" t="s">
        <v>3964</v>
      </c>
      <c r="C221" s="24" t="s">
        <v>3966</v>
      </c>
      <c r="D221" s="23" t="s">
        <v>3969</v>
      </c>
      <c r="E221" s="23" t="s">
        <v>277</v>
      </c>
      <c r="F221" s="23" t="s">
        <v>105</v>
      </c>
      <c r="G221" s="25">
        <v>9.911582129E9</v>
      </c>
    </row>
    <row r="222" ht="22.5" customHeight="1">
      <c r="A222" s="18" t="s">
        <v>3978</v>
      </c>
      <c r="B222" s="19" t="s">
        <v>3979</v>
      </c>
      <c r="C222" s="20" t="s">
        <v>3982</v>
      </c>
      <c r="D222" s="19" t="s">
        <v>3985</v>
      </c>
      <c r="E222" s="19" t="s">
        <v>617</v>
      </c>
      <c r="F222" s="19" t="s">
        <v>105</v>
      </c>
      <c r="G222" s="21">
        <v>9.461007282E9</v>
      </c>
    </row>
    <row r="223" ht="22.5" customHeight="1">
      <c r="A223" s="22" t="s">
        <v>3988</v>
      </c>
      <c r="B223" s="23" t="s">
        <v>3993</v>
      </c>
      <c r="C223" s="24" t="s">
        <v>3994</v>
      </c>
      <c r="D223" s="23" t="s">
        <v>3997</v>
      </c>
      <c r="E223" s="23" t="s">
        <v>559</v>
      </c>
      <c r="F223" s="23" t="s">
        <v>105</v>
      </c>
      <c r="G223" s="25">
        <v>9.711492299E9</v>
      </c>
    </row>
    <row r="224" ht="22.5" customHeight="1">
      <c r="A224" s="18" t="s">
        <v>4007</v>
      </c>
      <c r="B224" s="19" t="s">
        <v>4010</v>
      </c>
      <c r="C224" s="20" t="s">
        <v>4015</v>
      </c>
      <c r="D224" s="19" t="s">
        <v>4016</v>
      </c>
      <c r="E224" s="19" t="s">
        <v>469</v>
      </c>
      <c r="F224" s="19" t="s">
        <v>105</v>
      </c>
      <c r="G224" s="21">
        <v>8.929644388E9</v>
      </c>
    </row>
    <row r="225" ht="22.5" customHeight="1">
      <c r="A225" s="22" t="s">
        <v>4026</v>
      </c>
      <c r="B225" s="23" t="s">
        <v>4029</v>
      </c>
      <c r="C225" s="24" t="s">
        <v>4032</v>
      </c>
      <c r="D225" s="23" t="s">
        <v>4035</v>
      </c>
      <c r="E225" s="23" t="s">
        <v>231</v>
      </c>
      <c r="F225" s="23" t="s">
        <v>105</v>
      </c>
      <c r="G225" s="25">
        <v>7.080814236E9</v>
      </c>
    </row>
    <row r="226" ht="22.5" customHeight="1">
      <c r="A226" s="30" t="s">
        <v>247</v>
      </c>
      <c r="B226" s="19" t="s">
        <v>245</v>
      </c>
      <c r="C226" s="20" t="s">
        <v>249</v>
      </c>
      <c r="D226" s="19" t="s">
        <v>4050</v>
      </c>
      <c r="E226" s="19" t="s">
        <v>106</v>
      </c>
      <c r="F226" s="19" t="s">
        <v>105</v>
      </c>
      <c r="G226" s="21">
        <v>8.126836036E9</v>
      </c>
    </row>
    <row r="227" ht="22.5" customHeight="1">
      <c r="A227" s="22" t="s">
        <v>4065</v>
      </c>
      <c r="B227" s="23" t="s">
        <v>4068</v>
      </c>
      <c r="C227" s="24" t="s">
        <v>2334</v>
      </c>
      <c r="D227" s="23" t="s">
        <v>4072</v>
      </c>
      <c r="E227" s="23" t="s">
        <v>219</v>
      </c>
      <c r="F227" s="23" t="s">
        <v>105</v>
      </c>
      <c r="G227" s="25">
        <v>7.589858543E9</v>
      </c>
    </row>
    <row r="228" ht="22.5" customHeight="1">
      <c r="A228" s="18" t="s">
        <v>4084</v>
      </c>
      <c r="B228" s="19" t="s">
        <v>4087</v>
      </c>
      <c r="C228" s="20" t="s">
        <v>4090</v>
      </c>
      <c r="D228" s="19" t="s">
        <v>4092</v>
      </c>
      <c r="E228" s="19" t="s">
        <v>792</v>
      </c>
      <c r="F228" s="19" t="s">
        <v>105</v>
      </c>
      <c r="G228" s="21">
        <v>9.910114795E9</v>
      </c>
    </row>
    <row r="229" ht="22.5" customHeight="1">
      <c r="A229" s="22" t="s">
        <v>4100</v>
      </c>
      <c r="B229" s="23" t="s">
        <v>4104</v>
      </c>
      <c r="C229" s="24" t="s">
        <v>4105</v>
      </c>
      <c r="D229" s="23" t="s">
        <v>4110</v>
      </c>
      <c r="E229" s="23" t="s">
        <v>756</v>
      </c>
      <c r="F229" s="23" t="s">
        <v>105</v>
      </c>
      <c r="G229" s="25">
        <v>7.901730993E9</v>
      </c>
    </row>
    <row r="230" ht="22.5" customHeight="1">
      <c r="A230" s="18" t="s">
        <v>4115</v>
      </c>
      <c r="B230" s="19" t="s">
        <v>4120</v>
      </c>
      <c r="C230" s="20" t="s">
        <v>4125</v>
      </c>
      <c r="D230" s="19" t="s">
        <v>4127</v>
      </c>
      <c r="E230" s="19" t="s">
        <v>689</v>
      </c>
      <c r="F230" s="19" t="s">
        <v>105</v>
      </c>
      <c r="G230" s="29"/>
    </row>
    <row r="231" ht="22.5" customHeight="1">
      <c r="A231" s="22" t="s">
        <v>4135</v>
      </c>
      <c r="B231" s="23" t="s">
        <v>4138</v>
      </c>
      <c r="C231" s="24" t="s">
        <v>4141</v>
      </c>
      <c r="D231" s="23" t="s">
        <v>4144</v>
      </c>
      <c r="E231" s="23" t="s">
        <v>689</v>
      </c>
      <c r="F231" s="23" t="s">
        <v>105</v>
      </c>
      <c r="G231" s="25">
        <v>9.988908078E9</v>
      </c>
    </row>
    <row r="232" ht="22.5" customHeight="1">
      <c r="A232" s="18" t="s">
        <v>3677</v>
      </c>
      <c r="B232" s="19" t="s">
        <v>4157</v>
      </c>
      <c r="C232" s="20" t="s">
        <v>3678</v>
      </c>
      <c r="D232" s="19" t="s">
        <v>4161</v>
      </c>
      <c r="E232" s="19" t="s">
        <v>227</v>
      </c>
      <c r="F232" s="19" t="s">
        <v>105</v>
      </c>
      <c r="G232" s="21">
        <v>6.239143958E9</v>
      </c>
    </row>
    <row r="233" ht="22.5" customHeight="1">
      <c r="A233" s="22" t="s">
        <v>3133</v>
      </c>
      <c r="B233" s="23" t="s">
        <v>4172</v>
      </c>
      <c r="C233" s="24" t="s">
        <v>3134</v>
      </c>
      <c r="D233" s="23" t="s">
        <v>4177</v>
      </c>
      <c r="E233" s="23" t="s">
        <v>22</v>
      </c>
      <c r="F233" s="23" t="s">
        <v>105</v>
      </c>
      <c r="G233" s="25">
        <v>9.501760336E9</v>
      </c>
    </row>
    <row r="234" ht="22.5" customHeight="1">
      <c r="A234" s="18" t="s">
        <v>4190</v>
      </c>
      <c r="B234" s="19" t="s">
        <v>4191</v>
      </c>
      <c r="C234" s="20" t="s">
        <v>4196</v>
      </c>
      <c r="D234" s="19" t="s">
        <v>4199</v>
      </c>
      <c r="E234" s="19" t="s">
        <v>4200</v>
      </c>
      <c r="F234" s="19" t="s">
        <v>105</v>
      </c>
      <c r="G234" s="21">
        <v>8.368446796E9</v>
      </c>
    </row>
    <row r="235" ht="22.5" customHeight="1">
      <c r="A235" s="22" t="s">
        <v>779</v>
      </c>
      <c r="B235" s="23" t="s">
        <v>776</v>
      </c>
      <c r="C235" s="24" t="s">
        <v>780</v>
      </c>
      <c r="D235" s="23" t="s">
        <v>4220</v>
      </c>
      <c r="E235" s="23" t="s">
        <v>782</v>
      </c>
      <c r="F235" s="23" t="s">
        <v>105</v>
      </c>
      <c r="G235" s="25">
        <v>7.814393127E9</v>
      </c>
    </row>
    <row r="236" ht="22.5" customHeight="1">
      <c r="A236" s="18" t="s">
        <v>1556</v>
      </c>
      <c r="B236" s="19" t="s">
        <v>4232</v>
      </c>
      <c r="C236" s="20" t="s">
        <v>1558</v>
      </c>
      <c r="D236" s="19" t="s">
        <v>4237</v>
      </c>
      <c r="E236" s="19" t="s">
        <v>75</v>
      </c>
      <c r="F236" s="19" t="s">
        <v>105</v>
      </c>
      <c r="G236" s="21">
        <v>9.311440674E9</v>
      </c>
    </row>
    <row r="237" ht="22.5" customHeight="1">
      <c r="A237" s="22" t="s">
        <v>3970</v>
      </c>
      <c r="B237" s="23" t="s">
        <v>4247</v>
      </c>
      <c r="C237" s="24" t="s">
        <v>3971</v>
      </c>
      <c r="D237" s="23" t="s">
        <v>4252</v>
      </c>
      <c r="E237" s="23" t="s">
        <v>314</v>
      </c>
      <c r="F237" s="23" t="s">
        <v>105</v>
      </c>
      <c r="G237" s="25">
        <v>9.779797335E9</v>
      </c>
    </row>
    <row r="238" ht="22.5" customHeight="1">
      <c r="A238" s="18" t="s">
        <v>4261</v>
      </c>
      <c r="B238" s="19" t="s">
        <v>4265</v>
      </c>
      <c r="C238" s="20" t="s">
        <v>4268</v>
      </c>
      <c r="D238" s="19" t="s">
        <v>4271</v>
      </c>
      <c r="E238" s="19" t="s">
        <v>1607</v>
      </c>
      <c r="F238" s="19" t="s">
        <v>105</v>
      </c>
      <c r="G238" s="21">
        <v>9.136304284E9</v>
      </c>
    </row>
    <row r="239" ht="22.5" customHeight="1">
      <c r="A239" s="22" t="s">
        <v>4280</v>
      </c>
      <c r="B239" s="23" t="s">
        <v>4284</v>
      </c>
      <c r="C239" s="24" t="s">
        <v>4286</v>
      </c>
      <c r="D239" s="23" t="s">
        <v>4289</v>
      </c>
      <c r="E239" s="23" t="s">
        <v>42</v>
      </c>
      <c r="F239" s="23" t="s">
        <v>105</v>
      </c>
      <c r="G239" s="25">
        <v>8.951592513E9</v>
      </c>
    </row>
    <row r="240" ht="22.5" customHeight="1">
      <c r="A240" s="30" t="s">
        <v>4298</v>
      </c>
      <c r="B240" s="19" t="s">
        <v>4299</v>
      </c>
      <c r="C240" s="20" t="s">
        <v>4302</v>
      </c>
      <c r="D240" s="19" t="s">
        <v>4303</v>
      </c>
      <c r="E240" s="19" t="s">
        <v>81</v>
      </c>
      <c r="F240" s="19" t="s">
        <v>105</v>
      </c>
      <c r="G240" s="21">
        <v>9.414509843E9</v>
      </c>
    </row>
    <row r="241" ht="22.5" customHeight="1">
      <c r="A241" s="22" t="s">
        <v>4312</v>
      </c>
      <c r="B241" s="23" t="s">
        <v>4317</v>
      </c>
      <c r="C241" s="24" t="s">
        <v>4319</v>
      </c>
      <c r="D241" s="23" t="s">
        <v>4312</v>
      </c>
      <c r="E241" s="23" t="s">
        <v>792</v>
      </c>
      <c r="F241" s="23" t="s">
        <v>105</v>
      </c>
      <c r="G241" s="25">
        <v>9.779771833E9</v>
      </c>
    </row>
    <row r="242" ht="22.5" customHeight="1">
      <c r="A242" s="30" t="s">
        <v>4168</v>
      </c>
      <c r="B242" s="19" t="s">
        <v>4334</v>
      </c>
      <c r="C242" s="20" t="s">
        <v>4169</v>
      </c>
      <c r="D242" s="19" t="s">
        <v>4339</v>
      </c>
      <c r="E242" s="19" t="s">
        <v>365</v>
      </c>
      <c r="F242" s="19" t="s">
        <v>105</v>
      </c>
      <c r="G242" s="21">
        <v>7.719631912E9</v>
      </c>
    </row>
    <row r="243" ht="22.5" customHeight="1">
      <c r="A243" s="22" t="s">
        <v>4347</v>
      </c>
      <c r="B243" s="23" t="s">
        <v>4349</v>
      </c>
      <c r="C243" s="24" t="s">
        <v>3622</v>
      </c>
      <c r="D243" s="23" t="s">
        <v>4354</v>
      </c>
      <c r="E243" s="23" t="s">
        <v>543</v>
      </c>
      <c r="F243" s="23" t="s">
        <v>105</v>
      </c>
      <c r="G243" s="25">
        <v>7.347643627E9</v>
      </c>
    </row>
    <row r="244" ht="22.5" customHeight="1">
      <c r="A244" s="18" t="s">
        <v>4364</v>
      </c>
      <c r="B244" s="19" t="s">
        <v>4368</v>
      </c>
      <c r="C244" s="20" t="s">
        <v>4370</v>
      </c>
      <c r="D244" s="19" t="s">
        <v>4373</v>
      </c>
      <c r="E244" s="19" t="s">
        <v>1303</v>
      </c>
      <c r="F244" s="19" t="s">
        <v>105</v>
      </c>
      <c r="G244" s="21">
        <v>7.428126557E9</v>
      </c>
    </row>
    <row r="245" ht="22.5" customHeight="1">
      <c r="A245" s="22" t="s">
        <v>4384</v>
      </c>
      <c r="B245" s="23" t="s">
        <v>278</v>
      </c>
      <c r="C245" s="24" t="s">
        <v>281</v>
      </c>
      <c r="D245" s="23" t="s">
        <v>4392</v>
      </c>
      <c r="E245" s="23" t="s">
        <v>282</v>
      </c>
      <c r="F245" s="23" t="s">
        <v>105</v>
      </c>
      <c r="G245" s="25">
        <v>9.892535043E9</v>
      </c>
    </row>
    <row r="246" ht="22.5" customHeight="1">
      <c r="A246" s="18" t="s">
        <v>4403</v>
      </c>
      <c r="B246" s="19" t="s">
        <v>4405</v>
      </c>
      <c r="C246" s="20" t="s">
        <v>4409</v>
      </c>
      <c r="D246" s="19" t="s">
        <v>4414</v>
      </c>
      <c r="E246" s="19" t="s">
        <v>303</v>
      </c>
      <c r="F246" s="19" t="s">
        <v>105</v>
      </c>
      <c r="G246" s="21">
        <v>7.042056699E9</v>
      </c>
    </row>
    <row r="247" ht="22.5" customHeight="1">
      <c r="A247" s="22" t="s">
        <v>4426</v>
      </c>
      <c r="B247" s="23" t="s">
        <v>4430</v>
      </c>
      <c r="C247" s="24" t="s">
        <v>4436</v>
      </c>
      <c r="D247" s="23" t="s">
        <v>4437</v>
      </c>
      <c r="E247" s="23" t="s">
        <v>231</v>
      </c>
      <c r="F247" s="23" t="s">
        <v>105</v>
      </c>
      <c r="G247" s="25">
        <v>8.340573431E9</v>
      </c>
    </row>
    <row r="248" ht="22.5" customHeight="1">
      <c r="A248" s="18" t="s">
        <v>3554</v>
      </c>
      <c r="B248" s="19" t="s">
        <v>4452</v>
      </c>
      <c r="C248" s="20" t="s">
        <v>3539</v>
      </c>
      <c r="D248" s="19" t="s">
        <v>3554</v>
      </c>
      <c r="E248" s="19" t="s">
        <v>68</v>
      </c>
      <c r="F248" s="19" t="s">
        <v>105</v>
      </c>
      <c r="G248" s="21">
        <v>7.379638632E9</v>
      </c>
    </row>
    <row r="249" ht="22.5" customHeight="1">
      <c r="A249" s="22" t="s">
        <v>4468</v>
      </c>
      <c r="B249" s="23" t="s">
        <v>4472</v>
      </c>
      <c r="C249" s="24" t="s">
        <v>4474</v>
      </c>
      <c r="D249" s="23" t="s">
        <v>4477</v>
      </c>
      <c r="E249" s="23" t="s">
        <v>756</v>
      </c>
      <c r="F249" s="23" t="s">
        <v>105</v>
      </c>
      <c r="G249" s="25">
        <v>7.973058166E9</v>
      </c>
    </row>
    <row r="250" ht="22.5" customHeight="1">
      <c r="A250" s="18" t="s">
        <v>4484</v>
      </c>
      <c r="B250" s="19" t="s">
        <v>4489</v>
      </c>
      <c r="C250" s="20" t="s">
        <v>4492</v>
      </c>
      <c r="D250" s="19" t="s">
        <v>4484</v>
      </c>
      <c r="E250" s="19" t="s">
        <v>559</v>
      </c>
      <c r="F250" s="19" t="s">
        <v>105</v>
      </c>
      <c r="G250" s="21">
        <v>9.589025566E9</v>
      </c>
    </row>
    <row r="251" ht="22.5" customHeight="1">
      <c r="A251" s="22" t="s">
        <v>787</v>
      </c>
      <c r="B251" s="23" t="s">
        <v>4510</v>
      </c>
      <c r="C251" s="24" t="s">
        <v>789</v>
      </c>
      <c r="D251" s="23" t="s">
        <v>4513</v>
      </c>
      <c r="E251" s="23" t="s">
        <v>52</v>
      </c>
      <c r="F251" s="23" t="s">
        <v>105</v>
      </c>
      <c r="G251" s="25">
        <v>9.57947393E9</v>
      </c>
    </row>
    <row r="252" ht="22.5" customHeight="1">
      <c r="A252" s="18" t="s">
        <v>4521</v>
      </c>
      <c r="B252" s="19" t="s">
        <v>4526</v>
      </c>
      <c r="C252" s="20" t="s">
        <v>4527</v>
      </c>
      <c r="D252" s="19" t="s">
        <v>4531</v>
      </c>
      <c r="E252" s="19" t="s">
        <v>469</v>
      </c>
      <c r="F252" s="19" t="s">
        <v>105</v>
      </c>
      <c r="G252" s="21">
        <v>8.21801527E9</v>
      </c>
    </row>
    <row r="253" ht="22.5" customHeight="1">
      <c r="A253" s="22" t="s">
        <v>4539</v>
      </c>
      <c r="B253" s="23" t="s">
        <v>4541</v>
      </c>
      <c r="C253" s="24" t="s">
        <v>4543</v>
      </c>
      <c r="D253" s="23" t="s">
        <v>4547</v>
      </c>
      <c r="E253" s="23" t="s">
        <v>3956</v>
      </c>
      <c r="F253" s="23" t="s">
        <v>105</v>
      </c>
      <c r="G253" s="25">
        <v>7.579559463E9</v>
      </c>
    </row>
    <row r="254" ht="22.5" customHeight="1">
      <c r="A254" s="18" t="s">
        <v>4557</v>
      </c>
      <c r="B254" s="19" t="s">
        <v>4558</v>
      </c>
      <c r="C254" s="20" t="s">
        <v>4562</v>
      </c>
      <c r="D254" s="19" t="s">
        <v>4564</v>
      </c>
      <c r="E254" s="19" t="s">
        <v>1326</v>
      </c>
      <c r="F254" s="19" t="s">
        <v>105</v>
      </c>
      <c r="G254" s="21">
        <v>9.814902681E9</v>
      </c>
    </row>
    <row r="255" ht="22.5" customHeight="1">
      <c r="A255" s="22" t="s">
        <v>120</v>
      </c>
      <c r="B255" s="23" t="s">
        <v>118</v>
      </c>
      <c r="C255" s="24" t="s">
        <v>121</v>
      </c>
      <c r="D255" s="23" t="s">
        <v>4578</v>
      </c>
      <c r="E255" s="23" t="s">
        <v>106</v>
      </c>
      <c r="F255" s="23" t="s">
        <v>105</v>
      </c>
      <c r="G255" s="25">
        <v>8.146980889E9</v>
      </c>
    </row>
    <row r="256" ht="22.5" customHeight="1">
      <c r="A256" s="18" t="s">
        <v>4069</v>
      </c>
      <c r="B256" s="19" t="s">
        <v>4594</v>
      </c>
      <c r="C256" s="20" t="s">
        <v>4070</v>
      </c>
      <c r="D256" s="19" t="s">
        <v>4600</v>
      </c>
      <c r="E256" s="19" t="s">
        <v>365</v>
      </c>
      <c r="F256" s="19" t="s">
        <v>105</v>
      </c>
      <c r="G256" s="21">
        <v>9.818549703E9</v>
      </c>
    </row>
    <row r="257" ht="22.5" customHeight="1">
      <c r="A257" s="30" t="s">
        <v>4613</v>
      </c>
      <c r="B257" s="23" t="s">
        <v>4614</v>
      </c>
      <c r="C257" s="24" t="s">
        <v>2276</v>
      </c>
      <c r="D257" s="23" t="s">
        <v>4617</v>
      </c>
      <c r="E257" s="23" t="s">
        <v>219</v>
      </c>
      <c r="F257" s="23" t="s">
        <v>105</v>
      </c>
      <c r="G257" s="25">
        <v>8.709655905E9</v>
      </c>
    </row>
    <row r="258" ht="22.5" customHeight="1">
      <c r="A258" s="18" t="s">
        <v>4629</v>
      </c>
      <c r="B258" s="19" t="s">
        <v>4631</v>
      </c>
      <c r="C258" s="20" t="s">
        <v>4635</v>
      </c>
      <c r="D258" s="19" t="s">
        <v>4637</v>
      </c>
      <c r="E258" s="19" t="s">
        <v>3956</v>
      </c>
      <c r="F258" s="19" t="s">
        <v>105</v>
      </c>
      <c r="G258" s="21">
        <v>8.352047777E9</v>
      </c>
    </row>
    <row r="259" ht="22.5" customHeight="1">
      <c r="A259" s="22" t="s">
        <v>3659</v>
      </c>
      <c r="B259" s="23" t="s">
        <v>4649</v>
      </c>
      <c r="C259" s="24" t="s">
        <v>3640</v>
      </c>
      <c r="D259" s="23" t="s">
        <v>4654</v>
      </c>
      <c r="E259" s="23" t="s">
        <v>543</v>
      </c>
      <c r="F259" s="23" t="s">
        <v>105</v>
      </c>
      <c r="G259" s="25">
        <v>9.876100024E9</v>
      </c>
    </row>
    <row r="260" ht="22.5" customHeight="1">
      <c r="A260" s="18" t="s">
        <v>3586</v>
      </c>
      <c r="B260" s="19" t="s">
        <v>4663</v>
      </c>
      <c r="C260" s="20" t="s">
        <v>3587</v>
      </c>
      <c r="D260" s="19" t="s">
        <v>4668</v>
      </c>
      <c r="E260" s="19" t="s">
        <v>543</v>
      </c>
      <c r="F260" s="19" t="s">
        <v>105</v>
      </c>
      <c r="G260" s="21">
        <v>9.711496773E9</v>
      </c>
    </row>
    <row r="261" ht="22.5" customHeight="1">
      <c r="A261" s="22" t="s">
        <v>4620</v>
      </c>
      <c r="B261" s="23" t="s">
        <v>4678</v>
      </c>
      <c r="C261" s="24" t="s">
        <v>4621</v>
      </c>
      <c r="D261" s="23" t="s">
        <v>4680</v>
      </c>
      <c r="E261" s="23" t="s">
        <v>238</v>
      </c>
      <c r="F261" s="23" t="s">
        <v>105</v>
      </c>
      <c r="G261" s="25">
        <v>9.935129332E9</v>
      </c>
    </row>
    <row r="262" ht="22.5" customHeight="1">
      <c r="A262" s="18" t="s">
        <v>4692</v>
      </c>
      <c r="B262" s="19" t="s">
        <v>4696</v>
      </c>
      <c r="C262" s="20" t="s">
        <v>3823</v>
      </c>
      <c r="D262" s="19" t="s">
        <v>4692</v>
      </c>
      <c r="E262" s="19" t="s">
        <v>221</v>
      </c>
      <c r="F262" s="19" t="s">
        <v>105</v>
      </c>
      <c r="G262" s="21">
        <v>9.311132116E9</v>
      </c>
    </row>
    <row r="263" ht="22.5" customHeight="1">
      <c r="A263" s="22" t="s">
        <v>4709</v>
      </c>
      <c r="B263" s="23" t="s">
        <v>4714</v>
      </c>
      <c r="C263" s="24" t="s">
        <v>4718</v>
      </c>
      <c r="D263" s="23" t="s">
        <v>4720</v>
      </c>
      <c r="E263" s="23" t="s">
        <v>3956</v>
      </c>
      <c r="F263" s="23" t="s">
        <v>105</v>
      </c>
      <c r="G263" s="25">
        <v>7.895444365E9</v>
      </c>
    </row>
    <row r="264" ht="22.5" customHeight="1">
      <c r="A264" s="18" t="s">
        <v>4729</v>
      </c>
      <c r="B264" s="19" t="s">
        <v>4732</v>
      </c>
      <c r="C264" s="20" t="s">
        <v>4734</v>
      </c>
      <c r="D264" s="19" t="s">
        <v>4736</v>
      </c>
      <c r="E264" s="19" t="s">
        <v>1326</v>
      </c>
      <c r="F264" s="19" t="s">
        <v>105</v>
      </c>
      <c r="G264" s="21">
        <v>8.130200998E9</v>
      </c>
    </row>
    <row r="265" ht="22.5" customHeight="1">
      <c r="A265" s="22" t="s">
        <v>4746</v>
      </c>
      <c r="B265" s="23" t="s">
        <v>4749</v>
      </c>
      <c r="C265" s="24" t="s">
        <v>4752</v>
      </c>
      <c r="D265" s="23" t="s">
        <v>4755</v>
      </c>
      <c r="E265" s="23" t="s">
        <v>384</v>
      </c>
      <c r="F265" s="23" t="s">
        <v>105</v>
      </c>
      <c r="G265" s="25">
        <v>9.680539263E9</v>
      </c>
    </row>
    <row r="266" ht="22.5" customHeight="1">
      <c r="A266" s="18" t="s">
        <v>2390</v>
      </c>
      <c r="B266" s="19" t="s">
        <v>4766</v>
      </c>
      <c r="C266" s="20" t="s">
        <v>2392</v>
      </c>
      <c r="D266" s="19" t="s">
        <v>4770</v>
      </c>
      <c r="E266" s="19" t="s">
        <v>1873</v>
      </c>
      <c r="F266" s="19" t="s">
        <v>105</v>
      </c>
      <c r="G266" s="21">
        <v>6.284939292E9</v>
      </c>
    </row>
    <row r="267" ht="22.5" customHeight="1">
      <c r="A267" s="22" t="s">
        <v>4779</v>
      </c>
      <c r="B267" s="23" t="s">
        <v>4784</v>
      </c>
      <c r="C267" s="24" t="s">
        <v>4785</v>
      </c>
      <c r="D267" s="23" t="s">
        <v>4779</v>
      </c>
      <c r="E267" s="23" t="s">
        <v>792</v>
      </c>
      <c r="F267" s="23" t="s">
        <v>105</v>
      </c>
      <c r="G267" s="25">
        <v>9.056082912E9</v>
      </c>
    </row>
    <row r="268" ht="22.5" customHeight="1">
      <c r="A268" s="18" t="s">
        <v>4795</v>
      </c>
      <c r="B268" s="19" t="s">
        <v>4799</v>
      </c>
      <c r="C268" s="20" t="s">
        <v>4800</v>
      </c>
      <c r="D268" s="19" t="s">
        <v>4804</v>
      </c>
      <c r="E268" s="19" t="s">
        <v>1326</v>
      </c>
      <c r="F268" s="19" t="s">
        <v>105</v>
      </c>
      <c r="G268" s="21">
        <v>7.643006491E9</v>
      </c>
    </row>
    <row r="269" ht="22.5" customHeight="1">
      <c r="A269" s="22" t="s">
        <v>4184</v>
      </c>
      <c r="B269" s="23" t="s">
        <v>4814</v>
      </c>
      <c r="C269" s="24" t="s">
        <v>4185</v>
      </c>
      <c r="D269" s="23" t="s">
        <v>4184</v>
      </c>
      <c r="E269" s="23" t="s">
        <v>1737</v>
      </c>
      <c r="F269" s="23" t="s">
        <v>105</v>
      </c>
      <c r="G269" s="25">
        <v>9.830059289E9</v>
      </c>
    </row>
    <row r="270" ht="22.5" customHeight="1">
      <c r="A270" s="18" t="s">
        <v>1246</v>
      </c>
      <c r="B270" s="19" t="s">
        <v>4824</v>
      </c>
      <c r="C270" s="20" t="s">
        <v>1248</v>
      </c>
      <c r="D270" s="19" t="s">
        <v>4826</v>
      </c>
      <c r="E270" s="19" t="s">
        <v>1149</v>
      </c>
      <c r="F270" s="19" t="s">
        <v>105</v>
      </c>
      <c r="G270" s="21">
        <v>8.725850999E9</v>
      </c>
    </row>
    <row r="271" ht="22.5" customHeight="1">
      <c r="A271" s="22" t="s">
        <v>4835</v>
      </c>
      <c r="B271" s="23" t="s">
        <v>4836</v>
      </c>
      <c r="C271" s="24" t="s">
        <v>4839</v>
      </c>
      <c r="D271" s="23" t="s">
        <v>4840</v>
      </c>
      <c r="E271" s="23" t="s">
        <v>1607</v>
      </c>
      <c r="F271" s="23" t="s">
        <v>105</v>
      </c>
      <c r="G271" s="25">
        <v>7.976026932E9</v>
      </c>
    </row>
    <row r="272" ht="22.5" customHeight="1">
      <c r="A272" s="53" t="s">
        <v>4845</v>
      </c>
      <c r="B272" s="54" t="s">
        <v>4854</v>
      </c>
      <c r="C272" s="55" t="s">
        <v>4858</v>
      </c>
      <c r="D272" s="54" t="s">
        <v>4862</v>
      </c>
      <c r="E272" s="54" t="s">
        <v>1002</v>
      </c>
      <c r="F272" s="54" t="s">
        <v>105</v>
      </c>
      <c r="G272" s="56">
        <v>8.427199117E9</v>
      </c>
    </row>
    <row r="273" ht="22.5" customHeight="1">
      <c r="A273" s="22" t="s">
        <v>4873</v>
      </c>
      <c r="B273" s="23" t="s">
        <v>4874</v>
      </c>
      <c r="C273" s="24" t="s">
        <v>4878</v>
      </c>
      <c r="D273" s="23" t="s">
        <v>4880</v>
      </c>
      <c r="E273" s="23" t="s">
        <v>4885</v>
      </c>
      <c r="F273" s="23" t="s">
        <v>105</v>
      </c>
      <c r="G273" s="25">
        <v>9.996613375E9</v>
      </c>
    </row>
    <row r="274" ht="22.5" customHeight="1">
      <c r="A274" s="18" t="s">
        <v>4102</v>
      </c>
      <c r="B274" s="19" t="s">
        <v>4892</v>
      </c>
      <c r="C274" s="20" t="s">
        <v>4103</v>
      </c>
      <c r="D274" s="19" t="s">
        <v>4896</v>
      </c>
      <c r="E274" s="19" t="s">
        <v>365</v>
      </c>
      <c r="F274" s="19" t="s">
        <v>105</v>
      </c>
      <c r="G274" s="21">
        <v>9.46414388E9</v>
      </c>
    </row>
    <row r="275" ht="22.5" customHeight="1">
      <c r="A275" s="22" t="s">
        <v>4909</v>
      </c>
      <c r="B275" s="23" t="s">
        <v>4913</v>
      </c>
      <c r="C275" s="24" t="s">
        <v>2393</v>
      </c>
      <c r="D275" s="23" t="s">
        <v>4915</v>
      </c>
      <c r="E275" s="23" t="s">
        <v>184</v>
      </c>
      <c r="F275" s="23" t="s">
        <v>105</v>
      </c>
      <c r="G275" s="25">
        <v>9.17005917E9</v>
      </c>
    </row>
    <row r="276" ht="22.5" customHeight="1">
      <c r="A276" s="18" t="s">
        <v>130</v>
      </c>
      <c r="B276" s="19" t="s">
        <v>128</v>
      </c>
      <c r="C276" s="20" t="s">
        <v>132</v>
      </c>
      <c r="D276" s="19" t="s">
        <v>4923</v>
      </c>
      <c r="E276" s="19" t="s">
        <v>106</v>
      </c>
      <c r="F276" s="19" t="s">
        <v>105</v>
      </c>
      <c r="G276" s="21">
        <v>9.737749923E9</v>
      </c>
    </row>
    <row r="277" ht="22.5" customHeight="1">
      <c r="A277" s="22" t="s">
        <v>957</v>
      </c>
      <c r="B277" s="23" t="s">
        <v>4933</v>
      </c>
      <c r="C277" s="24" t="s">
        <v>958</v>
      </c>
      <c r="D277" s="23" t="s">
        <v>4937</v>
      </c>
      <c r="E277" s="23" t="s">
        <v>140</v>
      </c>
      <c r="F277" s="23" t="s">
        <v>105</v>
      </c>
      <c r="G277" s="25">
        <v>9.311496464E9</v>
      </c>
    </row>
    <row r="278" ht="22.5" customHeight="1">
      <c r="A278" s="18" t="s">
        <v>884</v>
      </c>
      <c r="B278" s="19" t="s">
        <v>4945</v>
      </c>
      <c r="C278" s="20" t="s">
        <v>885</v>
      </c>
      <c r="D278" s="19" t="s">
        <v>4950</v>
      </c>
      <c r="E278" s="19" t="s">
        <v>52</v>
      </c>
      <c r="F278" s="19" t="s">
        <v>105</v>
      </c>
      <c r="G278" s="21">
        <v>9.664371471E9</v>
      </c>
    </row>
    <row r="279" ht="22.5" customHeight="1">
      <c r="A279" s="22" t="s">
        <v>2845</v>
      </c>
      <c r="B279" s="23" t="s">
        <v>4961</v>
      </c>
      <c r="C279" s="24" t="s">
        <v>2847</v>
      </c>
      <c r="D279" s="23" t="s">
        <v>4964</v>
      </c>
      <c r="E279" s="23" t="s">
        <v>265</v>
      </c>
      <c r="F279" s="23" t="s">
        <v>105</v>
      </c>
      <c r="G279" s="25">
        <v>8.582922697E9</v>
      </c>
    </row>
    <row r="280" ht="22.5" customHeight="1">
      <c r="A280" s="18" t="s">
        <v>972</v>
      </c>
      <c r="B280" s="19" t="s">
        <v>4991</v>
      </c>
      <c r="C280" s="20" t="s">
        <v>973</v>
      </c>
      <c r="D280" s="19" t="s">
        <v>4999</v>
      </c>
      <c r="E280" s="19" t="s">
        <v>140</v>
      </c>
      <c r="F280" s="19" t="s">
        <v>105</v>
      </c>
      <c r="G280" s="21">
        <v>7.65789855E9</v>
      </c>
    </row>
    <row r="281" ht="22.5" customHeight="1">
      <c r="A281" s="22" t="s">
        <v>5005</v>
      </c>
      <c r="B281" s="23" t="s">
        <v>5010</v>
      </c>
      <c r="C281" s="24" t="s">
        <v>5012</v>
      </c>
      <c r="D281" s="23" t="s">
        <v>5016</v>
      </c>
      <c r="E281" s="23" t="s">
        <v>559</v>
      </c>
      <c r="F281" s="23" t="s">
        <v>105</v>
      </c>
      <c r="G281" s="25">
        <v>8.168513847E9</v>
      </c>
    </row>
    <row r="282" ht="22.5" customHeight="1">
      <c r="A282" s="18" t="s">
        <v>2925</v>
      </c>
      <c r="B282" s="19" t="s">
        <v>5031</v>
      </c>
      <c r="C282" s="20" t="s">
        <v>2926</v>
      </c>
      <c r="D282" s="19" t="s">
        <v>5037</v>
      </c>
      <c r="E282" s="19" t="s">
        <v>604</v>
      </c>
      <c r="F282" s="19" t="s">
        <v>105</v>
      </c>
      <c r="G282" s="21">
        <v>9.840635208E9</v>
      </c>
    </row>
    <row r="283" ht="22.5" customHeight="1">
      <c r="A283" s="22" t="s">
        <v>2404</v>
      </c>
      <c r="B283" s="23" t="s">
        <v>5050</v>
      </c>
      <c r="C283" s="24" t="s">
        <v>2405</v>
      </c>
      <c r="D283" s="23" t="s">
        <v>5056</v>
      </c>
      <c r="E283" s="23" t="s">
        <v>1873</v>
      </c>
      <c r="F283" s="23" t="s">
        <v>105</v>
      </c>
      <c r="G283" s="25">
        <v>9.91566198E9</v>
      </c>
    </row>
    <row r="284" ht="22.5" customHeight="1">
      <c r="A284" s="18" t="s">
        <v>2448</v>
      </c>
      <c r="B284" s="19" t="s">
        <v>5072</v>
      </c>
      <c r="C284" s="20" t="s">
        <v>2449</v>
      </c>
      <c r="D284" s="19" t="s">
        <v>5078</v>
      </c>
      <c r="E284" s="19" t="s">
        <v>63</v>
      </c>
      <c r="F284" s="19" t="s">
        <v>105</v>
      </c>
      <c r="G284" s="29"/>
    </row>
    <row r="285" ht="22.5" customHeight="1">
      <c r="A285" s="22" t="s">
        <v>5087</v>
      </c>
      <c r="B285" s="23" t="s">
        <v>5092</v>
      </c>
      <c r="C285" s="24" t="s">
        <v>5093</v>
      </c>
      <c r="D285" s="23" t="s">
        <v>5098</v>
      </c>
      <c r="E285" s="23" t="s">
        <v>106</v>
      </c>
      <c r="F285" s="23" t="s">
        <v>105</v>
      </c>
      <c r="G285" s="25">
        <v>8.750620905E9</v>
      </c>
    </row>
    <row r="286" ht="22.5" customHeight="1">
      <c r="A286" s="18" t="s">
        <v>5105</v>
      </c>
      <c r="B286" s="19" t="s">
        <v>5110</v>
      </c>
      <c r="C286" s="20" t="s">
        <v>5112</v>
      </c>
      <c r="D286" s="19" t="s">
        <v>5115</v>
      </c>
      <c r="E286" s="19" t="s">
        <v>1303</v>
      </c>
      <c r="F286" s="19" t="s">
        <v>105</v>
      </c>
      <c r="G286" s="21">
        <v>8.699924179E9</v>
      </c>
    </row>
    <row r="287" ht="22.5" customHeight="1">
      <c r="A287" s="22" t="s">
        <v>142</v>
      </c>
      <c r="B287" s="23" t="s">
        <v>139</v>
      </c>
      <c r="C287" s="24" t="s">
        <v>143</v>
      </c>
      <c r="D287" s="23" t="s">
        <v>5124</v>
      </c>
      <c r="E287" s="23" t="s">
        <v>81</v>
      </c>
      <c r="F287" s="23" t="s">
        <v>105</v>
      </c>
      <c r="G287" s="57"/>
    </row>
    <row r="288" ht="22.5" customHeight="1">
      <c r="A288" s="18" t="s">
        <v>2599</v>
      </c>
      <c r="B288" s="19" t="s">
        <v>5132</v>
      </c>
      <c r="C288" s="20" t="s">
        <v>2600</v>
      </c>
      <c r="D288" s="19" t="s">
        <v>5134</v>
      </c>
      <c r="E288" s="19" t="s">
        <v>204</v>
      </c>
      <c r="F288" s="19" t="s">
        <v>105</v>
      </c>
      <c r="G288" s="21">
        <v>9.459816945E9</v>
      </c>
    </row>
    <row r="289" ht="22.5" customHeight="1">
      <c r="A289" s="22" t="s">
        <v>2871</v>
      </c>
      <c r="B289" s="23" t="s">
        <v>5140</v>
      </c>
      <c r="C289" s="24" t="s">
        <v>2872</v>
      </c>
      <c r="D289" s="23" t="s">
        <v>5143</v>
      </c>
      <c r="E289" s="23" t="s">
        <v>604</v>
      </c>
      <c r="F289" s="23" t="s">
        <v>105</v>
      </c>
      <c r="G289" s="25">
        <v>9.417610874E9</v>
      </c>
    </row>
    <row r="290" ht="22.5" customHeight="1">
      <c r="A290" s="18" t="s">
        <v>5150</v>
      </c>
      <c r="B290" s="19" t="s">
        <v>5151</v>
      </c>
      <c r="C290" s="20" t="s">
        <v>5154</v>
      </c>
      <c r="D290" s="19" t="s">
        <v>5155</v>
      </c>
      <c r="E290" s="19" t="s">
        <v>255</v>
      </c>
      <c r="F290" s="19" t="s">
        <v>105</v>
      </c>
      <c r="G290" s="21">
        <v>8.851003774E9</v>
      </c>
    </row>
    <row r="291" ht="22.5" customHeight="1">
      <c r="A291" s="22" t="s">
        <v>5163</v>
      </c>
      <c r="B291" s="23" t="s">
        <v>5164</v>
      </c>
      <c r="C291" s="24" t="s">
        <v>1525</v>
      </c>
      <c r="D291" s="23" t="s">
        <v>5167</v>
      </c>
      <c r="E291" s="23" t="s">
        <v>75</v>
      </c>
      <c r="F291" s="23" t="s">
        <v>105</v>
      </c>
      <c r="G291" s="25">
        <v>9.810528451E9</v>
      </c>
    </row>
    <row r="292" ht="22.5" customHeight="1">
      <c r="A292" s="18" t="s">
        <v>5174</v>
      </c>
      <c r="B292" s="19" t="s">
        <v>5175</v>
      </c>
      <c r="C292" s="20" t="s">
        <v>5178</v>
      </c>
      <c r="D292" s="19" t="s">
        <v>5179</v>
      </c>
      <c r="E292" s="19" t="s">
        <v>523</v>
      </c>
      <c r="F292" s="19" t="s">
        <v>105</v>
      </c>
      <c r="G292" s="21">
        <v>9.172926736E9</v>
      </c>
    </row>
    <row r="293" ht="22.5" customHeight="1">
      <c r="A293" s="22" t="s">
        <v>5186</v>
      </c>
      <c r="B293" s="23" t="s">
        <v>5187</v>
      </c>
      <c r="C293" s="24" t="s">
        <v>5189</v>
      </c>
      <c r="D293" s="23" t="s">
        <v>5190</v>
      </c>
      <c r="E293" s="23" t="s">
        <v>5193</v>
      </c>
      <c r="F293" s="23" t="s">
        <v>105</v>
      </c>
      <c r="G293" s="25">
        <v>8.629863229E9</v>
      </c>
    </row>
    <row r="294" ht="22.5" customHeight="1">
      <c r="A294" s="18" t="s">
        <v>713</v>
      </c>
      <c r="B294" s="19" t="s">
        <v>5198</v>
      </c>
      <c r="C294" s="20" t="s">
        <v>714</v>
      </c>
      <c r="D294" s="19" t="s">
        <v>713</v>
      </c>
      <c r="E294" s="19" t="s">
        <v>231</v>
      </c>
      <c r="F294" s="19" t="s">
        <v>105</v>
      </c>
      <c r="G294" s="21">
        <v>7.018305423E9</v>
      </c>
    </row>
    <row r="295" ht="22.5" customHeight="1">
      <c r="A295" s="22" t="s">
        <v>5207</v>
      </c>
      <c r="B295" s="23" t="s">
        <v>5208</v>
      </c>
      <c r="C295" s="24" t="s">
        <v>5211</v>
      </c>
      <c r="D295" s="23" t="s">
        <v>5212</v>
      </c>
      <c r="E295" s="23" t="s">
        <v>303</v>
      </c>
      <c r="F295" s="23" t="s">
        <v>105</v>
      </c>
      <c r="G295" s="25">
        <v>8.264114664E9</v>
      </c>
    </row>
    <row r="296" ht="22.5" customHeight="1">
      <c r="A296" s="18" t="s">
        <v>5218</v>
      </c>
      <c r="B296" s="19" t="s">
        <v>5219</v>
      </c>
      <c r="C296" s="20" t="s">
        <v>5222</v>
      </c>
      <c r="D296" s="19" t="s">
        <v>5223</v>
      </c>
      <c r="E296" s="19" t="s">
        <v>231</v>
      </c>
      <c r="F296" s="19" t="s">
        <v>105</v>
      </c>
      <c r="G296" s="21">
        <v>9.54098778E9</v>
      </c>
    </row>
    <row r="297" ht="22.5" customHeight="1">
      <c r="A297" s="22" t="s">
        <v>5229</v>
      </c>
      <c r="B297" s="23" t="s">
        <v>5231</v>
      </c>
      <c r="C297" s="24" t="s">
        <v>5234</v>
      </c>
      <c r="D297" s="23" t="s">
        <v>5235</v>
      </c>
      <c r="E297" s="23" t="s">
        <v>2970</v>
      </c>
      <c r="F297" s="23" t="s">
        <v>105</v>
      </c>
      <c r="G297" s="25">
        <v>9.872443869E9</v>
      </c>
    </row>
    <row r="298" ht="22.5" customHeight="1">
      <c r="A298" s="18" t="s">
        <v>733</v>
      </c>
      <c r="B298" s="19" t="s">
        <v>730</v>
      </c>
      <c r="C298" s="20" t="s">
        <v>734</v>
      </c>
      <c r="D298" s="19" t="s">
        <v>5246</v>
      </c>
      <c r="E298" s="19" t="s">
        <v>81</v>
      </c>
      <c r="F298" s="19" t="s">
        <v>105</v>
      </c>
      <c r="G298" s="21">
        <v>9.696946667E9</v>
      </c>
    </row>
    <row r="299" ht="22.5" customHeight="1">
      <c r="A299" s="22" t="s">
        <v>4852</v>
      </c>
      <c r="B299" s="23" t="s">
        <v>4850</v>
      </c>
      <c r="C299" s="24" t="s">
        <v>4853</v>
      </c>
      <c r="D299" s="23" t="s">
        <v>5255</v>
      </c>
      <c r="E299" s="23" t="s">
        <v>889</v>
      </c>
      <c r="F299" s="23" t="s">
        <v>105</v>
      </c>
      <c r="G299" s="25">
        <v>9.839046415E9</v>
      </c>
    </row>
    <row r="300" ht="22.5" customHeight="1">
      <c r="A300" s="18" t="s">
        <v>5260</v>
      </c>
      <c r="B300" s="19" t="s">
        <v>5263</v>
      </c>
      <c r="C300" s="20" t="s">
        <v>5265</v>
      </c>
      <c r="D300" s="19" t="s">
        <v>5267</v>
      </c>
      <c r="E300" s="19" t="s">
        <v>287</v>
      </c>
      <c r="F300" s="19" t="s">
        <v>105</v>
      </c>
      <c r="G300" s="21">
        <v>9.501847087E9</v>
      </c>
    </row>
    <row r="301" ht="22.5" customHeight="1">
      <c r="A301" s="22" t="s">
        <v>5169</v>
      </c>
      <c r="B301" s="23" t="s">
        <v>5273</v>
      </c>
      <c r="C301" s="24" t="s">
        <v>2351</v>
      </c>
      <c r="D301" s="23" t="s">
        <v>5276</v>
      </c>
      <c r="E301" s="23" t="s">
        <v>184</v>
      </c>
      <c r="F301" s="23" t="s">
        <v>105</v>
      </c>
      <c r="G301" s="25">
        <v>7.901782044E9</v>
      </c>
    </row>
    <row r="302" ht="22.5" customHeight="1">
      <c r="A302" s="18" t="s">
        <v>5283</v>
      </c>
      <c r="B302" s="19" t="s">
        <v>5284</v>
      </c>
      <c r="C302" s="20" t="s">
        <v>5287</v>
      </c>
      <c r="D302" s="19" t="s">
        <v>5288</v>
      </c>
      <c r="E302" s="19" t="s">
        <v>1607</v>
      </c>
      <c r="F302" s="19" t="s">
        <v>105</v>
      </c>
      <c r="G302" s="21">
        <v>9.8113678E9</v>
      </c>
    </row>
    <row r="303" ht="22.5" customHeight="1">
      <c r="A303" s="22" t="s">
        <v>5294</v>
      </c>
      <c r="B303" s="23" t="s">
        <v>5284</v>
      </c>
      <c r="C303" s="24" t="s">
        <v>5297</v>
      </c>
      <c r="D303" s="23" t="s">
        <v>5299</v>
      </c>
      <c r="E303" s="23" t="s">
        <v>2970</v>
      </c>
      <c r="F303" s="23" t="s">
        <v>105</v>
      </c>
      <c r="G303" s="25">
        <v>9.463745001E9</v>
      </c>
    </row>
    <row r="304" ht="22.5" customHeight="1">
      <c r="A304" s="18" t="s">
        <v>4108</v>
      </c>
      <c r="B304" s="19" t="s">
        <v>5307</v>
      </c>
      <c r="C304" s="20" t="s">
        <v>4109</v>
      </c>
      <c r="D304" s="19" t="s">
        <v>5310</v>
      </c>
      <c r="E304" s="19" t="s">
        <v>365</v>
      </c>
      <c r="F304" s="19" t="s">
        <v>105</v>
      </c>
      <c r="G304" s="21">
        <v>9.877736835E9</v>
      </c>
    </row>
    <row r="305" ht="22.5" customHeight="1">
      <c r="A305" s="22" t="s">
        <v>5275</v>
      </c>
      <c r="B305" s="23" t="s">
        <v>5321</v>
      </c>
      <c r="C305" s="24" t="s">
        <v>2595</v>
      </c>
      <c r="D305" s="23" t="s">
        <v>5275</v>
      </c>
      <c r="E305" s="23" t="s">
        <v>1071</v>
      </c>
      <c r="F305" s="23" t="s">
        <v>105</v>
      </c>
      <c r="G305" s="25">
        <v>9.368312122E9</v>
      </c>
    </row>
    <row r="306" ht="22.5" customHeight="1">
      <c r="A306" s="18" t="s">
        <v>4022</v>
      </c>
      <c r="B306" s="19" t="s">
        <v>5330</v>
      </c>
      <c r="C306" s="20" t="s">
        <v>4023</v>
      </c>
      <c r="D306" s="19" t="s">
        <v>5335</v>
      </c>
      <c r="E306" s="19" t="s">
        <v>314</v>
      </c>
      <c r="F306" s="19" t="s">
        <v>105</v>
      </c>
      <c r="G306" s="21">
        <v>9.915728448E9</v>
      </c>
    </row>
    <row r="307" ht="22.5" customHeight="1">
      <c r="A307" s="22" t="s">
        <v>5340</v>
      </c>
      <c r="B307" s="23" t="s">
        <v>5343</v>
      </c>
      <c r="C307" s="24" t="s">
        <v>2792</v>
      </c>
      <c r="D307" s="23" t="s">
        <v>5346</v>
      </c>
      <c r="E307" s="23" t="s">
        <v>1379</v>
      </c>
      <c r="F307" s="23" t="s">
        <v>105</v>
      </c>
      <c r="G307" s="25">
        <v>9.216200395E9</v>
      </c>
    </row>
    <row r="308" ht="22.5" customHeight="1">
      <c r="A308" s="18" t="s">
        <v>5351</v>
      </c>
      <c r="B308" s="19" t="s">
        <v>5354</v>
      </c>
      <c r="C308" s="20" t="s">
        <v>5355</v>
      </c>
      <c r="D308" s="19" t="s">
        <v>5358</v>
      </c>
      <c r="E308" s="19" t="s">
        <v>57</v>
      </c>
      <c r="F308" s="19" t="s">
        <v>105</v>
      </c>
      <c r="G308" s="21">
        <v>7.658020344E9</v>
      </c>
    </row>
    <row r="309" ht="22.5" customHeight="1">
      <c r="A309" s="22" t="s">
        <v>1707</v>
      </c>
      <c r="B309" s="23" t="s">
        <v>5363</v>
      </c>
      <c r="C309" s="24" t="s">
        <v>1708</v>
      </c>
      <c r="D309" s="23" t="s">
        <v>5366</v>
      </c>
      <c r="E309" s="23" t="s">
        <v>1653</v>
      </c>
      <c r="F309" s="23" t="s">
        <v>105</v>
      </c>
      <c r="G309" s="25">
        <v>6.280524473E9</v>
      </c>
    </row>
    <row r="310" ht="22.5" customHeight="1">
      <c r="A310" s="18" t="s">
        <v>1350</v>
      </c>
      <c r="B310" s="19" t="s">
        <v>5373</v>
      </c>
      <c r="C310" s="20" t="s">
        <v>1351</v>
      </c>
      <c r="D310" s="19" t="s">
        <v>5377</v>
      </c>
      <c r="E310" s="19" t="s">
        <v>1873</v>
      </c>
      <c r="F310" s="19" t="s">
        <v>105</v>
      </c>
      <c r="G310" s="21">
        <v>9.814150043E9</v>
      </c>
    </row>
    <row r="311" ht="22.5" customHeight="1">
      <c r="A311" s="22" t="s">
        <v>5383</v>
      </c>
      <c r="B311" s="23" t="s">
        <v>5385</v>
      </c>
      <c r="C311" s="24" t="s">
        <v>5386</v>
      </c>
      <c r="D311" s="23" t="s">
        <v>5389</v>
      </c>
      <c r="E311" s="23" t="s">
        <v>287</v>
      </c>
      <c r="F311" s="23" t="s">
        <v>105</v>
      </c>
      <c r="G311" s="25">
        <v>8.146614493E9</v>
      </c>
    </row>
    <row r="312" ht="22.5" customHeight="1">
      <c r="A312" s="18" t="s">
        <v>3266</v>
      </c>
      <c r="B312" s="19" t="s">
        <v>5396</v>
      </c>
      <c r="C312" s="20" t="s">
        <v>3267</v>
      </c>
      <c r="D312" s="19" t="s">
        <v>5399</v>
      </c>
      <c r="E312" s="19" t="s">
        <v>524</v>
      </c>
      <c r="F312" s="19" t="s">
        <v>105</v>
      </c>
      <c r="G312" s="21">
        <v>9.815613024E9</v>
      </c>
    </row>
    <row r="313" ht="22.5" customHeight="1">
      <c r="A313" s="22" t="s">
        <v>5404</v>
      </c>
      <c r="B313" s="23" t="s">
        <v>5405</v>
      </c>
      <c r="C313" s="24" t="s">
        <v>5407</v>
      </c>
      <c r="D313" s="23" t="s">
        <v>5409</v>
      </c>
      <c r="E313" s="23" t="s">
        <v>314</v>
      </c>
      <c r="F313" s="23" t="s">
        <v>105</v>
      </c>
      <c r="G313" s="25">
        <v>7.97343208E9</v>
      </c>
    </row>
    <row r="314" ht="22.5" customHeight="1">
      <c r="A314" s="18" t="s">
        <v>680</v>
      </c>
      <c r="B314" s="19" t="s">
        <v>678</v>
      </c>
      <c r="C314" s="20" t="s">
        <v>681</v>
      </c>
      <c r="D314" s="19" t="s">
        <v>5419</v>
      </c>
      <c r="E314" s="19" t="s">
        <v>106</v>
      </c>
      <c r="F314" s="19" t="s">
        <v>105</v>
      </c>
      <c r="G314" s="21">
        <v>9.736218835E9</v>
      </c>
    </row>
    <row r="315" ht="22.5" customHeight="1">
      <c r="A315" s="22" t="s">
        <v>4903</v>
      </c>
      <c r="B315" s="23" t="s">
        <v>5426</v>
      </c>
      <c r="C315" s="24" t="s">
        <v>4904</v>
      </c>
      <c r="D315" s="23" t="s">
        <v>5430</v>
      </c>
      <c r="E315" s="23" t="s">
        <v>889</v>
      </c>
      <c r="F315" s="23" t="s">
        <v>105</v>
      </c>
      <c r="G315" s="25">
        <v>9.318331501E9</v>
      </c>
    </row>
    <row r="316" ht="22.5" customHeight="1">
      <c r="A316" s="18" t="s">
        <v>5435</v>
      </c>
      <c r="B316" s="19" t="s">
        <v>5436</v>
      </c>
      <c r="C316" s="20" t="s">
        <v>2061</v>
      </c>
      <c r="D316" s="19" t="s">
        <v>5439</v>
      </c>
      <c r="E316" s="19" t="s">
        <v>17</v>
      </c>
      <c r="F316" s="19" t="s">
        <v>105</v>
      </c>
      <c r="G316" s="21">
        <v>9.914475353E9</v>
      </c>
    </row>
    <row r="317" ht="22.5" customHeight="1">
      <c r="A317" s="22" t="s">
        <v>3002</v>
      </c>
      <c r="B317" s="23" t="s">
        <v>5447</v>
      </c>
      <c r="C317" s="24" t="s">
        <v>3003</v>
      </c>
      <c r="D317" s="23" t="s">
        <v>5450</v>
      </c>
      <c r="E317" s="23" t="s">
        <v>22</v>
      </c>
      <c r="F317" s="23" t="s">
        <v>105</v>
      </c>
      <c r="G317" s="25">
        <v>7.087305761E9</v>
      </c>
    </row>
    <row r="318" ht="22.5" customHeight="1">
      <c r="A318" s="18" t="s">
        <v>5461</v>
      </c>
      <c r="B318" s="19" t="s">
        <v>5426</v>
      </c>
      <c r="C318" s="20" t="s">
        <v>5466</v>
      </c>
      <c r="D318" s="19" t="s">
        <v>5468</v>
      </c>
      <c r="E318" s="19" t="s">
        <v>1303</v>
      </c>
      <c r="F318" s="19" t="s">
        <v>105</v>
      </c>
      <c r="G318" s="21">
        <v>9.055022639E9</v>
      </c>
    </row>
    <row r="319" ht="22.5" customHeight="1">
      <c r="A319" s="22" t="s">
        <v>1046</v>
      </c>
      <c r="B319" s="23" t="s">
        <v>5481</v>
      </c>
      <c r="C319" s="24" t="s">
        <v>1047</v>
      </c>
      <c r="D319" s="23" t="s">
        <v>5486</v>
      </c>
      <c r="E319" s="23" t="s">
        <v>140</v>
      </c>
      <c r="F319" s="23" t="s">
        <v>105</v>
      </c>
      <c r="G319" s="25">
        <v>9.910172926E9</v>
      </c>
    </row>
    <row r="320" ht="22.5" customHeight="1">
      <c r="A320" s="18" t="s">
        <v>4863</v>
      </c>
      <c r="B320" s="19" t="s">
        <v>5499</v>
      </c>
      <c r="C320" s="20" t="s">
        <v>4864</v>
      </c>
      <c r="D320" s="19" t="s">
        <v>4863</v>
      </c>
      <c r="E320" s="19" t="s">
        <v>889</v>
      </c>
      <c r="F320" s="19" t="s">
        <v>105</v>
      </c>
      <c r="G320" s="21">
        <v>9.453021531E9</v>
      </c>
    </row>
    <row r="321" ht="22.5" customHeight="1">
      <c r="A321" s="22" t="s">
        <v>5516</v>
      </c>
      <c r="B321" s="23" t="s">
        <v>5518</v>
      </c>
      <c r="C321" s="24" t="s">
        <v>5523</v>
      </c>
      <c r="D321" s="23" t="s">
        <v>5525</v>
      </c>
      <c r="E321" s="23" t="s">
        <v>4200</v>
      </c>
      <c r="F321" s="23" t="s">
        <v>105</v>
      </c>
      <c r="G321" s="25">
        <v>8.264311137E9</v>
      </c>
    </row>
    <row r="322" ht="22.5" customHeight="1">
      <c r="A322" s="18" t="s">
        <v>3100</v>
      </c>
      <c r="B322" s="19" t="s">
        <v>5537</v>
      </c>
      <c r="C322" s="20" t="s">
        <v>3101</v>
      </c>
      <c r="D322" s="19" t="s">
        <v>5542</v>
      </c>
      <c r="E322" s="19" t="s">
        <v>22</v>
      </c>
      <c r="F322" s="19" t="s">
        <v>105</v>
      </c>
      <c r="G322" s="21">
        <v>9.115721613E9</v>
      </c>
    </row>
    <row r="323" ht="22.5" customHeight="1">
      <c r="A323" s="22" t="s">
        <v>3792</v>
      </c>
      <c r="B323" s="23" t="s">
        <v>5554</v>
      </c>
      <c r="C323" s="24" t="s">
        <v>3793</v>
      </c>
      <c r="D323" s="23" t="s">
        <v>5559</v>
      </c>
      <c r="E323" s="23" t="s">
        <v>221</v>
      </c>
      <c r="F323" s="23" t="s">
        <v>105</v>
      </c>
      <c r="G323" s="25">
        <v>8.054435468E9</v>
      </c>
    </row>
    <row r="324" ht="22.5" customHeight="1">
      <c r="A324" s="18" t="s">
        <v>5568</v>
      </c>
      <c r="B324" s="19" t="s">
        <v>5569</v>
      </c>
      <c r="C324" s="20" t="s">
        <v>5571</v>
      </c>
      <c r="D324" s="19" t="s">
        <v>5572</v>
      </c>
      <c r="E324" s="19" t="s">
        <v>1243</v>
      </c>
      <c r="F324" s="19" t="s">
        <v>105</v>
      </c>
      <c r="G324" s="21">
        <v>6.239719788E9</v>
      </c>
    </row>
    <row r="325" ht="22.5" customHeight="1">
      <c r="A325" s="22" t="s">
        <v>5121</v>
      </c>
      <c r="B325" s="23" t="s">
        <v>5584</v>
      </c>
      <c r="C325" s="24" t="s">
        <v>2232</v>
      </c>
      <c r="D325" s="23" t="s">
        <v>5589</v>
      </c>
      <c r="E325" s="23" t="s">
        <v>219</v>
      </c>
      <c r="F325" s="23" t="s">
        <v>105</v>
      </c>
      <c r="G325" s="25">
        <v>9.87607597E9</v>
      </c>
    </row>
    <row r="326" ht="22.5" customHeight="1">
      <c r="A326" s="18" t="s">
        <v>1584</v>
      </c>
      <c r="B326" s="19" t="s">
        <v>5600</v>
      </c>
      <c r="C326" s="20" t="s">
        <v>1585</v>
      </c>
      <c r="D326" s="19" t="s">
        <v>5605</v>
      </c>
      <c r="E326" s="19" t="s">
        <v>75</v>
      </c>
      <c r="F326" s="19" t="s">
        <v>105</v>
      </c>
      <c r="G326" s="21">
        <v>8.595518879E9</v>
      </c>
    </row>
    <row r="327" ht="22.5" customHeight="1">
      <c r="A327" s="22" t="s">
        <v>5611</v>
      </c>
      <c r="B327" s="23" t="s">
        <v>5616</v>
      </c>
      <c r="C327" s="24" t="s">
        <v>5619</v>
      </c>
      <c r="D327" s="23" t="s">
        <v>5622</v>
      </c>
      <c r="E327" s="23" t="s">
        <v>42</v>
      </c>
      <c r="F327" s="23" t="s">
        <v>105</v>
      </c>
      <c r="G327" s="25">
        <v>9.5019835E9</v>
      </c>
    </row>
    <row r="328" ht="22.5" customHeight="1">
      <c r="A328" s="18" t="s">
        <v>5114</v>
      </c>
      <c r="B328" s="19" t="s">
        <v>5636</v>
      </c>
      <c r="C328" s="20" t="s">
        <v>2199</v>
      </c>
      <c r="D328" s="19" t="s">
        <v>5641</v>
      </c>
      <c r="E328" s="19" t="s">
        <v>219</v>
      </c>
      <c r="F328" s="19" t="s">
        <v>105</v>
      </c>
      <c r="G328" s="21">
        <v>7.042106267E9</v>
      </c>
    </row>
    <row r="329" ht="22.5" customHeight="1">
      <c r="A329" s="22" t="s">
        <v>5648</v>
      </c>
      <c r="B329" s="23" t="s">
        <v>5652</v>
      </c>
      <c r="C329" s="24" t="s">
        <v>5654</v>
      </c>
      <c r="D329" s="23" t="s">
        <v>5648</v>
      </c>
      <c r="E329" s="23" t="s">
        <v>42</v>
      </c>
      <c r="F329" s="23" t="s">
        <v>105</v>
      </c>
      <c r="G329" s="25">
        <v>9.773648711E9</v>
      </c>
    </row>
    <row r="330" ht="22.5" customHeight="1">
      <c r="A330" s="18" t="s">
        <v>5664</v>
      </c>
      <c r="B330" s="19" t="s">
        <v>5584</v>
      </c>
      <c r="C330" s="20" t="s">
        <v>5669</v>
      </c>
      <c r="D330" s="19" t="s">
        <v>5674</v>
      </c>
      <c r="E330" s="19" t="s">
        <v>123</v>
      </c>
      <c r="F330" s="19" t="s">
        <v>105</v>
      </c>
      <c r="G330" s="21">
        <v>7.009001945E9</v>
      </c>
    </row>
    <row r="331" ht="22.5" customHeight="1">
      <c r="A331" s="22" t="s">
        <v>20</v>
      </c>
      <c r="B331" s="23" t="s">
        <v>18</v>
      </c>
      <c r="C331" s="24" t="s">
        <v>21</v>
      </c>
      <c r="D331" s="23" t="s">
        <v>5696</v>
      </c>
      <c r="E331" s="23" t="s">
        <v>22</v>
      </c>
      <c r="F331" s="23" t="s">
        <v>105</v>
      </c>
      <c r="G331" s="25">
        <v>8.847391776E9</v>
      </c>
    </row>
    <row r="332" ht="22.5" customHeight="1">
      <c r="A332" s="18" t="s">
        <v>2976</v>
      </c>
      <c r="B332" s="19" t="s">
        <v>5712</v>
      </c>
      <c r="C332" s="20" t="s">
        <v>2977</v>
      </c>
      <c r="D332" s="19" t="s">
        <v>5718</v>
      </c>
      <c r="E332" s="19" t="s">
        <v>604</v>
      </c>
      <c r="F332" s="19" t="s">
        <v>105</v>
      </c>
      <c r="G332" s="29"/>
    </row>
    <row r="333" ht="22.5" customHeight="1">
      <c r="A333" s="22" t="s">
        <v>2762</v>
      </c>
      <c r="B333" s="23" t="s">
        <v>5731</v>
      </c>
      <c r="C333" s="24" t="s">
        <v>2763</v>
      </c>
      <c r="D333" s="23" t="s">
        <v>5739</v>
      </c>
      <c r="E333" s="23" t="s">
        <v>265</v>
      </c>
      <c r="F333" s="23" t="s">
        <v>105</v>
      </c>
      <c r="G333" s="25">
        <v>8.847259793E9</v>
      </c>
    </row>
    <row r="334" ht="22.5" customHeight="1">
      <c r="A334" s="18" t="s">
        <v>5749</v>
      </c>
      <c r="B334" s="19" t="s">
        <v>5750</v>
      </c>
      <c r="C334" s="20" t="s">
        <v>5755</v>
      </c>
      <c r="D334" s="19" t="s">
        <v>5758</v>
      </c>
      <c r="E334" s="19" t="s">
        <v>1946</v>
      </c>
      <c r="F334" s="19" t="s">
        <v>105</v>
      </c>
      <c r="G334" s="21">
        <v>7.889239775E9</v>
      </c>
    </row>
    <row r="335" ht="22.5" customHeight="1">
      <c r="A335" s="22" t="s">
        <v>5770</v>
      </c>
      <c r="B335" s="23" t="s">
        <v>5774</v>
      </c>
      <c r="C335" s="24" t="s">
        <v>5776</v>
      </c>
      <c r="D335" s="23" t="s">
        <v>5778</v>
      </c>
      <c r="E335" s="23" t="s">
        <v>1946</v>
      </c>
      <c r="F335" s="23" t="s">
        <v>105</v>
      </c>
      <c r="G335" s="25">
        <v>6.280346922E9</v>
      </c>
    </row>
    <row r="336" ht="22.5" customHeight="1">
      <c r="A336" s="18" t="s">
        <v>801</v>
      </c>
      <c r="B336" s="19" t="s">
        <v>5750</v>
      </c>
      <c r="C336" s="20" t="s">
        <v>804</v>
      </c>
      <c r="D336" s="19" t="s">
        <v>5795</v>
      </c>
      <c r="E336" s="19" t="s">
        <v>52</v>
      </c>
      <c r="F336" s="19" t="s">
        <v>105</v>
      </c>
      <c r="G336" s="21">
        <v>9.914721451E9</v>
      </c>
    </row>
    <row r="337" ht="22.5" customHeight="1">
      <c r="A337" s="22" t="s">
        <v>3406</v>
      </c>
      <c r="B337" s="23" t="s">
        <v>5808</v>
      </c>
      <c r="C337" s="24" t="s">
        <v>3408</v>
      </c>
      <c r="D337" s="23" t="s">
        <v>5813</v>
      </c>
      <c r="E337" s="23" t="s">
        <v>37</v>
      </c>
      <c r="F337" s="23" t="s">
        <v>105</v>
      </c>
      <c r="G337" s="25">
        <v>7.814676741E9</v>
      </c>
    </row>
    <row r="338" ht="22.5" customHeight="1">
      <c r="A338" s="18" t="s">
        <v>858</v>
      </c>
      <c r="B338" s="19" t="s">
        <v>5826</v>
      </c>
      <c r="C338" s="20" t="s">
        <v>859</v>
      </c>
      <c r="D338" s="19" t="s">
        <v>5834</v>
      </c>
      <c r="E338" s="19" t="s">
        <v>52</v>
      </c>
      <c r="F338" s="19" t="s">
        <v>105</v>
      </c>
      <c r="G338" s="21">
        <v>8.360734342E9</v>
      </c>
    </row>
    <row r="339" ht="22.5" customHeight="1">
      <c r="A339" s="22" t="s">
        <v>211</v>
      </c>
      <c r="B339" s="23" t="s">
        <v>209</v>
      </c>
      <c r="C339" s="24" t="s">
        <v>212</v>
      </c>
      <c r="D339" s="23" t="s">
        <v>5852</v>
      </c>
      <c r="E339" s="23" t="s">
        <v>37</v>
      </c>
      <c r="F339" s="23" t="s">
        <v>105</v>
      </c>
      <c r="G339" s="25">
        <v>6.239319621E9</v>
      </c>
    </row>
    <row r="340" ht="22.5" customHeight="1">
      <c r="A340" s="18" t="s">
        <v>3163</v>
      </c>
      <c r="B340" s="19" t="s">
        <v>5862</v>
      </c>
      <c r="C340" s="20" t="s">
        <v>3164</v>
      </c>
      <c r="D340" s="19" t="s">
        <v>5868</v>
      </c>
      <c r="E340" s="19" t="s">
        <v>30</v>
      </c>
      <c r="F340" s="19" t="s">
        <v>105</v>
      </c>
      <c r="G340" s="21">
        <v>7.009189308E9</v>
      </c>
    </row>
    <row r="341" ht="22.5" customHeight="1">
      <c r="A341" s="22" t="s">
        <v>5878</v>
      </c>
      <c r="B341" s="23" t="s">
        <v>5880</v>
      </c>
      <c r="C341" s="24" t="s">
        <v>5883</v>
      </c>
      <c r="D341" s="23" t="s">
        <v>5886</v>
      </c>
      <c r="E341" s="23" t="s">
        <v>1326</v>
      </c>
      <c r="F341" s="23" t="s">
        <v>105</v>
      </c>
      <c r="G341" s="25">
        <v>8.87297425E9</v>
      </c>
    </row>
    <row r="342" ht="22.5" customHeight="1">
      <c r="A342" s="18" t="s">
        <v>3595</v>
      </c>
      <c r="B342" s="19" t="s">
        <v>5900</v>
      </c>
      <c r="C342" s="20" t="s">
        <v>3596</v>
      </c>
      <c r="D342" s="19" t="s">
        <v>5908</v>
      </c>
      <c r="E342" s="19" t="s">
        <v>543</v>
      </c>
      <c r="F342" s="19" t="s">
        <v>105</v>
      </c>
      <c r="G342" s="21">
        <v>7.250918215E9</v>
      </c>
    </row>
    <row r="343" ht="22.5" customHeight="1">
      <c r="A343" s="22" t="s">
        <v>4175</v>
      </c>
      <c r="B343" s="23" t="s">
        <v>5921</v>
      </c>
      <c r="C343" s="24" t="s">
        <v>4176</v>
      </c>
      <c r="D343" s="23" t="s">
        <v>5926</v>
      </c>
      <c r="E343" s="23" t="s">
        <v>365</v>
      </c>
      <c r="F343" s="23" t="s">
        <v>105</v>
      </c>
      <c r="G343" s="25">
        <v>7.21764992E9</v>
      </c>
    </row>
    <row r="344" ht="22.5" customHeight="1">
      <c r="A344" s="18" t="s">
        <v>5937</v>
      </c>
      <c r="B344" s="19" t="s">
        <v>5939</v>
      </c>
      <c r="C344" s="20" t="s">
        <v>5944</v>
      </c>
      <c r="D344" s="19" t="s">
        <v>5947</v>
      </c>
      <c r="E344" s="19" t="s">
        <v>1326</v>
      </c>
      <c r="F344" s="19" t="s">
        <v>105</v>
      </c>
      <c r="G344" s="21">
        <v>7.71954027E9</v>
      </c>
    </row>
    <row r="345" ht="22.5" customHeight="1">
      <c r="A345" s="22" t="s">
        <v>2724</v>
      </c>
      <c r="B345" s="23" t="s">
        <v>5958</v>
      </c>
      <c r="C345" s="24" t="s">
        <v>2725</v>
      </c>
      <c r="D345" s="23" t="s">
        <v>5967</v>
      </c>
      <c r="E345" s="23" t="s">
        <v>204</v>
      </c>
      <c r="F345" s="23" t="s">
        <v>105</v>
      </c>
      <c r="G345" s="25">
        <v>9.041272809E9</v>
      </c>
    </row>
    <row r="346" ht="22.5" customHeight="1">
      <c r="A346" s="18" t="s">
        <v>1159</v>
      </c>
      <c r="B346" s="19" t="s">
        <v>5979</v>
      </c>
      <c r="C346" s="20" t="s">
        <v>1161</v>
      </c>
      <c r="D346" s="19" t="s">
        <v>5987</v>
      </c>
      <c r="E346" s="19" t="s">
        <v>1149</v>
      </c>
      <c r="F346" s="19" t="s">
        <v>105</v>
      </c>
      <c r="G346" s="21">
        <v>9.897804917E9</v>
      </c>
    </row>
    <row r="347" ht="22.5" customHeight="1">
      <c r="A347" s="22" t="s">
        <v>5998</v>
      </c>
      <c r="B347" s="23" t="s">
        <v>6000</v>
      </c>
      <c r="C347" s="24" t="s">
        <v>6005</v>
      </c>
      <c r="D347" s="23" t="s">
        <v>6006</v>
      </c>
      <c r="E347" s="23" t="s">
        <v>4885</v>
      </c>
      <c r="F347" s="23" t="s">
        <v>105</v>
      </c>
      <c r="G347" s="25">
        <v>7.380836607E9</v>
      </c>
    </row>
    <row r="348" ht="22.5" customHeight="1">
      <c r="A348" s="18" t="s">
        <v>5759</v>
      </c>
      <c r="B348" s="19" t="s">
        <v>6019</v>
      </c>
      <c r="C348" s="20" t="s">
        <v>5760</v>
      </c>
      <c r="D348" s="19" t="s">
        <v>6024</v>
      </c>
      <c r="E348" s="19" t="s">
        <v>42</v>
      </c>
      <c r="F348" s="19" t="s">
        <v>105</v>
      </c>
      <c r="G348" s="21">
        <v>9.311208436E9</v>
      </c>
    </row>
    <row r="349" ht="22.5" customHeight="1">
      <c r="A349" s="22" t="s">
        <v>4682</v>
      </c>
      <c r="B349" s="23" t="s">
        <v>6037</v>
      </c>
      <c r="C349" s="24" t="s">
        <v>4683</v>
      </c>
      <c r="D349" s="23" t="s">
        <v>6042</v>
      </c>
      <c r="E349" s="23" t="s">
        <v>1622</v>
      </c>
      <c r="F349" s="23" t="s">
        <v>105</v>
      </c>
      <c r="G349" s="25">
        <v>8.708027774E9</v>
      </c>
    </row>
    <row r="350" ht="22.5" customHeight="1">
      <c r="A350" s="18" t="s">
        <v>446</v>
      </c>
      <c r="B350" s="19" t="s">
        <v>6053</v>
      </c>
      <c r="C350" s="20" t="s">
        <v>448</v>
      </c>
      <c r="D350" s="19" t="s">
        <v>6059</v>
      </c>
      <c r="E350" s="19" t="s">
        <v>57</v>
      </c>
      <c r="F350" s="19" t="s">
        <v>105</v>
      </c>
      <c r="G350" s="21">
        <v>9.312399089E9</v>
      </c>
    </row>
    <row r="351" ht="22.5" customHeight="1">
      <c r="A351" s="22" t="s">
        <v>103</v>
      </c>
      <c r="B351" s="23" t="s">
        <v>101</v>
      </c>
      <c r="C351" s="24" t="s">
        <v>104</v>
      </c>
      <c r="D351" s="23" t="s">
        <v>6079</v>
      </c>
      <c r="E351" s="23" t="s">
        <v>106</v>
      </c>
      <c r="F351" s="23" t="s">
        <v>105</v>
      </c>
      <c r="G351" s="25">
        <v>7.018516852E9</v>
      </c>
    </row>
    <row r="352" ht="22.5" customHeight="1">
      <c r="A352" s="18" t="s">
        <v>3867</v>
      </c>
      <c r="B352" s="19" t="s">
        <v>6092</v>
      </c>
      <c r="C352" s="20" t="s">
        <v>3868</v>
      </c>
      <c r="D352" s="19" t="s">
        <v>6098</v>
      </c>
      <c r="E352" s="19" t="s">
        <v>282</v>
      </c>
      <c r="F352" s="19" t="s">
        <v>105</v>
      </c>
      <c r="G352" s="21">
        <v>7.986765987E9</v>
      </c>
    </row>
    <row r="353" ht="22.5" customHeight="1">
      <c r="A353" s="22" t="s">
        <v>4589</v>
      </c>
      <c r="B353" s="23" t="s">
        <v>6109</v>
      </c>
      <c r="C353" s="24" t="s">
        <v>4590</v>
      </c>
      <c r="D353" s="23" t="s">
        <v>6114</v>
      </c>
      <c r="E353" s="23" t="s">
        <v>238</v>
      </c>
      <c r="F353" s="23" t="s">
        <v>105</v>
      </c>
      <c r="G353" s="25">
        <v>7.042141448E9</v>
      </c>
    </row>
    <row r="354" ht="22.5" customHeight="1">
      <c r="A354" s="18" t="s">
        <v>4555</v>
      </c>
      <c r="B354" s="19" t="s">
        <v>6126</v>
      </c>
      <c r="C354" s="20" t="s">
        <v>4556</v>
      </c>
      <c r="D354" s="19" t="s">
        <v>4555</v>
      </c>
      <c r="E354" s="19" t="s">
        <v>238</v>
      </c>
      <c r="F354" s="19" t="s">
        <v>105</v>
      </c>
      <c r="G354" s="21">
        <v>6.398542533E9</v>
      </c>
    </row>
    <row r="355" ht="22.5" customHeight="1">
      <c r="A355" s="22" t="s">
        <v>3806</v>
      </c>
      <c r="B355" s="23" t="s">
        <v>6144</v>
      </c>
      <c r="C355" s="24" t="s">
        <v>3807</v>
      </c>
      <c r="D355" s="23" t="s">
        <v>6151</v>
      </c>
      <c r="E355" s="23" t="s">
        <v>221</v>
      </c>
      <c r="F355" s="23" t="s">
        <v>105</v>
      </c>
      <c r="G355" s="25">
        <v>8.602798363E9</v>
      </c>
    </row>
    <row r="356" ht="22.5" customHeight="1">
      <c r="A356" s="18" t="s">
        <v>3580</v>
      </c>
      <c r="B356" s="19" t="s">
        <v>6162</v>
      </c>
      <c r="C356" s="20" t="s">
        <v>3563</v>
      </c>
      <c r="D356" s="19" t="s">
        <v>3580</v>
      </c>
      <c r="E356" s="19" t="s">
        <v>68</v>
      </c>
      <c r="F356" s="19" t="s">
        <v>105</v>
      </c>
      <c r="G356" s="21">
        <v>9.638840838E9</v>
      </c>
    </row>
    <row r="357" ht="22.5" customHeight="1">
      <c r="A357" s="22" t="s">
        <v>6175</v>
      </c>
      <c r="B357" s="23" t="s">
        <v>6180</v>
      </c>
      <c r="C357" s="24" t="s">
        <v>6182</v>
      </c>
      <c r="D357" s="23" t="s">
        <v>6184</v>
      </c>
      <c r="E357" s="23" t="s">
        <v>523</v>
      </c>
      <c r="F357" s="23" t="s">
        <v>105</v>
      </c>
      <c r="G357" s="25">
        <v>7.009764763E9</v>
      </c>
    </row>
    <row r="358" ht="22.5" customHeight="1">
      <c r="A358" s="18" t="s">
        <v>1074</v>
      </c>
      <c r="B358" s="19" t="s">
        <v>6196</v>
      </c>
      <c r="C358" s="20" t="s">
        <v>1075</v>
      </c>
      <c r="D358" s="19" t="s">
        <v>6202</v>
      </c>
      <c r="E358" s="19" t="s">
        <v>140</v>
      </c>
      <c r="F358" s="19" t="s">
        <v>105</v>
      </c>
      <c r="G358" s="21">
        <v>8.130089924E9</v>
      </c>
    </row>
    <row r="359" ht="22.5" customHeight="1">
      <c r="A359" s="22" t="s">
        <v>626</v>
      </c>
      <c r="B359" s="23" t="s">
        <v>624</v>
      </c>
      <c r="C359" s="24" t="s">
        <v>628</v>
      </c>
      <c r="D359" s="23" t="s">
        <v>6223</v>
      </c>
      <c r="E359" s="23" t="s">
        <v>282</v>
      </c>
      <c r="F359" s="23" t="s">
        <v>105</v>
      </c>
      <c r="G359" s="25">
        <v>8.284099303E9</v>
      </c>
    </row>
    <row r="360" ht="22.5" customHeight="1">
      <c r="A360" s="18" t="s">
        <v>1227</v>
      </c>
      <c r="B360" s="19" t="s">
        <v>6233</v>
      </c>
      <c r="C360" s="20" t="s">
        <v>1228</v>
      </c>
      <c r="D360" s="19" t="s">
        <v>6239</v>
      </c>
      <c r="E360" s="19" t="s">
        <v>1149</v>
      </c>
      <c r="F360" s="19" t="s">
        <v>105</v>
      </c>
      <c r="G360" s="21">
        <v>9.389815206E9</v>
      </c>
    </row>
    <row r="361" ht="22.5" customHeight="1">
      <c r="A361" s="22" t="s">
        <v>3249</v>
      </c>
      <c r="B361" s="23" t="s">
        <v>6248</v>
      </c>
      <c r="C361" s="24" t="s">
        <v>3250</v>
      </c>
      <c r="D361" s="23" t="s">
        <v>6254</v>
      </c>
      <c r="E361" s="23" t="s">
        <v>30</v>
      </c>
      <c r="F361" s="23" t="s">
        <v>105</v>
      </c>
      <c r="G361" s="25">
        <v>9.8723336E9</v>
      </c>
    </row>
    <row r="362" ht="22.5" customHeight="1">
      <c r="A362" s="18" t="s">
        <v>6268</v>
      </c>
      <c r="B362" s="19" t="s">
        <v>6270</v>
      </c>
      <c r="C362" s="20" t="s">
        <v>6274</v>
      </c>
      <c r="D362" s="19" t="s">
        <v>6276</v>
      </c>
      <c r="E362" s="19" t="s">
        <v>1326</v>
      </c>
      <c r="F362" s="19" t="s">
        <v>105</v>
      </c>
      <c r="G362" s="21">
        <v>7.043121403E9</v>
      </c>
    </row>
    <row r="363" ht="22.5" customHeight="1">
      <c r="A363" s="22" t="s">
        <v>6289</v>
      </c>
      <c r="B363" s="23" t="s">
        <v>6290</v>
      </c>
      <c r="C363" s="24" t="s">
        <v>6295</v>
      </c>
      <c r="D363" s="23" t="s">
        <v>6298</v>
      </c>
      <c r="E363" s="23" t="s">
        <v>3118</v>
      </c>
      <c r="F363" s="23" t="s">
        <v>105</v>
      </c>
      <c r="G363" s="25">
        <v>8.897471125E9</v>
      </c>
    </row>
    <row r="364" ht="22.5" customHeight="1">
      <c r="A364" s="18" t="s">
        <v>4226</v>
      </c>
      <c r="B364" s="19" t="s">
        <v>6309</v>
      </c>
      <c r="C364" s="20" t="s">
        <v>4227</v>
      </c>
      <c r="D364" s="19" t="s">
        <v>6313</v>
      </c>
      <c r="E364" s="19" t="s">
        <v>1737</v>
      </c>
      <c r="F364" s="19" t="s">
        <v>105</v>
      </c>
      <c r="G364" s="21">
        <v>9.872593799E9</v>
      </c>
    </row>
    <row r="365" ht="22.5" customHeight="1">
      <c r="A365" s="22" t="s">
        <v>4030</v>
      </c>
      <c r="B365" s="23" t="s">
        <v>6325</v>
      </c>
      <c r="C365" s="24" t="s">
        <v>4031</v>
      </c>
      <c r="D365" s="23" t="s">
        <v>6330</v>
      </c>
      <c r="E365" s="23" t="s">
        <v>314</v>
      </c>
      <c r="F365" s="23" t="s">
        <v>105</v>
      </c>
      <c r="G365" s="25">
        <v>6.239881033E9</v>
      </c>
    </row>
    <row r="366" ht="22.5" customHeight="1">
      <c r="A366" s="18" t="s">
        <v>6337</v>
      </c>
      <c r="B366" s="19" t="s">
        <v>6342</v>
      </c>
      <c r="C366" s="20" t="s">
        <v>6346</v>
      </c>
      <c r="D366" s="19" t="s">
        <v>6337</v>
      </c>
      <c r="E366" s="19" t="s">
        <v>1303</v>
      </c>
      <c r="F366" s="19" t="s">
        <v>105</v>
      </c>
      <c r="G366" s="21">
        <v>9.911299711E9</v>
      </c>
    </row>
    <row r="367" ht="22.5" customHeight="1">
      <c r="A367" s="22" t="s">
        <v>6357</v>
      </c>
      <c r="B367" s="23" t="s">
        <v>6358</v>
      </c>
      <c r="C367" s="24" t="s">
        <v>6361</v>
      </c>
      <c r="D367" s="23" t="s">
        <v>6363</v>
      </c>
      <c r="E367" s="23" t="s">
        <v>6367</v>
      </c>
      <c r="F367" s="23" t="s">
        <v>105</v>
      </c>
      <c r="G367" s="25">
        <v>8.630931449E9</v>
      </c>
    </row>
    <row r="368" ht="22.5" customHeight="1">
      <c r="A368" s="18" t="s">
        <v>6370</v>
      </c>
      <c r="B368" s="19" t="s">
        <v>6375</v>
      </c>
      <c r="C368" s="20" t="s">
        <v>6376</v>
      </c>
      <c r="D368" s="19" t="s">
        <v>6381</v>
      </c>
      <c r="E368" s="19" t="s">
        <v>523</v>
      </c>
      <c r="F368" s="19" t="s">
        <v>105</v>
      </c>
      <c r="G368" s="21">
        <v>9.983020369E9</v>
      </c>
    </row>
    <row r="369" ht="22.5" customHeight="1">
      <c r="A369" s="22" t="s">
        <v>925</v>
      </c>
      <c r="B369" s="23" t="s">
        <v>6394</v>
      </c>
      <c r="C369" s="24" t="s">
        <v>926</v>
      </c>
      <c r="D369" s="23" t="s">
        <v>925</v>
      </c>
      <c r="E369" s="23" t="s">
        <v>52</v>
      </c>
      <c r="F369" s="23" t="s">
        <v>105</v>
      </c>
      <c r="G369" s="25">
        <v>7.876243441E9</v>
      </c>
    </row>
    <row r="370" ht="22.5" customHeight="1">
      <c r="A370" s="18" t="s">
        <v>6406</v>
      </c>
      <c r="B370" s="19" t="s">
        <v>6411</v>
      </c>
      <c r="C370" s="20" t="s">
        <v>6413</v>
      </c>
      <c r="D370" s="19" t="s">
        <v>6417</v>
      </c>
      <c r="E370" s="19" t="s">
        <v>100</v>
      </c>
      <c r="F370" s="19" t="s">
        <v>105</v>
      </c>
      <c r="G370" s="21">
        <v>7.973694352E9</v>
      </c>
    </row>
    <row r="371" ht="22.5" customHeight="1">
      <c r="A371" s="22" t="s">
        <v>405</v>
      </c>
      <c r="B371" s="23" t="s">
        <v>403</v>
      </c>
      <c r="C371" s="24" t="s">
        <v>406</v>
      </c>
      <c r="D371" s="23" t="s">
        <v>6436</v>
      </c>
      <c r="E371" s="23" t="s">
        <v>389</v>
      </c>
      <c r="F371" s="23" t="s">
        <v>105</v>
      </c>
      <c r="G371" s="25">
        <v>9.801484029E9</v>
      </c>
    </row>
    <row r="372" ht="22.5" customHeight="1">
      <c r="A372" s="18" t="s">
        <v>344</v>
      </c>
      <c r="B372" s="19" t="s">
        <v>6450</v>
      </c>
      <c r="C372" s="20" t="s">
        <v>345</v>
      </c>
      <c r="D372" s="19" t="s">
        <v>6454</v>
      </c>
      <c r="E372" s="19" t="s">
        <v>106</v>
      </c>
      <c r="F372" s="19" t="s">
        <v>105</v>
      </c>
      <c r="G372" s="21">
        <v>9.211791707E9</v>
      </c>
    </row>
    <row r="373" ht="22.5" customHeight="1">
      <c r="A373" s="22" t="s">
        <v>1027</v>
      </c>
      <c r="B373" s="23" t="s">
        <v>6468</v>
      </c>
      <c r="C373" s="24" t="s">
        <v>1028</v>
      </c>
      <c r="D373" s="23" t="s">
        <v>6474</v>
      </c>
      <c r="E373" s="23" t="s">
        <v>140</v>
      </c>
      <c r="F373" s="23" t="s">
        <v>105</v>
      </c>
      <c r="G373" s="25">
        <v>9.580469646E9</v>
      </c>
    </row>
    <row r="374" ht="22.5" customHeight="1">
      <c r="A374" s="18" t="s">
        <v>865</v>
      </c>
      <c r="B374" s="19" t="s">
        <v>6484</v>
      </c>
      <c r="C374" s="20" t="s">
        <v>867</v>
      </c>
      <c r="D374" s="19" t="s">
        <v>6489</v>
      </c>
      <c r="E374" s="19" t="s">
        <v>52</v>
      </c>
      <c r="F374" s="19" t="s">
        <v>105</v>
      </c>
      <c r="G374" s="21">
        <v>8.700870837E9</v>
      </c>
    </row>
    <row r="375" ht="22.5" customHeight="1">
      <c r="A375" s="22" t="s">
        <v>6502</v>
      </c>
      <c r="B375" s="23" t="s">
        <v>6505</v>
      </c>
      <c r="C375" s="24" t="s">
        <v>6508</v>
      </c>
      <c r="D375" s="23" t="s">
        <v>6512</v>
      </c>
      <c r="E375" s="23" t="s">
        <v>3118</v>
      </c>
      <c r="F375" s="23" t="s">
        <v>105</v>
      </c>
      <c r="G375" s="25">
        <v>9.818277312E9</v>
      </c>
    </row>
    <row r="376" ht="22.5" customHeight="1">
      <c r="A376" s="18" t="s">
        <v>5384</v>
      </c>
      <c r="B376" s="19" t="s">
        <v>6521</v>
      </c>
      <c r="C376" s="20" t="s">
        <v>2920</v>
      </c>
      <c r="D376" s="19" t="s">
        <v>6528</v>
      </c>
      <c r="E376" s="19" t="s">
        <v>1622</v>
      </c>
      <c r="F376" s="19" t="s">
        <v>105</v>
      </c>
      <c r="G376" s="21">
        <v>6.283433065E9</v>
      </c>
    </row>
    <row r="377" ht="22.5" customHeight="1">
      <c r="A377" s="22" t="s">
        <v>5576</v>
      </c>
      <c r="B377" s="23" t="s">
        <v>6539</v>
      </c>
      <c r="C377" s="24" t="s">
        <v>5577</v>
      </c>
      <c r="D377" s="23" t="s">
        <v>6544</v>
      </c>
      <c r="E377" s="23" t="s">
        <v>689</v>
      </c>
      <c r="F377" s="23" t="s">
        <v>105</v>
      </c>
      <c r="G377" s="25">
        <v>7.982339942E9</v>
      </c>
    </row>
    <row r="378" ht="22.5" customHeight="1">
      <c r="A378" s="18" t="s">
        <v>4074</v>
      </c>
      <c r="B378" s="19" t="s">
        <v>6557</v>
      </c>
      <c r="C378" s="20" t="s">
        <v>4075</v>
      </c>
      <c r="D378" s="19" t="s">
        <v>6566</v>
      </c>
      <c r="E378" s="19" t="s">
        <v>365</v>
      </c>
      <c r="F378" s="19" t="s">
        <v>105</v>
      </c>
      <c r="G378" s="21">
        <v>7.81482948E9</v>
      </c>
    </row>
    <row r="379" ht="22.5" customHeight="1">
      <c r="A379" s="22" t="s">
        <v>6579</v>
      </c>
      <c r="B379" s="23" t="s">
        <v>6582</v>
      </c>
      <c r="C379" s="24" t="s">
        <v>1083</v>
      </c>
      <c r="D379" s="23" t="s">
        <v>6587</v>
      </c>
      <c r="E379" s="23" t="s">
        <v>140</v>
      </c>
      <c r="F379" s="23" t="s">
        <v>105</v>
      </c>
      <c r="G379" s="25">
        <v>8.16827695E9</v>
      </c>
    </row>
    <row r="380" ht="22.5" customHeight="1">
      <c r="A380" s="18" t="s">
        <v>3534</v>
      </c>
      <c r="B380" s="19" t="s">
        <v>6601</v>
      </c>
      <c r="C380" s="20" t="s">
        <v>3535</v>
      </c>
      <c r="D380" s="19" t="s">
        <v>6606</v>
      </c>
      <c r="E380" s="19" t="s">
        <v>68</v>
      </c>
      <c r="F380" s="19" t="s">
        <v>105</v>
      </c>
      <c r="G380" s="21">
        <v>6.284675727E9</v>
      </c>
    </row>
    <row r="381" ht="22.5" customHeight="1">
      <c r="A381" s="22" t="s">
        <v>1207</v>
      </c>
      <c r="B381" s="23" t="s">
        <v>6616</v>
      </c>
      <c r="C381" s="24" t="s">
        <v>1209</v>
      </c>
      <c r="D381" s="23" t="s">
        <v>6621</v>
      </c>
      <c r="E381" s="23" t="s">
        <v>1149</v>
      </c>
      <c r="F381" s="23" t="s">
        <v>105</v>
      </c>
      <c r="G381" s="25">
        <v>7.01572971E9</v>
      </c>
    </row>
    <row r="382" ht="22.5" customHeight="1">
      <c r="A382" s="18" t="s">
        <v>4407</v>
      </c>
      <c r="B382" s="19" t="s">
        <v>6634</v>
      </c>
      <c r="C382" s="20" t="s">
        <v>4408</v>
      </c>
      <c r="D382" s="19" t="s">
        <v>6639</v>
      </c>
      <c r="E382" s="19" t="s">
        <v>1462</v>
      </c>
      <c r="F382" s="19" t="s">
        <v>105</v>
      </c>
      <c r="G382" s="21">
        <v>8.725902001E9</v>
      </c>
    </row>
    <row r="383" ht="22.5" customHeight="1">
      <c r="A383" s="22" t="s">
        <v>1851</v>
      </c>
      <c r="B383" s="23" t="s">
        <v>6654</v>
      </c>
      <c r="C383" s="24" t="s">
        <v>1852</v>
      </c>
      <c r="D383" s="23" t="s">
        <v>6658</v>
      </c>
      <c r="E383" s="23" t="s">
        <v>782</v>
      </c>
      <c r="F383" s="23" t="s">
        <v>105</v>
      </c>
      <c r="G383" s="25">
        <v>7.814778218E9</v>
      </c>
    </row>
    <row r="384" ht="22.5" customHeight="1">
      <c r="A384" s="18" t="s">
        <v>4702</v>
      </c>
      <c r="B384" s="19" t="s">
        <v>6654</v>
      </c>
      <c r="C384" s="20" t="s">
        <v>4703</v>
      </c>
      <c r="D384" s="19" t="s">
        <v>6674</v>
      </c>
      <c r="E384" s="19" t="s">
        <v>506</v>
      </c>
      <c r="F384" s="19" t="s">
        <v>105</v>
      </c>
      <c r="G384" s="21">
        <v>9.417971326E9</v>
      </c>
    </row>
    <row r="385" ht="22.5" customHeight="1">
      <c r="A385" s="22" t="s">
        <v>4753</v>
      </c>
      <c r="B385" s="23" t="s">
        <v>6688</v>
      </c>
      <c r="C385" s="24" t="s">
        <v>4754</v>
      </c>
      <c r="D385" s="23" t="s">
        <v>6695</v>
      </c>
      <c r="E385" s="23" t="s">
        <v>506</v>
      </c>
      <c r="F385" s="23" t="s">
        <v>105</v>
      </c>
      <c r="G385" s="25">
        <v>8.699516931E9</v>
      </c>
    </row>
    <row r="386" ht="22.5" customHeight="1">
      <c r="A386" s="18" t="s">
        <v>6706</v>
      </c>
      <c r="B386" s="19" t="s">
        <v>6709</v>
      </c>
      <c r="C386" s="20" t="s">
        <v>3014</v>
      </c>
      <c r="D386" s="19" t="s">
        <v>6706</v>
      </c>
      <c r="E386" s="19" t="s">
        <v>22</v>
      </c>
      <c r="F386" s="19" t="s">
        <v>105</v>
      </c>
      <c r="G386" s="21">
        <v>9.88865853E9</v>
      </c>
    </row>
    <row r="387" ht="22.5" customHeight="1">
      <c r="A387" s="22" t="s">
        <v>6724</v>
      </c>
      <c r="B387" s="23" t="s">
        <v>6727</v>
      </c>
      <c r="C387" s="24" t="s">
        <v>6730</v>
      </c>
      <c r="D387" s="23" t="s">
        <v>6735</v>
      </c>
      <c r="E387" s="23" t="s">
        <v>469</v>
      </c>
      <c r="F387" s="23" t="s">
        <v>105</v>
      </c>
      <c r="G387" s="25">
        <v>9.417869769E9</v>
      </c>
    </row>
    <row r="388" ht="22.5" customHeight="1">
      <c r="A388" s="18" t="s">
        <v>3875</v>
      </c>
      <c r="B388" s="19" t="s">
        <v>6748</v>
      </c>
      <c r="C388" s="20" t="s">
        <v>3876</v>
      </c>
      <c r="D388" s="19" t="s">
        <v>6753</v>
      </c>
      <c r="E388" s="19" t="s">
        <v>282</v>
      </c>
      <c r="F388" s="19" t="s">
        <v>105</v>
      </c>
      <c r="G388" s="21">
        <v>8.295529309E9</v>
      </c>
    </row>
    <row r="389" ht="22.5" customHeight="1">
      <c r="A389" s="22" t="s">
        <v>6762</v>
      </c>
      <c r="B389" s="23" t="s">
        <v>6765</v>
      </c>
      <c r="C389" s="24" t="s">
        <v>2067</v>
      </c>
      <c r="D389" s="23" t="s">
        <v>6762</v>
      </c>
      <c r="E389" s="23" t="s">
        <v>17</v>
      </c>
      <c r="F389" s="23" t="s">
        <v>105</v>
      </c>
      <c r="G389" s="25">
        <v>8.699098631E9</v>
      </c>
    </row>
    <row r="390" ht="22.5" customHeight="1">
      <c r="A390" s="18" t="s">
        <v>6781</v>
      </c>
      <c r="B390" s="19" t="s">
        <v>6784</v>
      </c>
      <c r="C390" s="20" t="s">
        <v>1871</v>
      </c>
      <c r="D390" s="19" t="s">
        <v>6789</v>
      </c>
      <c r="E390" s="19" t="s">
        <v>782</v>
      </c>
      <c r="F390" s="19" t="s">
        <v>105</v>
      </c>
      <c r="G390" s="21">
        <v>8.638918509E9</v>
      </c>
    </row>
    <row r="391" ht="22.5" customHeight="1">
      <c r="A391" s="22" t="s">
        <v>6796</v>
      </c>
      <c r="B391" s="23" t="s">
        <v>6800</v>
      </c>
      <c r="C391" s="24" t="s">
        <v>6804</v>
      </c>
      <c r="D391" s="23" t="s">
        <v>6806</v>
      </c>
      <c r="E391" s="23" t="s">
        <v>81</v>
      </c>
      <c r="F391" s="23" t="s">
        <v>105</v>
      </c>
      <c r="G391" s="25">
        <v>9.877923867E9</v>
      </c>
    </row>
    <row r="392" ht="22.5" customHeight="1">
      <c r="A392" s="18" t="s">
        <v>1935</v>
      </c>
      <c r="B392" s="19" t="s">
        <v>6821</v>
      </c>
      <c r="C392" s="20" t="s">
        <v>1936</v>
      </c>
      <c r="D392" s="19" t="s">
        <v>6824</v>
      </c>
      <c r="E392" s="19" t="s">
        <v>782</v>
      </c>
      <c r="F392" s="19" t="s">
        <v>105</v>
      </c>
      <c r="G392" s="21">
        <v>6.396015115E9</v>
      </c>
    </row>
    <row r="393" ht="22.5" customHeight="1">
      <c r="A393" s="22" t="s">
        <v>6836</v>
      </c>
      <c r="B393" s="23" t="s">
        <v>6821</v>
      </c>
      <c r="C393" s="24" t="s">
        <v>4700</v>
      </c>
      <c r="D393" s="23" t="s">
        <v>6842</v>
      </c>
      <c r="E393" s="23" t="s">
        <v>506</v>
      </c>
      <c r="F393" s="23" t="s">
        <v>105</v>
      </c>
      <c r="G393" s="25">
        <v>9.319380336E9</v>
      </c>
    </row>
    <row r="394" ht="22.5" customHeight="1">
      <c r="A394" s="18" t="s">
        <v>1391</v>
      </c>
      <c r="B394" s="19" t="s">
        <v>6853</v>
      </c>
      <c r="C394" s="20" t="s">
        <v>1392</v>
      </c>
      <c r="D394" s="19" t="s">
        <v>6858</v>
      </c>
      <c r="E394" s="19" t="s">
        <v>389</v>
      </c>
      <c r="F394" s="19" t="s">
        <v>105</v>
      </c>
      <c r="G394" s="21">
        <v>9.050919681E9</v>
      </c>
    </row>
    <row r="395" ht="22.5" customHeight="1">
      <c r="A395" s="22" t="s">
        <v>6870</v>
      </c>
      <c r="B395" s="23" t="s">
        <v>6872</v>
      </c>
      <c r="C395" s="24" t="s">
        <v>6877</v>
      </c>
      <c r="D395" s="23" t="s">
        <v>6880</v>
      </c>
      <c r="E395" s="23" t="s">
        <v>523</v>
      </c>
      <c r="F395" s="23" t="s">
        <v>105</v>
      </c>
      <c r="G395" s="25">
        <v>9.517841807E9</v>
      </c>
    </row>
    <row r="396" ht="22.5" customHeight="1">
      <c r="A396" s="18" t="s">
        <v>6892</v>
      </c>
      <c r="B396" s="19" t="s">
        <v>6897</v>
      </c>
      <c r="C396" s="20" t="s">
        <v>2420</v>
      </c>
      <c r="D396" s="19" t="s">
        <v>6902</v>
      </c>
      <c r="E396" s="19" t="s">
        <v>184</v>
      </c>
      <c r="F396" s="19" t="s">
        <v>105</v>
      </c>
      <c r="G396" s="21">
        <v>8.054514987E9</v>
      </c>
    </row>
    <row r="397" ht="22.5" customHeight="1">
      <c r="A397" s="22" t="s">
        <v>3542</v>
      </c>
      <c r="B397" s="23" t="s">
        <v>6913</v>
      </c>
      <c r="C397" s="24" t="s">
        <v>3543</v>
      </c>
      <c r="D397" s="23" t="s">
        <v>6918</v>
      </c>
      <c r="E397" s="23" t="s">
        <v>68</v>
      </c>
      <c r="F397" s="23" t="s">
        <v>105</v>
      </c>
      <c r="G397" s="25">
        <v>7.015840213E9</v>
      </c>
    </row>
    <row r="398" ht="22.5" customHeight="1">
      <c r="A398" s="18" t="s">
        <v>719</v>
      </c>
      <c r="B398" s="19" t="s">
        <v>716</v>
      </c>
      <c r="C398" s="20" t="s">
        <v>720</v>
      </c>
      <c r="D398" s="19" t="s">
        <v>6934</v>
      </c>
      <c r="E398" s="19" t="s">
        <v>106</v>
      </c>
      <c r="F398" s="19" t="s">
        <v>105</v>
      </c>
      <c r="G398" s="21">
        <v>9.053022031E9</v>
      </c>
    </row>
    <row r="399" ht="22.5" customHeight="1">
      <c r="A399" s="22" t="s">
        <v>4820</v>
      </c>
      <c r="B399" s="23" t="s">
        <v>6913</v>
      </c>
      <c r="C399" s="24" t="s">
        <v>4822</v>
      </c>
      <c r="D399" s="23" t="s">
        <v>6953</v>
      </c>
      <c r="E399" s="23" t="s">
        <v>889</v>
      </c>
      <c r="F399" s="23" t="s">
        <v>105</v>
      </c>
      <c r="G399" s="25">
        <v>9.056010106E9</v>
      </c>
    </row>
    <row r="400" ht="22.5" customHeight="1">
      <c r="A400" s="18" t="s">
        <v>6963</v>
      </c>
      <c r="B400" s="19" t="s">
        <v>6965</v>
      </c>
      <c r="C400" s="20" t="s">
        <v>3481</v>
      </c>
      <c r="D400" s="19" t="s">
        <v>6971</v>
      </c>
      <c r="E400" s="19" t="s">
        <v>37</v>
      </c>
      <c r="F400" s="19" t="s">
        <v>105</v>
      </c>
      <c r="G400" s="21">
        <v>9.31107034E9</v>
      </c>
    </row>
    <row r="401" ht="22.5" customHeight="1">
      <c r="A401" s="22" t="s">
        <v>6742</v>
      </c>
      <c r="B401" s="23" t="s">
        <v>6983</v>
      </c>
      <c r="C401" s="24" t="s">
        <v>6743</v>
      </c>
      <c r="D401" s="23" t="s">
        <v>6990</v>
      </c>
      <c r="E401" s="23" t="s">
        <v>469</v>
      </c>
      <c r="F401" s="23" t="s">
        <v>105</v>
      </c>
      <c r="G401" s="25">
        <v>8.968385072E9</v>
      </c>
    </row>
    <row r="402" ht="22.5" customHeight="1">
      <c r="A402" s="18" t="s">
        <v>7004</v>
      </c>
      <c r="B402" s="19" t="s">
        <v>7008</v>
      </c>
      <c r="C402" s="20" t="s">
        <v>5097</v>
      </c>
      <c r="D402" s="19" t="s">
        <v>7014</v>
      </c>
      <c r="E402" s="19" t="s">
        <v>1064</v>
      </c>
      <c r="F402" s="19" t="s">
        <v>105</v>
      </c>
      <c r="G402" s="21">
        <v>6.284670035E9</v>
      </c>
    </row>
    <row r="403" ht="22.5" customHeight="1">
      <c r="A403" s="22" t="s">
        <v>745</v>
      </c>
      <c r="B403" s="23" t="s">
        <v>742</v>
      </c>
      <c r="C403" s="24" t="s">
        <v>746</v>
      </c>
      <c r="D403" s="23" t="s">
        <v>7031</v>
      </c>
      <c r="E403" s="23" t="s">
        <v>543</v>
      </c>
      <c r="F403" s="23" t="s">
        <v>105</v>
      </c>
      <c r="G403" s="25">
        <v>9.77990802E9</v>
      </c>
    </row>
    <row r="404" ht="22.5" customHeight="1">
      <c r="A404" s="18" t="s">
        <v>6506</v>
      </c>
      <c r="B404" s="19" t="s">
        <v>7042</v>
      </c>
      <c r="C404" s="20" t="s">
        <v>6507</v>
      </c>
      <c r="D404" s="19" t="s">
        <v>7049</v>
      </c>
      <c r="E404" s="19" t="s">
        <v>47</v>
      </c>
      <c r="F404" s="19" t="s">
        <v>105</v>
      </c>
      <c r="G404" s="21">
        <v>9.041748E9</v>
      </c>
    </row>
    <row r="405" ht="22.5" customHeight="1">
      <c r="A405" s="22" t="s">
        <v>5045</v>
      </c>
      <c r="B405" s="23" t="s">
        <v>7066</v>
      </c>
      <c r="C405" s="24" t="s">
        <v>5046</v>
      </c>
      <c r="D405" s="23" t="s">
        <v>7072</v>
      </c>
      <c r="E405" s="23" t="s">
        <v>1064</v>
      </c>
      <c r="F405" s="23" t="s">
        <v>105</v>
      </c>
      <c r="G405" s="25">
        <v>7.340702879E9</v>
      </c>
    </row>
    <row r="406" ht="22.5" customHeight="1">
      <c r="A406" s="18" t="s">
        <v>7082</v>
      </c>
      <c r="B406" s="19" t="s">
        <v>7087</v>
      </c>
      <c r="C406" s="20" t="s">
        <v>7088</v>
      </c>
      <c r="D406" s="19" t="s">
        <v>7092</v>
      </c>
      <c r="E406" s="19" t="s">
        <v>756</v>
      </c>
      <c r="F406" s="19" t="s">
        <v>105</v>
      </c>
      <c r="G406" s="21">
        <v>8.968978781E9</v>
      </c>
    </row>
    <row r="407" ht="22.5" customHeight="1">
      <c r="A407" s="22" t="s">
        <v>7099</v>
      </c>
      <c r="B407" s="23" t="s">
        <v>7100</v>
      </c>
      <c r="C407" s="24" t="s">
        <v>7104</v>
      </c>
      <c r="D407" s="23" t="s">
        <v>7106</v>
      </c>
      <c r="E407" s="23" t="s">
        <v>303</v>
      </c>
      <c r="F407" s="23" t="s">
        <v>105</v>
      </c>
      <c r="G407" s="25">
        <v>7.38026503E9</v>
      </c>
    </row>
    <row r="408" ht="22.5" customHeight="1">
      <c r="A408" s="18" t="s">
        <v>1996</v>
      </c>
      <c r="B408" s="19" t="s">
        <v>7121</v>
      </c>
      <c r="C408" s="20" t="s">
        <v>1997</v>
      </c>
      <c r="D408" s="19" t="s">
        <v>7124</v>
      </c>
      <c r="E408" s="19" t="s">
        <v>17</v>
      </c>
      <c r="F408" s="19" t="s">
        <v>105</v>
      </c>
      <c r="G408" s="21">
        <v>7.589400007E9</v>
      </c>
    </row>
    <row r="409" ht="22.5" customHeight="1">
      <c r="A409" s="22" t="s">
        <v>951</v>
      </c>
      <c r="B409" s="23" t="s">
        <v>7136</v>
      </c>
      <c r="C409" s="24" t="s">
        <v>7141</v>
      </c>
      <c r="D409" s="23" t="s">
        <v>7144</v>
      </c>
      <c r="E409" s="23" t="s">
        <v>52</v>
      </c>
      <c r="F409" s="23" t="s">
        <v>105</v>
      </c>
      <c r="G409" s="25">
        <v>7.719526761E9</v>
      </c>
    </row>
    <row r="410" ht="22.5" customHeight="1">
      <c r="A410" s="18" t="s">
        <v>3602</v>
      </c>
      <c r="B410" s="19" t="s">
        <v>7157</v>
      </c>
      <c r="C410" s="20" t="s">
        <v>3603</v>
      </c>
      <c r="D410" s="19" t="s">
        <v>7161</v>
      </c>
      <c r="E410" s="19" t="s">
        <v>543</v>
      </c>
      <c r="F410" s="19" t="s">
        <v>105</v>
      </c>
      <c r="G410" s="21">
        <v>9.877844066E9</v>
      </c>
    </row>
    <row r="411" ht="22.5" customHeight="1">
      <c r="A411" s="22" t="s">
        <v>7172</v>
      </c>
      <c r="B411" s="23" t="s">
        <v>7173</v>
      </c>
      <c r="C411" s="24" t="s">
        <v>7175</v>
      </c>
      <c r="D411" s="23" t="s">
        <v>7179</v>
      </c>
      <c r="E411" s="23" t="s">
        <v>57</v>
      </c>
      <c r="F411" s="23" t="s">
        <v>105</v>
      </c>
      <c r="G411" s="25">
        <v>7.670977479E9</v>
      </c>
    </row>
    <row r="412" ht="22.5" customHeight="1">
      <c r="A412" s="18" t="s">
        <v>4686</v>
      </c>
      <c r="B412" s="19" t="s">
        <v>7187</v>
      </c>
      <c r="C412" s="20" t="s">
        <v>4687</v>
      </c>
      <c r="D412" s="19" t="s">
        <v>7193</v>
      </c>
      <c r="E412" s="19" t="s">
        <v>506</v>
      </c>
      <c r="F412" s="19" t="s">
        <v>105</v>
      </c>
      <c r="G412" s="21">
        <v>7.637060998E9</v>
      </c>
    </row>
    <row r="413" ht="22.5" customHeight="1">
      <c r="A413" s="22" t="s">
        <v>253</v>
      </c>
      <c r="B413" s="23" t="s">
        <v>251</v>
      </c>
      <c r="C413" s="24" t="s">
        <v>254</v>
      </c>
      <c r="D413" s="23" t="s">
        <v>7210</v>
      </c>
      <c r="E413" s="23" t="s">
        <v>106</v>
      </c>
      <c r="F413" s="23" t="s">
        <v>105</v>
      </c>
      <c r="G413" s="25">
        <v>8.099024484E9</v>
      </c>
    </row>
    <row r="414" ht="22.5" customHeight="1">
      <c r="A414" s="18" t="s">
        <v>2070</v>
      </c>
      <c r="B414" s="19" t="s">
        <v>7220</v>
      </c>
      <c r="C414" s="20" t="s">
        <v>7225</v>
      </c>
      <c r="D414" s="19" t="s">
        <v>7227</v>
      </c>
      <c r="E414" s="19" t="s">
        <v>17</v>
      </c>
      <c r="F414" s="19" t="s">
        <v>105</v>
      </c>
      <c r="G414" s="21">
        <v>9.108461598E9</v>
      </c>
    </row>
    <row r="415" ht="22.5" customHeight="1">
      <c r="A415" s="22" t="s">
        <v>7239</v>
      </c>
      <c r="B415" s="23" t="s">
        <v>7241</v>
      </c>
      <c r="C415" s="24" t="s">
        <v>7244</v>
      </c>
      <c r="D415" s="23" t="s">
        <v>7245</v>
      </c>
      <c r="E415" s="23" t="s">
        <v>559</v>
      </c>
      <c r="F415" s="23" t="s">
        <v>105</v>
      </c>
      <c r="G415" s="25">
        <v>7.278473223E9</v>
      </c>
    </row>
    <row r="416" ht="22.5" customHeight="1">
      <c r="A416" s="18" t="s">
        <v>2609</v>
      </c>
      <c r="B416" s="19" t="s">
        <v>7262</v>
      </c>
      <c r="C416" s="20" t="s">
        <v>2611</v>
      </c>
      <c r="D416" s="19" t="s">
        <v>7267</v>
      </c>
      <c r="E416" s="19" t="s">
        <v>204</v>
      </c>
      <c r="F416" s="19" t="s">
        <v>105</v>
      </c>
      <c r="G416" s="21">
        <v>8.360049232E9</v>
      </c>
    </row>
    <row r="417" ht="22.5" customHeight="1">
      <c r="A417" s="22" t="s">
        <v>170</v>
      </c>
      <c r="B417" s="23" t="s">
        <v>168</v>
      </c>
      <c r="C417" s="24" t="s">
        <v>171</v>
      </c>
      <c r="D417" s="23" t="s">
        <v>7284</v>
      </c>
      <c r="E417" s="23" t="s">
        <v>81</v>
      </c>
      <c r="F417" s="23" t="s">
        <v>105</v>
      </c>
      <c r="G417" s="25">
        <v>8.360024654E9</v>
      </c>
    </row>
    <row r="418" ht="22.5" customHeight="1">
      <c r="A418" s="18" t="s">
        <v>5298</v>
      </c>
      <c r="B418" s="19" t="s">
        <v>7297</v>
      </c>
      <c r="C418" s="20" t="s">
        <v>2657</v>
      </c>
      <c r="D418" s="19" t="s">
        <v>5298</v>
      </c>
      <c r="E418" s="19" t="s">
        <v>1071</v>
      </c>
      <c r="F418" s="19" t="s">
        <v>105</v>
      </c>
      <c r="G418" s="21">
        <v>7.973963747E9</v>
      </c>
    </row>
    <row r="419" ht="22.5" customHeight="1">
      <c r="A419" s="22" t="s">
        <v>1214</v>
      </c>
      <c r="B419" s="23" t="s">
        <v>168</v>
      </c>
      <c r="C419" s="24" t="s">
        <v>1216</v>
      </c>
      <c r="D419" s="23" t="s">
        <v>7322</v>
      </c>
      <c r="E419" s="23" t="s">
        <v>1149</v>
      </c>
      <c r="F419" s="23" t="s">
        <v>105</v>
      </c>
      <c r="G419" s="25">
        <v>7.97726765E9</v>
      </c>
    </row>
    <row r="420" ht="22.5" customHeight="1">
      <c r="A420" s="18" t="s">
        <v>5171</v>
      </c>
      <c r="B420" s="19" t="s">
        <v>7336</v>
      </c>
      <c r="C420" s="20" t="s">
        <v>2355</v>
      </c>
      <c r="D420" s="19" t="s">
        <v>7339</v>
      </c>
      <c r="E420" s="19" t="s">
        <v>184</v>
      </c>
      <c r="F420" s="19" t="s">
        <v>105</v>
      </c>
      <c r="G420" s="21">
        <v>7.71967731E9</v>
      </c>
    </row>
    <row r="421" ht="22.5" customHeight="1">
      <c r="A421" s="22" t="s">
        <v>7348</v>
      </c>
      <c r="B421" s="23" t="s">
        <v>7351</v>
      </c>
      <c r="C421" s="24" t="s">
        <v>6876</v>
      </c>
      <c r="D421" s="23" t="s">
        <v>7356</v>
      </c>
      <c r="E421" s="23" t="s">
        <v>1946</v>
      </c>
      <c r="F421" s="23" t="s">
        <v>105</v>
      </c>
      <c r="G421" s="25">
        <v>9.47877518E9</v>
      </c>
    </row>
    <row r="422" ht="22.5" customHeight="1">
      <c r="A422" s="18" t="s">
        <v>7366</v>
      </c>
      <c r="B422" s="19" t="s">
        <v>7370</v>
      </c>
      <c r="C422" s="20" t="s">
        <v>535</v>
      </c>
      <c r="D422" s="19" t="s">
        <v>7384</v>
      </c>
      <c r="E422" s="19" t="s">
        <v>17</v>
      </c>
      <c r="F422" s="19" t="s">
        <v>105</v>
      </c>
      <c r="G422" s="21">
        <v>8.146624992E9</v>
      </c>
    </row>
    <row r="423" ht="22.5" customHeight="1">
      <c r="A423" s="22" t="s">
        <v>638</v>
      </c>
      <c r="B423" s="23" t="s">
        <v>636</v>
      </c>
      <c r="C423" s="24" t="s">
        <v>639</v>
      </c>
      <c r="D423" s="23" t="s">
        <v>638</v>
      </c>
      <c r="E423" s="23" t="s">
        <v>57</v>
      </c>
      <c r="F423" s="23" t="s">
        <v>105</v>
      </c>
      <c r="G423" s="25">
        <v>7.015715364E9</v>
      </c>
    </row>
    <row r="424" ht="22.5" customHeight="1">
      <c r="A424" s="18" t="s">
        <v>7413</v>
      </c>
      <c r="B424" s="19" t="s">
        <v>7417</v>
      </c>
      <c r="C424" s="20" t="s">
        <v>7420</v>
      </c>
      <c r="D424" s="19" t="s">
        <v>7421</v>
      </c>
      <c r="E424" s="19" t="s">
        <v>792</v>
      </c>
      <c r="F424" s="19" t="s">
        <v>105</v>
      </c>
      <c r="G424" s="21">
        <v>8.178457086E9</v>
      </c>
    </row>
    <row r="425" ht="22.5" customHeight="1">
      <c r="A425" s="22" t="s">
        <v>7432</v>
      </c>
      <c r="B425" s="23" t="s">
        <v>7435</v>
      </c>
      <c r="C425" s="24" t="s">
        <v>7438</v>
      </c>
      <c r="D425" s="23" t="s">
        <v>7441</v>
      </c>
      <c r="E425" s="23" t="s">
        <v>123</v>
      </c>
      <c r="F425" s="23" t="s">
        <v>105</v>
      </c>
      <c r="G425" s="25">
        <v>9.350684002E9</v>
      </c>
    </row>
    <row r="426" ht="22.5" customHeight="1">
      <c r="A426" s="18" t="s">
        <v>7450</v>
      </c>
      <c r="B426" s="19" t="s">
        <v>7453</v>
      </c>
      <c r="C426" s="20" t="s">
        <v>7455</v>
      </c>
      <c r="D426" s="19" t="s">
        <v>7459</v>
      </c>
      <c r="E426" s="19" t="s">
        <v>792</v>
      </c>
      <c r="F426" s="19" t="s">
        <v>105</v>
      </c>
      <c r="G426" s="21">
        <v>8.283980447E9</v>
      </c>
    </row>
    <row r="427" ht="22.5" customHeight="1">
      <c r="A427" s="22" t="s">
        <v>2427</v>
      </c>
      <c r="B427" s="23" t="s">
        <v>7467</v>
      </c>
      <c r="C427" s="24" t="s">
        <v>2428</v>
      </c>
      <c r="D427" s="23" t="s">
        <v>7470</v>
      </c>
      <c r="E427" s="23" t="s">
        <v>1873</v>
      </c>
      <c r="F427" s="23" t="s">
        <v>105</v>
      </c>
      <c r="G427" s="25">
        <v>8.872500029E9</v>
      </c>
    </row>
    <row r="428" ht="22.5" customHeight="1">
      <c r="A428" s="18" t="s">
        <v>6173</v>
      </c>
      <c r="B428" s="19" t="s">
        <v>7481</v>
      </c>
      <c r="C428" s="20" t="s">
        <v>6174</v>
      </c>
      <c r="D428" s="19" t="s">
        <v>7486</v>
      </c>
      <c r="E428" s="19" t="s">
        <v>1002</v>
      </c>
      <c r="F428" s="19" t="s">
        <v>105</v>
      </c>
      <c r="G428" s="21">
        <v>7.986293562E9</v>
      </c>
    </row>
    <row r="429" ht="22.5" customHeight="1">
      <c r="A429" s="22" t="s">
        <v>3345</v>
      </c>
      <c r="B429" s="23" t="s">
        <v>7492</v>
      </c>
      <c r="C429" s="24" t="s">
        <v>3346</v>
      </c>
      <c r="D429" s="23" t="s">
        <v>3345</v>
      </c>
      <c r="E429" s="23" t="s">
        <v>524</v>
      </c>
      <c r="F429" s="23" t="s">
        <v>105</v>
      </c>
      <c r="G429" s="25">
        <v>7.780908846E9</v>
      </c>
    </row>
    <row r="430" ht="22.5" customHeight="1">
      <c r="A430" s="18" t="s">
        <v>4422</v>
      </c>
      <c r="B430" s="19" t="s">
        <v>7504</v>
      </c>
      <c r="C430" s="20" t="s">
        <v>4423</v>
      </c>
      <c r="D430" s="19" t="s">
        <v>7507</v>
      </c>
      <c r="E430" s="19" t="s">
        <v>1462</v>
      </c>
      <c r="F430" s="19" t="s">
        <v>105</v>
      </c>
      <c r="G430" s="21">
        <v>9.350317482E9</v>
      </c>
    </row>
    <row r="431" ht="22.5" customHeight="1">
      <c r="A431" s="22" t="s">
        <v>353</v>
      </c>
      <c r="B431" s="23" t="s">
        <v>351</v>
      </c>
      <c r="C431" s="24" t="s">
        <v>355</v>
      </c>
      <c r="D431" s="23" t="s">
        <v>7520</v>
      </c>
      <c r="E431" s="23" t="s">
        <v>57</v>
      </c>
      <c r="F431" s="23" t="s">
        <v>105</v>
      </c>
      <c r="G431" s="25">
        <v>9.915490015E9</v>
      </c>
    </row>
    <row r="432" ht="22.5" customHeight="1">
      <c r="A432" s="18" t="s">
        <v>7529</v>
      </c>
      <c r="B432" s="19" t="s">
        <v>7531</v>
      </c>
      <c r="C432" s="20" t="s">
        <v>6429</v>
      </c>
      <c r="D432" s="19" t="s">
        <v>7537</v>
      </c>
      <c r="E432" s="19" t="s">
        <v>2970</v>
      </c>
      <c r="F432" s="19" t="s">
        <v>105</v>
      </c>
      <c r="G432" s="21">
        <v>6.283590752E9</v>
      </c>
    </row>
    <row r="433" ht="22.5" customHeight="1">
      <c r="A433" s="22" t="s">
        <v>1426</v>
      </c>
      <c r="B433" s="23" t="s">
        <v>7550</v>
      </c>
      <c r="C433" s="24" t="s">
        <v>1427</v>
      </c>
      <c r="D433" s="23" t="s">
        <v>7555</v>
      </c>
      <c r="E433" s="23" t="s">
        <v>389</v>
      </c>
      <c r="F433" s="23" t="s">
        <v>105</v>
      </c>
      <c r="G433" s="25">
        <v>8.571054833E9</v>
      </c>
    </row>
    <row r="434" ht="22.5" customHeight="1">
      <c r="A434" s="18" t="s">
        <v>3720</v>
      </c>
      <c r="B434" s="19" t="s">
        <v>7562</v>
      </c>
      <c r="C434" s="20" t="s">
        <v>3721</v>
      </c>
      <c r="D434" s="19" t="s">
        <v>7567</v>
      </c>
      <c r="E434" s="19" t="s">
        <v>227</v>
      </c>
      <c r="F434" s="19" t="s">
        <v>105</v>
      </c>
      <c r="G434" s="21">
        <v>7.901964256E9</v>
      </c>
    </row>
    <row r="435" ht="22.5" customHeight="1">
      <c r="A435" s="22" t="s">
        <v>7574</v>
      </c>
      <c r="B435" s="23" t="s">
        <v>7578</v>
      </c>
      <c r="C435" s="24" t="s">
        <v>3740</v>
      </c>
      <c r="D435" s="23" t="s">
        <v>7583</v>
      </c>
      <c r="E435" s="23" t="s">
        <v>227</v>
      </c>
      <c r="F435" s="23" t="s">
        <v>105</v>
      </c>
      <c r="G435" s="25">
        <v>8.427200884E9</v>
      </c>
    </row>
    <row r="436" ht="22.5" customHeight="1">
      <c r="A436" s="18" t="s">
        <v>5685</v>
      </c>
      <c r="B436" s="19" t="s">
        <v>7596</v>
      </c>
      <c r="C436" s="20" t="s">
        <v>5686</v>
      </c>
      <c r="D436" s="19" t="s">
        <v>7598</v>
      </c>
      <c r="E436" s="19" t="s">
        <v>1243</v>
      </c>
      <c r="F436" s="19" t="s">
        <v>105</v>
      </c>
      <c r="G436" s="21">
        <v>7.496048784E9</v>
      </c>
    </row>
    <row r="437" ht="22.5" customHeight="1">
      <c r="A437" s="22" t="s">
        <v>4306</v>
      </c>
      <c r="B437" s="23" t="s">
        <v>7609</v>
      </c>
      <c r="C437" s="24" t="s">
        <v>4307</v>
      </c>
      <c r="D437" s="23" t="s">
        <v>7617</v>
      </c>
      <c r="E437" s="23" t="s">
        <v>1737</v>
      </c>
      <c r="F437" s="23" t="s">
        <v>105</v>
      </c>
      <c r="G437" s="25">
        <v>7.508072361E9</v>
      </c>
    </row>
    <row r="438" ht="22.5" customHeight="1">
      <c r="A438" s="18" t="s">
        <v>2592</v>
      </c>
      <c r="B438" s="19" t="s">
        <v>7629</v>
      </c>
      <c r="C438" s="20" t="s">
        <v>2594</v>
      </c>
      <c r="D438" s="19" t="s">
        <v>7636</v>
      </c>
      <c r="E438" s="19" t="s">
        <v>204</v>
      </c>
      <c r="F438" s="19" t="s">
        <v>105</v>
      </c>
      <c r="G438" s="21">
        <v>9.501723286E9</v>
      </c>
    </row>
    <row r="439" ht="22.5" customHeight="1">
      <c r="A439" s="22" t="s">
        <v>430</v>
      </c>
      <c r="B439" s="23" t="s">
        <v>427</v>
      </c>
      <c r="C439" s="24" t="s">
        <v>431</v>
      </c>
      <c r="D439" s="23" t="s">
        <v>7657</v>
      </c>
      <c r="E439" s="23" t="s">
        <v>81</v>
      </c>
      <c r="F439" s="23" t="s">
        <v>105</v>
      </c>
      <c r="G439" s="25">
        <v>9.501030508E9</v>
      </c>
    </row>
    <row r="440" ht="22.5" customHeight="1">
      <c r="A440" s="18" t="s">
        <v>7668</v>
      </c>
      <c r="B440" s="19" t="s">
        <v>7669</v>
      </c>
      <c r="C440" s="20" t="s">
        <v>1626</v>
      </c>
      <c r="D440" s="19" t="s">
        <v>7677</v>
      </c>
      <c r="E440" s="19" t="s">
        <v>75</v>
      </c>
      <c r="F440" s="19" t="s">
        <v>105</v>
      </c>
      <c r="G440" s="21">
        <v>7.986156385E9</v>
      </c>
    </row>
    <row r="441" ht="22.5" customHeight="1">
      <c r="A441" s="22" t="s">
        <v>7686</v>
      </c>
      <c r="B441" s="23" t="s">
        <v>7689</v>
      </c>
      <c r="C441" s="24" t="s">
        <v>442</v>
      </c>
      <c r="D441" s="23" t="s">
        <v>7695</v>
      </c>
      <c r="E441" s="23" t="s">
        <v>57</v>
      </c>
      <c r="F441" s="23" t="s">
        <v>105</v>
      </c>
      <c r="G441" s="25">
        <v>9.717482848E9</v>
      </c>
    </row>
    <row r="442" ht="22.5" customHeight="1">
      <c r="A442" s="18" t="s">
        <v>540</v>
      </c>
      <c r="B442" s="19" t="s">
        <v>538</v>
      </c>
      <c r="C442" s="20" t="s">
        <v>542</v>
      </c>
      <c r="D442" s="19" t="s">
        <v>7711</v>
      </c>
      <c r="E442" s="19" t="s">
        <v>227</v>
      </c>
      <c r="F442" s="19" t="s">
        <v>105</v>
      </c>
      <c r="G442" s="21">
        <v>9.779088605E9</v>
      </c>
    </row>
    <row r="443" ht="22.5" customHeight="1">
      <c r="A443" s="22" t="s">
        <v>2032</v>
      </c>
      <c r="B443" s="23" t="s">
        <v>7720</v>
      </c>
      <c r="C443" s="24" t="s">
        <v>2034</v>
      </c>
      <c r="D443" s="23" t="s">
        <v>7726</v>
      </c>
      <c r="E443" s="23" t="s">
        <v>17</v>
      </c>
      <c r="F443" s="23" t="s">
        <v>105</v>
      </c>
      <c r="G443" s="25">
        <v>9.501704487E9</v>
      </c>
    </row>
    <row r="444" ht="22.5" customHeight="1">
      <c r="A444" s="18" t="s">
        <v>1564</v>
      </c>
      <c r="B444" s="19" t="s">
        <v>7739</v>
      </c>
      <c r="C444" s="20" t="s">
        <v>1565</v>
      </c>
      <c r="D444" s="19" t="s">
        <v>7744</v>
      </c>
      <c r="E444" s="19" t="s">
        <v>75</v>
      </c>
      <c r="F444" s="19" t="s">
        <v>105</v>
      </c>
      <c r="G444" s="21">
        <v>7.696846733E9</v>
      </c>
    </row>
    <row r="445" ht="22.5" customHeight="1">
      <c r="A445" s="22" t="s">
        <v>7751</v>
      </c>
      <c r="B445" s="23" t="s">
        <v>7755</v>
      </c>
      <c r="C445" s="24" t="s">
        <v>7757</v>
      </c>
      <c r="D445" s="23" t="s">
        <v>7758</v>
      </c>
      <c r="E445" s="23" t="s">
        <v>303</v>
      </c>
      <c r="F445" s="23" t="s">
        <v>105</v>
      </c>
      <c r="G445" s="25">
        <v>8.595174931E9</v>
      </c>
    </row>
    <row r="446" ht="22.5" customHeight="1">
      <c r="A446" s="18" t="s">
        <v>5254</v>
      </c>
      <c r="B446" s="19" t="s">
        <v>7767</v>
      </c>
      <c r="C446" s="20" t="s">
        <v>2534</v>
      </c>
      <c r="D446" s="19" t="s">
        <v>5254</v>
      </c>
      <c r="E446" s="19" t="s">
        <v>1071</v>
      </c>
      <c r="F446" s="19" t="s">
        <v>105</v>
      </c>
      <c r="G446" s="21">
        <v>8.287066401E9</v>
      </c>
    </row>
    <row r="447" ht="22.5" customHeight="1">
      <c r="A447" s="22" t="s">
        <v>7779</v>
      </c>
      <c r="B447" s="23" t="s">
        <v>7782</v>
      </c>
      <c r="C447" s="24" t="s">
        <v>4483</v>
      </c>
      <c r="D447" s="23" t="s">
        <v>7791</v>
      </c>
      <c r="E447" s="23" t="s">
        <v>617</v>
      </c>
      <c r="F447" s="23" t="s">
        <v>105</v>
      </c>
      <c r="G447" s="25">
        <v>8.968052111E9</v>
      </c>
    </row>
    <row r="448" ht="22.5" customHeight="1">
      <c r="A448" s="18" t="s">
        <v>3688</v>
      </c>
      <c r="B448" s="19" t="s">
        <v>7805</v>
      </c>
      <c r="C448" s="20" t="s">
        <v>3689</v>
      </c>
      <c r="D448" s="19" t="s">
        <v>7811</v>
      </c>
      <c r="E448" s="19" t="s">
        <v>227</v>
      </c>
      <c r="F448" s="19" t="s">
        <v>105</v>
      </c>
      <c r="G448" s="21">
        <v>9.971731361E9</v>
      </c>
    </row>
    <row r="449" ht="22.5" customHeight="1">
      <c r="A449" s="22" t="s">
        <v>3766</v>
      </c>
      <c r="B449" s="23" t="s">
        <v>7818</v>
      </c>
      <c r="C449" s="24" t="s">
        <v>3768</v>
      </c>
      <c r="D449" s="23" t="s">
        <v>7822</v>
      </c>
      <c r="E449" s="23" t="s">
        <v>221</v>
      </c>
      <c r="F449" s="23" t="s">
        <v>105</v>
      </c>
      <c r="G449" s="25">
        <v>6.28091416E9</v>
      </c>
    </row>
    <row r="450" ht="22.5" customHeight="1">
      <c r="A450" s="18" t="s">
        <v>7012</v>
      </c>
      <c r="B450" s="19" t="s">
        <v>7831</v>
      </c>
      <c r="C450" s="20" t="s">
        <v>7013</v>
      </c>
      <c r="D450" s="19" t="s">
        <v>7834</v>
      </c>
      <c r="E450" s="19" t="s">
        <v>3956</v>
      </c>
      <c r="F450" s="19" t="s">
        <v>105</v>
      </c>
      <c r="G450" s="21">
        <v>7.719504893E9</v>
      </c>
    </row>
    <row r="451" ht="22.5" customHeight="1">
      <c r="A451" s="22" t="s">
        <v>3525</v>
      </c>
      <c r="B451" s="23" t="s">
        <v>7848</v>
      </c>
      <c r="C451" s="24" t="s">
        <v>3526</v>
      </c>
      <c r="D451" s="23" t="s">
        <v>7854</v>
      </c>
      <c r="E451" s="23" t="s">
        <v>68</v>
      </c>
      <c r="F451" s="23" t="s">
        <v>105</v>
      </c>
      <c r="G451" s="25">
        <v>8.968696041E9</v>
      </c>
    </row>
    <row r="452" ht="22.5" customHeight="1">
      <c r="A452" s="18" t="s">
        <v>3379</v>
      </c>
      <c r="B452" s="19" t="s">
        <v>7860</v>
      </c>
      <c r="C452" s="20" t="s">
        <v>3380</v>
      </c>
      <c r="D452" s="19" t="s">
        <v>7864</v>
      </c>
      <c r="E452" s="19" t="s">
        <v>37</v>
      </c>
      <c r="F452" s="19" t="s">
        <v>105</v>
      </c>
      <c r="G452" s="21">
        <v>8.178033088E9</v>
      </c>
    </row>
    <row r="453" ht="22.5" customHeight="1">
      <c r="A453" s="22" t="s">
        <v>6212</v>
      </c>
      <c r="B453" s="23" t="s">
        <v>7875</v>
      </c>
      <c r="C453" s="24" t="s">
        <v>6213</v>
      </c>
      <c r="D453" s="23" t="s">
        <v>7878</v>
      </c>
      <c r="E453" s="23" t="s">
        <v>1002</v>
      </c>
      <c r="F453" s="23" t="s">
        <v>105</v>
      </c>
      <c r="G453" s="25">
        <v>8.427488819E9</v>
      </c>
    </row>
    <row r="454" ht="22.5" customHeight="1">
      <c r="A454" s="18" t="s">
        <v>7884</v>
      </c>
      <c r="B454" s="19" t="s">
        <v>7887</v>
      </c>
      <c r="C454" s="20" t="s">
        <v>7892</v>
      </c>
      <c r="D454" s="19" t="s">
        <v>7894</v>
      </c>
      <c r="E454" s="19" t="s">
        <v>7898</v>
      </c>
      <c r="F454" s="19" t="s">
        <v>105</v>
      </c>
      <c r="G454" s="21">
        <v>8.885813E9</v>
      </c>
    </row>
    <row r="455" ht="22.5" customHeight="1">
      <c r="A455" s="22" t="s">
        <v>7908</v>
      </c>
      <c r="B455" s="23" t="s">
        <v>7909</v>
      </c>
      <c r="C455" s="24" t="s">
        <v>893</v>
      </c>
      <c r="D455" s="23" t="s">
        <v>7914</v>
      </c>
      <c r="E455" s="23" t="s">
        <v>52</v>
      </c>
      <c r="F455" s="23" t="s">
        <v>105</v>
      </c>
      <c r="G455" s="25">
        <v>9.389265835E9</v>
      </c>
    </row>
    <row r="456" ht="22.5" customHeight="1">
      <c r="A456" s="18" t="s">
        <v>7923</v>
      </c>
      <c r="B456" s="19" t="s">
        <v>7927</v>
      </c>
      <c r="C456" s="20" t="s">
        <v>4977</v>
      </c>
      <c r="D456" s="19" t="s">
        <v>7940</v>
      </c>
      <c r="E456" s="19" t="s">
        <v>346</v>
      </c>
      <c r="F456" s="19" t="s">
        <v>105</v>
      </c>
      <c r="G456" s="21">
        <v>8.850203368E9</v>
      </c>
    </row>
    <row r="457" ht="22.5" customHeight="1">
      <c r="A457" s="22" t="s">
        <v>5145</v>
      </c>
      <c r="B457" s="23" t="s">
        <v>7951</v>
      </c>
      <c r="C457" s="24" t="s">
        <v>2305</v>
      </c>
      <c r="D457" s="23" t="s">
        <v>7956</v>
      </c>
      <c r="E457" s="23" t="s">
        <v>219</v>
      </c>
      <c r="F457" s="23" t="s">
        <v>105</v>
      </c>
      <c r="G457" s="25">
        <v>7.901802432E9</v>
      </c>
    </row>
    <row r="458" ht="22.5" customHeight="1">
      <c r="A458" s="18" t="s">
        <v>5555</v>
      </c>
      <c r="B458" s="19" t="s">
        <v>5552</v>
      </c>
      <c r="C458" s="20" t="s">
        <v>5556</v>
      </c>
      <c r="D458" s="19" t="s">
        <v>7968</v>
      </c>
      <c r="E458" s="19" t="s">
        <v>689</v>
      </c>
      <c r="F458" s="19" t="s">
        <v>105</v>
      </c>
      <c r="G458" s="21">
        <v>9.888321905E9</v>
      </c>
    </row>
    <row r="459" ht="22.5" customHeight="1">
      <c r="A459" s="22" t="s">
        <v>6500</v>
      </c>
      <c r="B459" s="23" t="s">
        <v>7979</v>
      </c>
      <c r="C459" s="24" t="s">
        <v>6501</v>
      </c>
      <c r="D459" s="23" t="s">
        <v>7984</v>
      </c>
      <c r="E459" s="23" t="s">
        <v>47</v>
      </c>
      <c r="F459" s="23" t="s">
        <v>105</v>
      </c>
      <c r="G459" s="25">
        <v>8.899304493E9</v>
      </c>
    </row>
    <row r="460" ht="22.5" customHeight="1">
      <c r="A460" s="18" t="s">
        <v>6973</v>
      </c>
      <c r="B460" s="19" t="s">
        <v>7996</v>
      </c>
      <c r="C460" s="20" t="s">
        <v>6974</v>
      </c>
      <c r="D460" s="19" t="s">
        <v>7997</v>
      </c>
      <c r="E460" s="19" t="s">
        <v>3956</v>
      </c>
      <c r="F460" s="19" t="s">
        <v>105</v>
      </c>
      <c r="G460" s="21">
        <v>8.847593511E9</v>
      </c>
    </row>
    <row r="461" ht="22.5" customHeight="1">
      <c r="A461" s="22" t="s">
        <v>5269</v>
      </c>
      <c r="B461" s="23" t="s">
        <v>8010</v>
      </c>
      <c r="C461" s="24" t="s">
        <v>2571</v>
      </c>
      <c r="D461" s="23" t="s">
        <v>8015</v>
      </c>
      <c r="E461" s="23" t="s">
        <v>1071</v>
      </c>
      <c r="F461" s="23" t="s">
        <v>105</v>
      </c>
      <c r="G461" s="25">
        <v>7.409740931E9</v>
      </c>
    </row>
    <row r="462" ht="22.5" customHeight="1">
      <c r="A462" s="18" t="s">
        <v>5587</v>
      </c>
      <c r="B462" s="19" t="s">
        <v>5585</v>
      </c>
      <c r="C462" s="20" t="s">
        <v>5588</v>
      </c>
      <c r="D462" s="19" t="s">
        <v>8034</v>
      </c>
      <c r="E462" s="19" t="s">
        <v>689</v>
      </c>
      <c r="F462" s="19" t="s">
        <v>105</v>
      </c>
      <c r="G462" s="21">
        <v>8.837842063E9</v>
      </c>
    </row>
    <row r="463" ht="22.5" customHeight="1">
      <c r="A463" s="22" t="s">
        <v>8043</v>
      </c>
      <c r="B463" s="23" t="s">
        <v>8045</v>
      </c>
      <c r="C463" s="24" t="s">
        <v>2457</v>
      </c>
      <c r="D463" s="23" t="s">
        <v>8047</v>
      </c>
      <c r="E463" s="23" t="s">
        <v>184</v>
      </c>
      <c r="F463" s="23" t="s">
        <v>105</v>
      </c>
      <c r="G463" s="25">
        <v>7.9887294E9</v>
      </c>
    </row>
    <row r="464" ht="22.5" customHeight="1">
      <c r="A464" s="18" t="s">
        <v>5393</v>
      </c>
      <c r="B464" s="19" t="s">
        <v>8057</v>
      </c>
      <c r="C464" s="20" t="s">
        <v>2941</v>
      </c>
      <c r="D464" s="19" t="s">
        <v>8064</v>
      </c>
      <c r="E464" s="19" t="s">
        <v>1622</v>
      </c>
      <c r="F464" s="19" t="s">
        <v>105</v>
      </c>
      <c r="G464" s="29"/>
    </row>
    <row r="465" ht="22.5" customHeight="1">
      <c r="A465" s="22" t="s">
        <v>3998</v>
      </c>
      <c r="B465" s="23" t="s">
        <v>8083</v>
      </c>
      <c r="C465" s="24" t="s">
        <v>3999</v>
      </c>
      <c r="D465" s="23" t="s">
        <v>8092</v>
      </c>
      <c r="E465" s="23" t="s">
        <v>314</v>
      </c>
      <c r="F465" s="23" t="s">
        <v>105</v>
      </c>
      <c r="G465" s="25">
        <v>9.138451352E9</v>
      </c>
    </row>
    <row r="466" ht="22.5" customHeight="1">
      <c r="A466" s="18" t="s">
        <v>7498</v>
      </c>
      <c r="B466" s="19" t="s">
        <v>7496</v>
      </c>
      <c r="C466" s="20" t="s">
        <v>7499</v>
      </c>
      <c r="D466" s="19" t="s">
        <v>8110</v>
      </c>
      <c r="E466" s="19" t="s">
        <v>756</v>
      </c>
      <c r="F466" s="19" t="s">
        <v>105</v>
      </c>
      <c r="G466" s="21">
        <v>7.62586917E9</v>
      </c>
    </row>
    <row r="467" ht="22.5" customHeight="1">
      <c r="A467" s="22" t="s">
        <v>2818</v>
      </c>
      <c r="B467" s="23" t="s">
        <v>8121</v>
      </c>
      <c r="C467" s="24" t="s">
        <v>2819</v>
      </c>
      <c r="D467" s="23" t="s">
        <v>2818</v>
      </c>
      <c r="E467" s="23" t="s">
        <v>265</v>
      </c>
      <c r="F467" s="23" t="s">
        <v>105</v>
      </c>
      <c r="G467" s="25">
        <v>9.3064614E9</v>
      </c>
    </row>
    <row r="468" ht="22.5" customHeight="1">
      <c r="A468" s="18" t="s">
        <v>7304</v>
      </c>
      <c r="B468" s="19" t="s">
        <v>8136</v>
      </c>
      <c r="C468" s="20" t="s">
        <v>7305</v>
      </c>
      <c r="D468" s="19" t="s">
        <v>8140</v>
      </c>
      <c r="E468" s="19" t="s">
        <v>1561</v>
      </c>
      <c r="F468" s="19" t="s">
        <v>105</v>
      </c>
      <c r="G468" s="21">
        <v>7.878772807E9</v>
      </c>
    </row>
    <row r="469" ht="22.5" customHeight="1">
      <c r="A469" s="22" t="s">
        <v>6699</v>
      </c>
      <c r="B469" s="23" t="s">
        <v>8156</v>
      </c>
      <c r="C469" s="24" t="s">
        <v>6700</v>
      </c>
      <c r="D469" s="23" t="s">
        <v>8160</v>
      </c>
      <c r="E469" s="23" t="s">
        <v>98</v>
      </c>
      <c r="F469" s="23" t="s">
        <v>105</v>
      </c>
      <c r="G469" s="25">
        <v>9.95886976E9</v>
      </c>
    </row>
    <row r="470" ht="22.5" customHeight="1">
      <c r="A470" s="18" t="s">
        <v>591</v>
      </c>
      <c r="B470" s="19" t="s">
        <v>588</v>
      </c>
      <c r="C470" s="20" t="s">
        <v>592</v>
      </c>
      <c r="D470" s="19" t="s">
        <v>8174</v>
      </c>
      <c r="E470" s="19" t="s">
        <v>81</v>
      </c>
      <c r="F470" s="19" t="s">
        <v>105</v>
      </c>
      <c r="G470" s="21">
        <v>8.003021958E9</v>
      </c>
    </row>
    <row r="471" ht="22.5" customHeight="1">
      <c r="A471" s="22" t="s">
        <v>8183</v>
      </c>
      <c r="B471" s="23" t="s">
        <v>8184</v>
      </c>
      <c r="C471" s="24" t="s">
        <v>1176</v>
      </c>
      <c r="D471" s="23" t="s">
        <v>8188</v>
      </c>
      <c r="E471" s="23" t="s">
        <v>1149</v>
      </c>
      <c r="F471" s="23" t="s">
        <v>105</v>
      </c>
      <c r="G471" s="25">
        <v>7.973289146E9</v>
      </c>
    </row>
    <row r="472" ht="22.5" customHeight="1">
      <c r="A472" s="18" t="s">
        <v>7346</v>
      </c>
      <c r="B472" s="19" t="s">
        <v>8196</v>
      </c>
      <c r="C472" s="20" t="s">
        <v>7347</v>
      </c>
      <c r="D472" s="19" t="s">
        <v>8199</v>
      </c>
      <c r="E472" s="19" t="s">
        <v>523</v>
      </c>
      <c r="F472" s="19" t="s">
        <v>105</v>
      </c>
      <c r="G472" s="21">
        <v>7.00909448E9</v>
      </c>
    </row>
    <row r="473" ht="22.5" customHeight="1">
      <c r="A473" s="22" t="s">
        <v>8209</v>
      </c>
      <c r="B473" s="23" t="s">
        <v>8213</v>
      </c>
      <c r="C473" s="24" t="s">
        <v>5002</v>
      </c>
      <c r="D473" s="23" t="s">
        <v>8209</v>
      </c>
      <c r="E473" s="23" t="s">
        <v>346</v>
      </c>
      <c r="F473" s="23" t="s">
        <v>105</v>
      </c>
      <c r="G473" s="25">
        <v>9.315742978E9</v>
      </c>
    </row>
    <row r="474" ht="22.5" customHeight="1">
      <c r="A474" s="18" t="s">
        <v>6938</v>
      </c>
      <c r="B474" s="19" t="s">
        <v>8227</v>
      </c>
      <c r="C474" s="20" t="s">
        <v>6939</v>
      </c>
      <c r="D474" s="19" t="s">
        <v>8232</v>
      </c>
      <c r="E474" s="19" t="s">
        <v>1946</v>
      </c>
      <c r="F474" s="19" t="s">
        <v>105</v>
      </c>
      <c r="G474" s="21">
        <v>8.837772699E9</v>
      </c>
    </row>
    <row r="475" ht="22.5" customHeight="1">
      <c r="A475" s="22" t="s">
        <v>2828</v>
      </c>
      <c r="B475" s="23" t="s">
        <v>8241</v>
      </c>
      <c r="C475" s="24" t="s">
        <v>2830</v>
      </c>
      <c r="D475" s="23" t="s">
        <v>8245</v>
      </c>
      <c r="E475" s="23" t="s">
        <v>265</v>
      </c>
      <c r="F475" s="23" t="s">
        <v>105</v>
      </c>
      <c r="G475" s="25">
        <v>6.283929304E9</v>
      </c>
    </row>
    <row r="476" ht="22.5" customHeight="1">
      <c r="A476" s="18" t="s">
        <v>4292</v>
      </c>
      <c r="B476" s="19" t="s">
        <v>8259</v>
      </c>
      <c r="C476" s="20" t="s">
        <v>4293</v>
      </c>
      <c r="D476" s="19" t="s">
        <v>8263</v>
      </c>
      <c r="E476" s="19" t="s">
        <v>1737</v>
      </c>
      <c r="F476" s="19" t="s">
        <v>105</v>
      </c>
      <c r="G476" s="21">
        <v>9.517821093E9</v>
      </c>
    </row>
    <row r="477" ht="22.5" customHeight="1">
      <c r="A477" s="22" t="s">
        <v>8268</v>
      </c>
      <c r="B477" s="23" t="s">
        <v>8272</v>
      </c>
      <c r="C477" s="24" t="s">
        <v>8275</v>
      </c>
      <c r="D477" s="23" t="s">
        <v>8268</v>
      </c>
      <c r="E477" s="23" t="s">
        <v>100</v>
      </c>
      <c r="F477" s="23" t="s">
        <v>105</v>
      </c>
      <c r="G477" s="25">
        <v>8.741867704E9</v>
      </c>
    </row>
    <row r="478" ht="22.5" customHeight="1">
      <c r="A478" s="18" t="s">
        <v>4758</v>
      </c>
      <c r="B478" s="19" t="s">
        <v>8286</v>
      </c>
      <c r="C478" s="20" t="s">
        <v>4759</v>
      </c>
      <c r="D478" s="19" t="s">
        <v>8291</v>
      </c>
      <c r="E478" s="19" t="s">
        <v>506</v>
      </c>
      <c r="F478" s="19" t="s">
        <v>105</v>
      </c>
      <c r="G478" s="21">
        <v>7.011456706E9</v>
      </c>
    </row>
    <row r="479" ht="22.5" customHeight="1">
      <c r="A479" s="22" t="s">
        <v>8300</v>
      </c>
      <c r="B479" s="23" t="s">
        <v>8302</v>
      </c>
      <c r="C479" s="24" t="s">
        <v>1645</v>
      </c>
      <c r="D479" s="23" t="s">
        <v>8306</v>
      </c>
      <c r="E479" s="23" t="s">
        <v>75</v>
      </c>
      <c r="F479" s="23" t="s">
        <v>105</v>
      </c>
      <c r="G479" s="25">
        <v>9.876609446E9</v>
      </c>
    </row>
    <row r="480" ht="22.5" customHeight="1">
      <c r="A480" s="30" t="s">
        <v>8013</v>
      </c>
      <c r="B480" s="19" t="s">
        <v>8312</v>
      </c>
      <c r="C480" s="20" t="s">
        <v>8014</v>
      </c>
      <c r="D480" s="19" t="s">
        <v>8317</v>
      </c>
      <c r="E480" s="19" t="s">
        <v>4200</v>
      </c>
      <c r="F480" s="19" t="s">
        <v>105</v>
      </c>
      <c r="G480" s="21">
        <v>9.877626678E9</v>
      </c>
    </row>
    <row r="481" ht="22.5" customHeight="1">
      <c r="A481" s="22" t="s">
        <v>8323</v>
      </c>
      <c r="B481" s="23" t="s">
        <v>8324</v>
      </c>
      <c r="C481" s="24" t="s">
        <v>2912</v>
      </c>
      <c r="D481" s="23" t="s">
        <v>8329</v>
      </c>
      <c r="E481" s="23" t="s">
        <v>1622</v>
      </c>
      <c r="F481" s="23" t="s">
        <v>105</v>
      </c>
      <c r="G481" s="25">
        <v>9.815934904E9</v>
      </c>
    </row>
    <row r="482" ht="22.5" customHeight="1">
      <c r="A482" s="18" t="s">
        <v>1492</v>
      </c>
      <c r="B482" s="19" t="s">
        <v>8337</v>
      </c>
      <c r="C482" s="20" t="s">
        <v>1493</v>
      </c>
      <c r="D482" s="19" t="s">
        <v>8341</v>
      </c>
      <c r="E482" s="19" t="s">
        <v>75</v>
      </c>
      <c r="F482" s="19" t="s">
        <v>105</v>
      </c>
      <c r="G482" s="21">
        <v>7.707873628E9</v>
      </c>
    </row>
    <row r="483" ht="22.5" customHeight="1">
      <c r="A483" s="22" t="s">
        <v>4967</v>
      </c>
      <c r="B483" s="23" t="s">
        <v>8350</v>
      </c>
      <c r="C483" s="24" t="s">
        <v>4968</v>
      </c>
      <c r="D483" s="23" t="s">
        <v>8354</v>
      </c>
      <c r="E483" s="23" t="s">
        <v>346</v>
      </c>
      <c r="F483" s="23" t="s">
        <v>105</v>
      </c>
      <c r="G483" s="25">
        <v>6.3888578E9</v>
      </c>
    </row>
    <row r="484" ht="22.5" customHeight="1">
      <c r="A484" s="18" t="s">
        <v>225</v>
      </c>
      <c r="B484" s="19" t="s">
        <v>8365</v>
      </c>
      <c r="C484" s="20" t="s">
        <v>226</v>
      </c>
      <c r="D484" s="19" t="s">
        <v>8370</v>
      </c>
      <c r="E484" s="19" t="s">
        <v>227</v>
      </c>
      <c r="F484" s="19" t="s">
        <v>105</v>
      </c>
      <c r="G484" s="21">
        <v>9.463050218E9</v>
      </c>
    </row>
    <row r="485" ht="22.5" customHeight="1">
      <c r="A485" s="22" t="s">
        <v>2969</v>
      </c>
      <c r="B485" s="23" t="s">
        <v>8383</v>
      </c>
      <c r="C485" s="24" t="s">
        <v>2971</v>
      </c>
      <c r="D485" s="23" t="s">
        <v>8385</v>
      </c>
      <c r="E485" s="23" t="s">
        <v>604</v>
      </c>
      <c r="F485" s="23" t="s">
        <v>105</v>
      </c>
      <c r="G485" s="25">
        <v>9.350624575E9</v>
      </c>
    </row>
    <row r="486" ht="22.5" customHeight="1">
      <c r="A486" s="18" t="s">
        <v>8391</v>
      </c>
      <c r="B486" s="19" t="s">
        <v>8392</v>
      </c>
      <c r="C486" s="20" t="s">
        <v>2888</v>
      </c>
      <c r="D486" s="19" t="s">
        <v>8394</v>
      </c>
      <c r="E486" s="19" t="s">
        <v>1379</v>
      </c>
      <c r="F486" s="19" t="s">
        <v>105</v>
      </c>
      <c r="G486" s="21">
        <v>9.888693065E9</v>
      </c>
    </row>
    <row r="487" ht="22.5" customHeight="1">
      <c r="A487" s="22" t="s">
        <v>115</v>
      </c>
      <c r="B487" s="23" t="s">
        <v>112</v>
      </c>
      <c r="C487" s="24" t="s">
        <v>116</v>
      </c>
      <c r="D487" s="23" t="s">
        <v>8412</v>
      </c>
      <c r="E487" s="23" t="s">
        <v>106</v>
      </c>
      <c r="F487" s="23" t="s">
        <v>105</v>
      </c>
      <c r="G487" s="25">
        <v>7.814106194E9</v>
      </c>
    </row>
    <row r="488" ht="22.5" customHeight="1">
      <c r="A488" s="18" t="s">
        <v>3356</v>
      </c>
      <c r="B488" s="19" t="s">
        <v>8422</v>
      </c>
      <c r="C488" s="20" t="s">
        <v>3357</v>
      </c>
      <c r="D488" s="19" t="s">
        <v>8425</v>
      </c>
      <c r="E488" s="19" t="s">
        <v>524</v>
      </c>
      <c r="F488" s="19" t="s">
        <v>105</v>
      </c>
      <c r="G488" s="21">
        <v>9.888300938E9</v>
      </c>
    </row>
    <row r="489" ht="22.5" customHeight="1">
      <c r="A489" s="22" t="s">
        <v>8431</v>
      </c>
      <c r="B489" s="23" t="s">
        <v>8434</v>
      </c>
      <c r="C489" s="24" t="s">
        <v>6943</v>
      </c>
      <c r="D489" s="23" t="s">
        <v>8439</v>
      </c>
      <c r="E489" s="23" t="s">
        <v>1946</v>
      </c>
      <c r="F489" s="23" t="s">
        <v>105</v>
      </c>
      <c r="G489" s="25">
        <v>9.896227773E9</v>
      </c>
    </row>
    <row r="490" ht="22.5" customHeight="1">
      <c r="A490" s="18" t="s">
        <v>7007</v>
      </c>
      <c r="B490" s="19" t="s">
        <v>8451</v>
      </c>
      <c r="C490" s="20" t="s">
        <v>7009</v>
      </c>
      <c r="D490" s="19" t="s">
        <v>8456</v>
      </c>
      <c r="E490" s="19" t="s">
        <v>3956</v>
      </c>
      <c r="F490" s="19" t="s">
        <v>105</v>
      </c>
      <c r="G490" s="21">
        <v>9.873336702E9</v>
      </c>
    </row>
    <row r="491" ht="22.5" customHeight="1">
      <c r="A491" s="22" t="s">
        <v>50</v>
      </c>
      <c r="B491" s="23" t="s">
        <v>48</v>
      </c>
      <c r="C491" s="24" t="s">
        <v>51</v>
      </c>
      <c r="D491" s="23" t="s">
        <v>8470</v>
      </c>
      <c r="E491" s="23" t="s">
        <v>52</v>
      </c>
      <c r="F491" s="23" t="s">
        <v>105</v>
      </c>
      <c r="G491" s="25">
        <v>7.719473894E9</v>
      </c>
    </row>
    <row r="492" ht="22.5" customHeight="1">
      <c r="A492" s="18" t="s">
        <v>557</v>
      </c>
      <c r="B492" s="19" t="s">
        <v>8478</v>
      </c>
      <c r="C492" s="20" t="s">
        <v>558</v>
      </c>
      <c r="D492" s="19" t="s">
        <v>8487</v>
      </c>
      <c r="E492" s="19" t="s">
        <v>559</v>
      </c>
      <c r="F492" s="19" t="s">
        <v>105</v>
      </c>
      <c r="G492" s="21">
        <v>9.501034664E9</v>
      </c>
    </row>
    <row r="493" ht="22.5" customHeight="1">
      <c r="A493" s="22" t="s">
        <v>5309</v>
      </c>
      <c r="B493" s="23" t="s">
        <v>8494</v>
      </c>
      <c r="C493" s="24" t="s">
        <v>2683</v>
      </c>
      <c r="D493" s="23" t="s">
        <v>8502</v>
      </c>
      <c r="E493" s="23" t="s">
        <v>1071</v>
      </c>
      <c r="F493" s="23" t="s">
        <v>105</v>
      </c>
      <c r="G493" s="25">
        <v>7.986132499E9</v>
      </c>
    </row>
    <row r="494" ht="22.5" customHeight="1">
      <c r="A494" s="18" t="s">
        <v>7325</v>
      </c>
      <c r="B494" s="19" t="s">
        <v>8515</v>
      </c>
      <c r="C494" s="20" t="s">
        <v>7326</v>
      </c>
      <c r="D494" s="19" t="s">
        <v>8518</v>
      </c>
      <c r="E494" s="19" t="s">
        <v>1561</v>
      </c>
      <c r="F494" s="19" t="s">
        <v>105</v>
      </c>
      <c r="G494" s="21">
        <v>8.236043999E9</v>
      </c>
    </row>
    <row r="495" ht="22.5" customHeight="1">
      <c r="A495" s="22" t="s">
        <v>3446</v>
      </c>
      <c r="B495" s="23" t="s">
        <v>8528</v>
      </c>
      <c r="C495" s="24" t="s">
        <v>3447</v>
      </c>
      <c r="D495" s="23" t="s">
        <v>8533</v>
      </c>
      <c r="E495" s="23" t="s">
        <v>37</v>
      </c>
      <c r="F495" s="23" t="s">
        <v>105</v>
      </c>
      <c r="G495" s="25">
        <v>9.766224777E9</v>
      </c>
    </row>
    <row r="496" ht="22.5" customHeight="1">
      <c r="A496" s="18" t="s">
        <v>6547</v>
      </c>
      <c r="B496" s="19" t="s">
        <v>8547</v>
      </c>
      <c r="C496" s="20" t="s">
        <v>6548</v>
      </c>
      <c r="D496" s="19" t="s">
        <v>8552</v>
      </c>
      <c r="E496" s="19" t="s">
        <v>47</v>
      </c>
      <c r="F496" s="19" t="s">
        <v>105</v>
      </c>
      <c r="G496" s="21">
        <v>9.354941719E9</v>
      </c>
    </row>
    <row r="497" ht="22.5" customHeight="1">
      <c r="A497" s="22" t="s">
        <v>6815</v>
      </c>
      <c r="B497" s="23" t="s">
        <v>8569</v>
      </c>
      <c r="C497" s="24" t="s">
        <v>6816</v>
      </c>
      <c r="D497" s="23" t="s">
        <v>8571</v>
      </c>
      <c r="E497" s="23" t="s">
        <v>469</v>
      </c>
      <c r="F497" s="23" t="s">
        <v>105</v>
      </c>
      <c r="G497" s="25">
        <v>7.455842286E9</v>
      </c>
    </row>
    <row r="498" ht="22.5" customHeight="1">
      <c r="A498" s="18" t="s">
        <v>5933</v>
      </c>
      <c r="B498" s="19" t="s">
        <v>8581</v>
      </c>
      <c r="C498" s="20" t="s">
        <v>5934</v>
      </c>
      <c r="D498" s="19" t="s">
        <v>8586</v>
      </c>
      <c r="E498" s="19" t="s">
        <v>277</v>
      </c>
      <c r="F498" s="19" t="s">
        <v>105</v>
      </c>
      <c r="G498" s="21">
        <v>9.878575013E9</v>
      </c>
    </row>
    <row r="499" ht="22.5" customHeight="1">
      <c r="A499" s="22" t="s">
        <v>4078</v>
      </c>
      <c r="B499" s="23" t="s">
        <v>8592</v>
      </c>
      <c r="C499" s="24" t="s">
        <v>4079</v>
      </c>
      <c r="D499" s="23" t="s">
        <v>8597</v>
      </c>
      <c r="E499" s="23" t="s">
        <v>314</v>
      </c>
      <c r="F499" s="23" t="s">
        <v>105</v>
      </c>
      <c r="G499" s="25">
        <v>9.876040051E9</v>
      </c>
    </row>
    <row r="500" ht="22.5" customHeight="1">
      <c r="A500" s="18" t="s">
        <v>6244</v>
      </c>
      <c r="B500" s="19" t="s">
        <v>8608</v>
      </c>
      <c r="C500" s="20" t="s">
        <v>6245</v>
      </c>
      <c r="D500" s="19" t="s">
        <v>8613</v>
      </c>
      <c r="E500" s="19" t="s">
        <v>255</v>
      </c>
      <c r="F500" s="19" t="s">
        <v>105</v>
      </c>
      <c r="G500" s="21">
        <v>7.717218054E9</v>
      </c>
    </row>
    <row r="501" ht="22.5" customHeight="1">
      <c r="A501" s="22" t="s">
        <v>1743</v>
      </c>
      <c r="B501" s="23" t="s">
        <v>8625</v>
      </c>
      <c r="C501" s="24" t="s">
        <v>1745</v>
      </c>
      <c r="D501" s="23" t="s">
        <v>8631</v>
      </c>
      <c r="E501" s="23" t="s">
        <v>1653</v>
      </c>
      <c r="F501" s="23" t="s">
        <v>105</v>
      </c>
      <c r="G501" s="25">
        <v>9.20500139E9</v>
      </c>
    </row>
    <row r="502" ht="22.5" customHeight="1">
      <c r="A502" s="18" t="s">
        <v>4657</v>
      </c>
      <c r="B502" s="19" t="s">
        <v>8642</v>
      </c>
      <c r="C502" s="20" t="s">
        <v>4658</v>
      </c>
      <c r="D502" s="19" t="s">
        <v>8647</v>
      </c>
      <c r="E502" s="19" t="s">
        <v>506</v>
      </c>
      <c r="F502" s="19" t="s">
        <v>105</v>
      </c>
      <c r="G502" s="21">
        <v>9.518796193E9</v>
      </c>
    </row>
    <row r="503" ht="22.5" customHeight="1">
      <c r="A503" s="22" t="s">
        <v>6487</v>
      </c>
      <c r="B503" s="23" t="s">
        <v>8657</v>
      </c>
      <c r="C503" s="24" t="s">
        <v>6488</v>
      </c>
      <c r="D503" s="23" t="s">
        <v>8666</v>
      </c>
      <c r="E503" s="23" t="s">
        <v>2970</v>
      </c>
      <c r="F503" s="23" t="s">
        <v>105</v>
      </c>
      <c r="G503" s="25">
        <v>9.990523048E9</v>
      </c>
    </row>
    <row r="504" ht="22.5" customHeight="1">
      <c r="A504" s="18" t="s">
        <v>5438</v>
      </c>
      <c r="B504" s="19" t="s">
        <v>8676</v>
      </c>
      <c r="C504" s="20" t="s">
        <v>3068</v>
      </c>
      <c r="D504" s="19" t="s">
        <v>8681</v>
      </c>
      <c r="E504" s="19" t="s">
        <v>1622</v>
      </c>
      <c r="F504" s="19" t="s">
        <v>105</v>
      </c>
      <c r="G504" s="21">
        <v>8.287914652E9</v>
      </c>
    </row>
    <row r="505" ht="22.5" customHeight="1">
      <c r="A505" s="22" t="s">
        <v>7354</v>
      </c>
      <c r="B505" s="23" t="s">
        <v>8698</v>
      </c>
      <c r="C505" s="24" t="s">
        <v>7355</v>
      </c>
      <c r="D505" s="23" t="s">
        <v>8703</v>
      </c>
      <c r="E505" s="23" t="s">
        <v>523</v>
      </c>
      <c r="F505" s="23" t="s">
        <v>105</v>
      </c>
      <c r="G505" s="25">
        <v>6.296436578E9</v>
      </c>
    </row>
    <row r="506" ht="22.5" customHeight="1">
      <c r="A506" s="18" t="s">
        <v>8706</v>
      </c>
      <c r="B506" s="19" t="s">
        <v>8708</v>
      </c>
      <c r="C506" s="20" t="s">
        <v>3840</v>
      </c>
      <c r="D506" s="19" t="s">
        <v>8712</v>
      </c>
      <c r="E506" s="19" t="s">
        <v>221</v>
      </c>
      <c r="F506" s="19" t="s">
        <v>105</v>
      </c>
      <c r="G506" s="21">
        <v>9.041024424E9</v>
      </c>
    </row>
    <row r="507" ht="22.5" customHeight="1">
      <c r="A507" s="22" t="s">
        <v>2213</v>
      </c>
      <c r="B507" s="23" t="s">
        <v>8725</v>
      </c>
      <c r="C507" s="24" t="s">
        <v>2214</v>
      </c>
      <c r="D507" s="23" t="s">
        <v>8729</v>
      </c>
      <c r="E507" s="23" t="s">
        <v>304</v>
      </c>
      <c r="F507" s="23" t="s">
        <v>105</v>
      </c>
      <c r="G507" s="25">
        <v>7.652973856E9</v>
      </c>
    </row>
    <row r="508" ht="22.5" customHeight="1">
      <c r="A508" s="18" t="s">
        <v>8736</v>
      </c>
      <c r="B508" s="19" t="s">
        <v>8740</v>
      </c>
      <c r="C508" s="20" t="s">
        <v>7443</v>
      </c>
      <c r="D508" s="19" t="s">
        <v>8748</v>
      </c>
      <c r="E508" s="19" t="s">
        <v>523</v>
      </c>
      <c r="F508" s="19" t="s">
        <v>105</v>
      </c>
      <c r="G508" s="21">
        <v>9.998730067E9</v>
      </c>
    </row>
    <row r="509" ht="22.5" customHeight="1">
      <c r="A509" s="22" t="s">
        <v>8544</v>
      </c>
      <c r="B509" s="23" t="s">
        <v>8542</v>
      </c>
      <c r="C509" s="24" t="s">
        <v>8545</v>
      </c>
      <c r="D509" s="23" t="s">
        <v>8760</v>
      </c>
      <c r="E509" s="23" t="s">
        <v>1607</v>
      </c>
      <c r="F509" s="23" t="s">
        <v>105</v>
      </c>
      <c r="G509" s="25">
        <v>9.056508331E9</v>
      </c>
    </row>
    <row r="510" ht="22.5" customHeight="1">
      <c r="A510" s="18" t="s">
        <v>7155</v>
      </c>
      <c r="B510" s="19" t="s">
        <v>8773</v>
      </c>
      <c r="C510" s="20" t="s">
        <v>7156</v>
      </c>
      <c r="D510" s="19" t="s">
        <v>8778</v>
      </c>
      <c r="E510" s="19" t="s">
        <v>1326</v>
      </c>
      <c r="F510" s="19" t="s">
        <v>105</v>
      </c>
      <c r="G510" s="21">
        <v>7.719580072E9</v>
      </c>
    </row>
    <row r="511" ht="22.5" customHeight="1">
      <c r="A511" s="22" t="s">
        <v>4222</v>
      </c>
      <c r="B511" s="23" t="s">
        <v>8791</v>
      </c>
      <c r="C511" s="24" t="s">
        <v>4223</v>
      </c>
      <c r="D511" s="23" t="s">
        <v>8801</v>
      </c>
      <c r="E511" s="23" t="s">
        <v>1737</v>
      </c>
      <c r="F511" s="23" t="s">
        <v>105</v>
      </c>
      <c r="G511" s="25">
        <v>6.375205688E9</v>
      </c>
    </row>
    <row r="512" ht="22.5" customHeight="1">
      <c r="A512" s="18" t="s">
        <v>1383</v>
      </c>
      <c r="B512" s="19" t="s">
        <v>8811</v>
      </c>
      <c r="C512" s="20" t="s">
        <v>1384</v>
      </c>
      <c r="D512" s="19" t="s">
        <v>1383</v>
      </c>
      <c r="E512" s="19" t="s">
        <v>389</v>
      </c>
      <c r="F512" s="19" t="s">
        <v>105</v>
      </c>
      <c r="G512" s="21">
        <v>9.815690533E9</v>
      </c>
    </row>
    <row r="513" ht="22.5" customHeight="1">
      <c r="A513" s="22" t="s">
        <v>4493</v>
      </c>
      <c r="B513" s="23" t="s">
        <v>8824</v>
      </c>
      <c r="C513" s="24" t="s">
        <v>4494</v>
      </c>
      <c r="D513" s="23" t="s">
        <v>8833</v>
      </c>
      <c r="E513" s="23" t="s">
        <v>617</v>
      </c>
      <c r="F513" s="23" t="s">
        <v>105</v>
      </c>
      <c r="G513" s="25">
        <v>9.711707115E9</v>
      </c>
    </row>
    <row r="514" ht="22.5" customHeight="1">
      <c r="A514" s="18" t="s">
        <v>8026</v>
      </c>
      <c r="B514" s="19" t="s">
        <v>8840</v>
      </c>
      <c r="C514" s="20" t="s">
        <v>8027</v>
      </c>
      <c r="D514" s="19" t="s">
        <v>8845</v>
      </c>
      <c r="E514" s="19" t="s">
        <v>559</v>
      </c>
      <c r="F514" s="19" t="s">
        <v>105</v>
      </c>
      <c r="G514" s="21">
        <v>7.208576613E9</v>
      </c>
    </row>
    <row r="515" ht="22.5" customHeight="1">
      <c r="A515" s="22" t="s">
        <v>3771</v>
      </c>
      <c r="B515" s="23" t="s">
        <v>8859</v>
      </c>
      <c r="C515" s="24" t="s">
        <v>3772</v>
      </c>
      <c r="D515" s="23" t="s">
        <v>8862</v>
      </c>
      <c r="E515" s="23" t="s">
        <v>221</v>
      </c>
      <c r="F515" s="23" t="s">
        <v>105</v>
      </c>
      <c r="G515" s="25">
        <v>8.386893604E9</v>
      </c>
    </row>
    <row r="516" ht="22.5" customHeight="1">
      <c r="A516" s="18" t="s">
        <v>8635</v>
      </c>
      <c r="B516" s="19" t="s">
        <v>8633</v>
      </c>
      <c r="C516" s="20" t="s">
        <v>8636</v>
      </c>
      <c r="D516" s="19" t="s">
        <v>8870</v>
      </c>
      <c r="E516" s="19" t="s">
        <v>100</v>
      </c>
      <c r="F516" s="19" t="s">
        <v>105</v>
      </c>
      <c r="G516" s="21">
        <v>9.8161243E9</v>
      </c>
    </row>
    <row r="517" ht="22.5" customHeight="1">
      <c r="A517" s="22" t="s">
        <v>2165</v>
      </c>
      <c r="B517" s="23" t="s">
        <v>8882</v>
      </c>
      <c r="C517" s="24" t="s">
        <v>2166</v>
      </c>
      <c r="D517" s="23" t="s">
        <v>8883</v>
      </c>
      <c r="E517" s="23" t="s">
        <v>304</v>
      </c>
      <c r="F517" s="23" t="s">
        <v>105</v>
      </c>
      <c r="G517" s="25">
        <v>9.315982473E9</v>
      </c>
    </row>
    <row r="518" ht="22.5" customHeight="1">
      <c r="A518" s="18" t="s">
        <v>1929</v>
      </c>
      <c r="B518" s="19" t="s">
        <v>8884</v>
      </c>
      <c r="C518" s="20" t="s">
        <v>1930</v>
      </c>
      <c r="D518" s="19" t="s">
        <v>8885</v>
      </c>
      <c r="E518" s="19" t="s">
        <v>782</v>
      </c>
      <c r="F518" s="19" t="s">
        <v>105</v>
      </c>
      <c r="G518" s="21">
        <v>9.914051472E9</v>
      </c>
    </row>
    <row r="519" ht="22.5" customHeight="1">
      <c r="A519" s="22" t="s">
        <v>8886</v>
      </c>
      <c r="B519" s="23" t="s">
        <v>8887</v>
      </c>
      <c r="C519" s="24" t="s">
        <v>8107</v>
      </c>
      <c r="D519" s="23" t="s">
        <v>8888</v>
      </c>
      <c r="E519" s="23" t="s">
        <v>4200</v>
      </c>
      <c r="F519" s="23" t="s">
        <v>105</v>
      </c>
      <c r="G519" s="25">
        <v>9.319566813E9</v>
      </c>
    </row>
    <row r="520" ht="22.5" customHeight="1">
      <c r="A520" s="18" t="s">
        <v>3902</v>
      </c>
      <c r="B520" s="19" t="s">
        <v>8890</v>
      </c>
      <c r="C520" s="20" t="s">
        <v>3903</v>
      </c>
      <c r="D520" s="19" t="s">
        <v>8891</v>
      </c>
      <c r="E520" s="19" t="s">
        <v>282</v>
      </c>
      <c r="F520" s="19" t="s">
        <v>105</v>
      </c>
      <c r="G520" s="21">
        <v>7.696684664E9</v>
      </c>
    </row>
    <row r="521" ht="22.5" customHeight="1">
      <c r="A521" s="22" t="s">
        <v>8892</v>
      </c>
      <c r="B521" s="23" t="s">
        <v>8893</v>
      </c>
      <c r="C521" s="24" t="s">
        <v>5528</v>
      </c>
      <c r="D521" s="23" t="s">
        <v>8894</v>
      </c>
      <c r="E521" s="23" t="s">
        <v>512</v>
      </c>
      <c r="F521" s="23" t="s">
        <v>105</v>
      </c>
      <c r="G521" s="25">
        <v>7.837173181E9</v>
      </c>
    </row>
    <row r="522" ht="22.5" customHeight="1">
      <c r="A522" s="18" t="s">
        <v>4959</v>
      </c>
      <c r="B522" s="19" t="s">
        <v>8895</v>
      </c>
      <c r="C522" s="20" t="s">
        <v>4960</v>
      </c>
      <c r="D522" s="19" t="s">
        <v>8896</v>
      </c>
      <c r="E522" s="19" t="s">
        <v>346</v>
      </c>
      <c r="F522" s="19" t="s">
        <v>105</v>
      </c>
      <c r="G522" s="21">
        <v>9.914162333E9</v>
      </c>
    </row>
    <row r="523" ht="22.5" customHeight="1">
      <c r="A523" s="22" t="s">
        <v>8102</v>
      </c>
      <c r="B523" s="23" t="s">
        <v>8897</v>
      </c>
      <c r="C523" s="24" t="s">
        <v>8103</v>
      </c>
      <c r="D523" s="23" t="s">
        <v>8102</v>
      </c>
      <c r="E523" s="23" t="s">
        <v>4200</v>
      </c>
      <c r="F523" s="23" t="s">
        <v>105</v>
      </c>
      <c r="G523" s="25">
        <v>8.570813871E9</v>
      </c>
    </row>
    <row r="524" ht="22.5" customHeight="1">
      <c r="A524" s="18" t="s">
        <v>8880</v>
      </c>
      <c r="B524" s="19" t="s">
        <v>8878</v>
      </c>
      <c r="C524" s="20" t="s">
        <v>8881</v>
      </c>
      <c r="D524" s="19" t="s">
        <v>8899</v>
      </c>
      <c r="E524" s="19" t="s">
        <v>100</v>
      </c>
      <c r="F524" s="19" t="s">
        <v>105</v>
      </c>
      <c r="G524" s="21">
        <v>9.256599394E9</v>
      </c>
    </row>
    <row r="525" ht="22.5" customHeight="1">
      <c r="A525" s="22" t="s">
        <v>1356</v>
      </c>
      <c r="B525" s="23" t="s">
        <v>8900</v>
      </c>
      <c r="C525" s="24" t="s">
        <v>1357</v>
      </c>
      <c r="D525" s="23" t="s">
        <v>8901</v>
      </c>
      <c r="E525" s="23" t="s">
        <v>389</v>
      </c>
      <c r="F525" s="23" t="s">
        <v>105</v>
      </c>
      <c r="G525" s="57"/>
    </row>
    <row r="526" ht="22.5" customHeight="1">
      <c r="A526" s="18" t="s">
        <v>6040</v>
      </c>
      <c r="B526" s="19" t="s">
        <v>8902</v>
      </c>
      <c r="C526" s="20" t="s">
        <v>6041</v>
      </c>
      <c r="D526" s="19" t="s">
        <v>8903</v>
      </c>
      <c r="E526" s="19" t="s">
        <v>287</v>
      </c>
      <c r="F526" s="19" t="s">
        <v>105</v>
      </c>
      <c r="G526" s="21">
        <v>9.878630112E9</v>
      </c>
    </row>
    <row r="527" ht="22.5" customHeight="1">
      <c r="A527" s="22" t="s">
        <v>7819</v>
      </c>
      <c r="B527" s="23" t="s">
        <v>8904</v>
      </c>
      <c r="C527" s="24" t="s">
        <v>7820</v>
      </c>
      <c r="D527" s="23" t="s">
        <v>8905</v>
      </c>
      <c r="E527" s="23" t="s">
        <v>792</v>
      </c>
      <c r="F527" s="23" t="s">
        <v>105</v>
      </c>
      <c r="G527" s="25">
        <v>7.626955101E9</v>
      </c>
    </row>
    <row r="528" ht="22.5" customHeight="1">
      <c r="A528" s="30" t="s">
        <v>387</v>
      </c>
      <c r="B528" s="19" t="s">
        <v>385</v>
      </c>
      <c r="C528" s="20" t="s">
        <v>388</v>
      </c>
      <c r="D528" s="19" t="s">
        <v>8907</v>
      </c>
      <c r="E528" s="19" t="s">
        <v>389</v>
      </c>
      <c r="F528" s="19" t="s">
        <v>105</v>
      </c>
      <c r="G528" s="21">
        <v>9.877301495E9</v>
      </c>
    </row>
    <row r="529" ht="22.5" customHeight="1">
      <c r="A529" s="22" t="s">
        <v>8492</v>
      </c>
      <c r="B529" s="23" t="s">
        <v>8490</v>
      </c>
      <c r="C529" s="24" t="s">
        <v>8493</v>
      </c>
      <c r="D529" s="23" t="s">
        <v>8908</v>
      </c>
      <c r="E529" s="23" t="s">
        <v>106</v>
      </c>
      <c r="F529" s="23" t="s">
        <v>105</v>
      </c>
      <c r="G529" s="25">
        <v>8.43716083E9</v>
      </c>
    </row>
    <row r="530" ht="22.5" customHeight="1">
      <c r="A530" s="18" t="s">
        <v>7389</v>
      </c>
      <c r="B530" s="19" t="s">
        <v>8909</v>
      </c>
      <c r="C530" s="20" t="s">
        <v>7390</v>
      </c>
      <c r="D530" s="19" t="s">
        <v>7389</v>
      </c>
      <c r="E530" s="19" t="s">
        <v>523</v>
      </c>
      <c r="F530" s="19" t="s">
        <v>105</v>
      </c>
      <c r="G530" s="21">
        <v>7.087255546E9</v>
      </c>
    </row>
    <row r="531" ht="22.5" customHeight="1">
      <c r="A531" s="22" t="s">
        <v>5710</v>
      </c>
      <c r="B531" s="23" t="s">
        <v>8910</v>
      </c>
      <c r="C531" s="24" t="s">
        <v>5711</v>
      </c>
      <c r="D531" s="23" t="s">
        <v>5710</v>
      </c>
      <c r="E531" s="23" t="s">
        <v>1243</v>
      </c>
      <c r="F531" s="23" t="s">
        <v>105</v>
      </c>
      <c r="G531" s="25">
        <v>7.696829238E9</v>
      </c>
    </row>
    <row r="532" ht="22.5" customHeight="1">
      <c r="A532" s="18" t="s">
        <v>6107</v>
      </c>
      <c r="B532" s="19" t="s">
        <v>8911</v>
      </c>
      <c r="C532" s="20" t="s">
        <v>6108</v>
      </c>
      <c r="D532" s="19" t="s">
        <v>8912</v>
      </c>
      <c r="E532" s="19" t="s">
        <v>287</v>
      </c>
      <c r="F532" s="19" t="s">
        <v>105</v>
      </c>
      <c r="G532" s="21">
        <v>9.646007005E9</v>
      </c>
    </row>
    <row r="533" ht="22.5" customHeight="1">
      <c r="A533" s="22" t="s">
        <v>615</v>
      </c>
      <c r="B533" s="23" t="s">
        <v>8913</v>
      </c>
      <c r="C533" s="24" t="s">
        <v>616</v>
      </c>
      <c r="D533" s="23" t="s">
        <v>8914</v>
      </c>
      <c r="E533" s="23" t="s">
        <v>37</v>
      </c>
      <c r="F533" s="23" t="s">
        <v>105</v>
      </c>
      <c r="G533" s="25">
        <v>9.041020321E9</v>
      </c>
    </row>
    <row r="534" ht="22.5" customHeight="1">
      <c r="A534" s="18" t="s">
        <v>7119</v>
      </c>
      <c r="B534" s="19" t="s">
        <v>8916</v>
      </c>
      <c r="C534" s="20" t="s">
        <v>7120</v>
      </c>
      <c r="D534" s="19" t="s">
        <v>8917</v>
      </c>
      <c r="E534" s="19" t="s">
        <v>1326</v>
      </c>
      <c r="F534" s="19" t="s">
        <v>105</v>
      </c>
      <c r="G534" s="21">
        <v>7.719593388E9</v>
      </c>
    </row>
    <row r="535" ht="22.5" customHeight="1">
      <c r="A535" s="22" t="s">
        <v>2092</v>
      </c>
      <c r="B535" s="23" t="s">
        <v>8918</v>
      </c>
      <c r="C535" s="24" t="s">
        <v>2093</v>
      </c>
      <c r="D535" s="23" t="s">
        <v>8919</v>
      </c>
      <c r="E535" s="23" t="s">
        <v>17</v>
      </c>
      <c r="F535" s="23" t="s">
        <v>105</v>
      </c>
      <c r="G535" s="25">
        <v>8.283837294E9</v>
      </c>
    </row>
    <row r="536" ht="22.5" customHeight="1">
      <c r="A536" s="18" t="s">
        <v>1146</v>
      </c>
      <c r="B536" s="19" t="s">
        <v>8920</v>
      </c>
      <c r="C536" s="20" t="s">
        <v>1148</v>
      </c>
      <c r="D536" s="19" t="s">
        <v>8921</v>
      </c>
      <c r="E536" s="19" t="s">
        <v>1149</v>
      </c>
      <c r="F536" s="19" t="s">
        <v>105</v>
      </c>
      <c r="G536" s="21">
        <v>8.792570858E9</v>
      </c>
    </row>
    <row r="537" ht="22.5" customHeight="1">
      <c r="A537" s="22" t="s">
        <v>291</v>
      </c>
      <c r="B537" s="23" t="s">
        <v>8922</v>
      </c>
      <c r="C537" s="24" t="s">
        <v>292</v>
      </c>
      <c r="D537" s="23" t="s">
        <v>8923</v>
      </c>
      <c r="E537" s="23" t="s">
        <v>30</v>
      </c>
      <c r="F537" s="23" t="s">
        <v>105</v>
      </c>
      <c r="G537" s="25">
        <v>9.646063296E9</v>
      </c>
    </row>
    <row r="538" ht="22.5" customHeight="1">
      <c r="A538" s="18" t="s">
        <v>5767</v>
      </c>
      <c r="B538" s="19" t="s">
        <v>8924</v>
      </c>
      <c r="C538" s="20" t="s">
        <v>5768</v>
      </c>
      <c r="D538" s="19" t="s">
        <v>8925</v>
      </c>
      <c r="E538" s="19" t="s">
        <v>42</v>
      </c>
      <c r="F538" s="19" t="s">
        <v>105</v>
      </c>
      <c r="G538" s="21">
        <v>7.888988177E9</v>
      </c>
    </row>
    <row r="539" ht="22.5" customHeight="1">
      <c r="A539" s="22" t="s">
        <v>1451</v>
      </c>
      <c r="B539" s="23" t="s">
        <v>8926</v>
      </c>
      <c r="C539" s="24" t="s">
        <v>1453</v>
      </c>
      <c r="D539" s="23" t="s">
        <v>8928</v>
      </c>
      <c r="E539" s="23" t="s">
        <v>389</v>
      </c>
      <c r="F539" s="23" t="s">
        <v>105</v>
      </c>
      <c r="G539" s="25">
        <v>9.518079951E9</v>
      </c>
    </row>
    <row r="540" ht="22.5" customHeight="1">
      <c r="A540" s="18" t="s">
        <v>1847</v>
      </c>
      <c r="B540" s="19" t="s">
        <v>8929</v>
      </c>
      <c r="C540" s="20" t="s">
        <v>1848</v>
      </c>
      <c r="D540" s="19" t="s">
        <v>8930</v>
      </c>
      <c r="E540" s="19" t="s">
        <v>782</v>
      </c>
      <c r="F540" s="19" t="s">
        <v>105</v>
      </c>
      <c r="G540" s="21">
        <v>7.984856248E9</v>
      </c>
    </row>
    <row r="541" ht="22.5" customHeight="1">
      <c r="A541" s="22" t="s">
        <v>6861</v>
      </c>
      <c r="B541" s="23" t="s">
        <v>8931</v>
      </c>
      <c r="C541" s="24" t="s">
        <v>6862</v>
      </c>
      <c r="D541" s="23" t="s">
        <v>8932</v>
      </c>
      <c r="E541" s="23" t="s">
        <v>1946</v>
      </c>
      <c r="F541" s="23" t="s">
        <v>105</v>
      </c>
      <c r="G541" s="25">
        <v>9.653578557E9</v>
      </c>
    </row>
    <row r="542" ht="22.5" customHeight="1">
      <c r="A542" s="18" t="s">
        <v>3864</v>
      </c>
      <c r="B542" s="19" t="s">
        <v>8933</v>
      </c>
      <c r="C542" s="20" t="s">
        <v>3865</v>
      </c>
      <c r="D542" s="19" t="s">
        <v>3864</v>
      </c>
      <c r="E542" s="19" t="s">
        <v>282</v>
      </c>
      <c r="F542" s="19" t="s">
        <v>105</v>
      </c>
      <c r="G542" s="21">
        <v>8.318977138E9</v>
      </c>
    </row>
    <row r="543" ht="22.5" customHeight="1">
      <c r="A543" s="22" t="s">
        <v>7139</v>
      </c>
      <c r="B543" s="23" t="s">
        <v>8935</v>
      </c>
      <c r="C543" s="24" t="s">
        <v>7140</v>
      </c>
      <c r="D543" s="23" t="s">
        <v>8936</v>
      </c>
      <c r="E543" s="23" t="s">
        <v>1326</v>
      </c>
      <c r="F543" s="23" t="s">
        <v>105</v>
      </c>
      <c r="G543" s="25">
        <v>8.081012905E9</v>
      </c>
    </row>
    <row r="544" ht="22.5" customHeight="1">
      <c r="A544" s="18" t="s">
        <v>978</v>
      </c>
      <c r="B544" s="19" t="s">
        <v>8938</v>
      </c>
      <c r="C544" s="20" t="s">
        <v>8938</v>
      </c>
      <c r="D544" s="19" t="s">
        <v>8939</v>
      </c>
      <c r="E544" s="19" t="s">
        <v>140</v>
      </c>
      <c r="F544" s="19" t="s">
        <v>105</v>
      </c>
      <c r="G544" s="21">
        <v>8.427601693E9</v>
      </c>
    </row>
    <row r="545" ht="22.5" customHeight="1">
      <c r="A545" s="22" t="s">
        <v>6117</v>
      </c>
      <c r="B545" s="23" t="s">
        <v>8940</v>
      </c>
      <c r="C545" s="24" t="s">
        <v>6118</v>
      </c>
      <c r="D545" s="23" t="s">
        <v>8941</v>
      </c>
      <c r="E545" s="23" t="s">
        <v>1002</v>
      </c>
      <c r="F545" s="23" t="s">
        <v>105</v>
      </c>
      <c r="G545" s="25">
        <v>6.283809172E9</v>
      </c>
    </row>
    <row r="546" ht="22.5" customHeight="1">
      <c r="A546" s="18" t="s">
        <v>8432</v>
      </c>
      <c r="B546" s="19" t="s">
        <v>8429</v>
      </c>
      <c r="C546" s="20" t="s">
        <v>8433</v>
      </c>
      <c r="D546" s="19" t="s">
        <v>8942</v>
      </c>
      <c r="E546" s="19" t="s">
        <v>231</v>
      </c>
      <c r="F546" s="19" t="s">
        <v>105</v>
      </c>
      <c r="G546" s="21">
        <v>9.501420932E9</v>
      </c>
    </row>
    <row r="547" ht="22.5" customHeight="1">
      <c r="A547" s="22" t="s">
        <v>4098</v>
      </c>
      <c r="B547" s="23" t="s">
        <v>8943</v>
      </c>
      <c r="C547" s="24" t="s">
        <v>4099</v>
      </c>
      <c r="D547" s="23" t="s">
        <v>4098</v>
      </c>
      <c r="E547" s="23" t="s">
        <v>365</v>
      </c>
      <c r="F547" s="23" t="s">
        <v>105</v>
      </c>
      <c r="G547" s="25">
        <v>8.427178036E9</v>
      </c>
    </row>
    <row r="548" ht="22.5" customHeight="1">
      <c r="A548" s="18" t="s">
        <v>5634</v>
      </c>
      <c r="B548" s="19" t="s">
        <v>8944</v>
      </c>
      <c r="C548" s="20" t="s">
        <v>5635</v>
      </c>
      <c r="D548" s="19" t="s">
        <v>8945</v>
      </c>
      <c r="E548" s="19" t="s">
        <v>1243</v>
      </c>
      <c r="F548" s="19" t="s">
        <v>105</v>
      </c>
      <c r="G548" s="21">
        <v>8.448580187E9</v>
      </c>
    </row>
    <row r="549" ht="22.5" customHeight="1">
      <c r="A549" s="22" t="s">
        <v>4515</v>
      </c>
      <c r="B549" s="23" t="s">
        <v>8947</v>
      </c>
      <c r="C549" s="24" t="s">
        <v>4516</v>
      </c>
      <c r="D549" s="23" t="s">
        <v>4515</v>
      </c>
      <c r="E549" s="23" t="s">
        <v>617</v>
      </c>
      <c r="F549" s="23" t="s">
        <v>105</v>
      </c>
      <c r="G549" s="25">
        <v>9.781516016E9</v>
      </c>
    </row>
    <row r="550" ht="22.5" customHeight="1">
      <c r="A550" s="18" t="s">
        <v>461</v>
      </c>
      <c r="B550" s="19" t="s">
        <v>459</v>
      </c>
      <c r="C550" s="20" t="s">
        <v>462</v>
      </c>
      <c r="D550" s="19" t="s">
        <v>8949</v>
      </c>
      <c r="E550" s="19" t="s">
        <v>231</v>
      </c>
      <c r="F550" s="19" t="s">
        <v>105</v>
      </c>
      <c r="G550" s="21">
        <v>7.8000095E9</v>
      </c>
    </row>
    <row r="551" ht="22.5" customHeight="1">
      <c r="A551" s="22" t="s">
        <v>6624</v>
      </c>
      <c r="B551" s="23" t="s">
        <v>8950</v>
      </c>
      <c r="C551" s="24" t="s">
        <v>6625</v>
      </c>
      <c r="D551" s="23" t="s">
        <v>8951</v>
      </c>
      <c r="E551" s="23" t="s">
        <v>98</v>
      </c>
      <c r="F551" s="23" t="s">
        <v>105</v>
      </c>
      <c r="G551" s="25">
        <v>9.067848E9</v>
      </c>
    </row>
    <row r="552" ht="22.5" customHeight="1">
      <c r="A552" s="18" t="s">
        <v>72</v>
      </c>
      <c r="B552" s="19" t="s">
        <v>8952</v>
      </c>
      <c r="C552" s="20" t="s">
        <v>73</v>
      </c>
      <c r="D552" s="19" t="s">
        <v>72</v>
      </c>
      <c r="E552" s="19" t="s">
        <v>75</v>
      </c>
      <c r="F552" s="19" t="s">
        <v>105</v>
      </c>
      <c r="G552" s="21">
        <v>8.867224527E9</v>
      </c>
    </row>
    <row r="553" ht="22.5" customHeight="1">
      <c r="A553" s="22" t="s">
        <v>8831</v>
      </c>
      <c r="B553" s="23" t="s">
        <v>8829</v>
      </c>
      <c r="C553" s="24" t="s">
        <v>8832</v>
      </c>
      <c r="D553" s="23" t="s">
        <v>8954</v>
      </c>
      <c r="E553" s="23" t="s">
        <v>1303</v>
      </c>
      <c r="F553" s="23" t="s">
        <v>105</v>
      </c>
      <c r="G553" s="25">
        <v>6.239034956E9</v>
      </c>
    </row>
    <row r="554" ht="22.5" customHeight="1">
      <c r="A554" s="18" t="s">
        <v>3761</v>
      </c>
      <c r="B554" s="19" t="s">
        <v>8955</v>
      </c>
      <c r="C554" s="20" t="s">
        <v>3728</v>
      </c>
      <c r="D554" s="19" t="s">
        <v>8956</v>
      </c>
      <c r="E554" s="19" t="s">
        <v>227</v>
      </c>
      <c r="F554" s="19" t="s">
        <v>105</v>
      </c>
      <c r="G554" s="21">
        <v>8.837781206E9</v>
      </c>
    </row>
    <row r="555" ht="22.5" customHeight="1">
      <c r="A555" s="22" t="s">
        <v>1980</v>
      </c>
      <c r="B555" s="23" t="s">
        <v>8957</v>
      </c>
      <c r="C555" s="24" t="s">
        <v>1981</v>
      </c>
      <c r="D555" s="23" t="s">
        <v>8958</v>
      </c>
      <c r="E555" s="23" t="s">
        <v>17</v>
      </c>
      <c r="F555" s="23" t="s">
        <v>105</v>
      </c>
      <c r="G555" s="25">
        <v>9.988261244E9</v>
      </c>
    </row>
    <row r="556" ht="22.5" customHeight="1">
      <c r="A556" s="18" t="s">
        <v>3474</v>
      </c>
      <c r="B556" s="19" t="s">
        <v>8959</v>
      </c>
      <c r="C556" s="20" t="s">
        <v>3475</v>
      </c>
      <c r="D556" s="19" t="s">
        <v>8960</v>
      </c>
      <c r="E556" s="19" t="s">
        <v>37</v>
      </c>
      <c r="F556" s="19" t="s">
        <v>105</v>
      </c>
      <c r="G556" s="21">
        <v>7.508211E9</v>
      </c>
    </row>
    <row r="557" ht="22.5" customHeight="1">
      <c r="A557" s="22" t="s">
        <v>4366</v>
      </c>
      <c r="B557" s="23" t="s">
        <v>8962</v>
      </c>
      <c r="C557" s="24" t="s">
        <v>4367</v>
      </c>
      <c r="D557" s="23" t="s">
        <v>8963</v>
      </c>
      <c r="E557" s="23" t="s">
        <v>1462</v>
      </c>
      <c r="F557" s="23" t="s">
        <v>105</v>
      </c>
      <c r="G557" s="25">
        <v>7.97332283E9</v>
      </c>
    </row>
    <row r="558" ht="22.5" customHeight="1">
      <c r="A558" s="18" t="s">
        <v>8964</v>
      </c>
      <c r="B558" s="19" t="s">
        <v>8965</v>
      </c>
      <c r="C558" s="20" t="s">
        <v>1544</v>
      </c>
      <c r="D558" s="19" t="s">
        <v>8966</v>
      </c>
      <c r="E558" s="19" t="s">
        <v>75</v>
      </c>
      <c r="F558" s="19" t="s">
        <v>105</v>
      </c>
      <c r="G558" s="21">
        <v>9.988982858E9</v>
      </c>
    </row>
    <row r="559" ht="22.5" customHeight="1">
      <c r="A559" s="22" t="s">
        <v>2627</v>
      </c>
      <c r="B559" s="23" t="s">
        <v>8967</v>
      </c>
      <c r="C559" s="24" t="s">
        <v>2628</v>
      </c>
      <c r="D559" s="23" t="s">
        <v>8968</v>
      </c>
      <c r="E559" s="23" t="s">
        <v>204</v>
      </c>
      <c r="F559" s="23" t="s">
        <v>105</v>
      </c>
      <c r="G559" s="25">
        <v>7.652819979E9</v>
      </c>
    </row>
    <row r="560" ht="22.5" customHeight="1">
      <c r="A560" s="18" t="s">
        <v>7980</v>
      </c>
      <c r="B560" s="19" t="s">
        <v>8970</v>
      </c>
      <c r="C560" s="20" t="s">
        <v>7981</v>
      </c>
      <c r="D560" s="19" t="s">
        <v>8971</v>
      </c>
      <c r="E560" s="19" t="s">
        <v>559</v>
      </c>
      <c r="F560" s="19" t="s">
        <v>105</v>
      </c>
      <c r="G560" s="21">
        <v>9.81719774E9</v>
      </c>
    </row>
    <row r="561" ht="22.5" customHeight="1">
      <c r="A561" s="22" t="s">
        <v>5985</v>
      </c>
      <c r="B561" s="23" t="s">
        <v>8972</v>
      </c>
      <c r="C561" s="24" t="s">
        <v>5986</v>
      </c>
      <c r="D561" s="23" t="s">
        <v>8973</v>
      </c>
      <c r="E561" s="23" t="s">
        <v>287</v>
      </c>
      <c r="F561" s="23" t="s">
        <v>105</v>
      </c>
      <c r="G561" s="25">
        <v>8.284083347E9</v>
      </c>
    </row>
    <row r="562" ht="22.5" customHeight="1">
      <c r="A562" s="18" t="s">
        <v>2790</v>
      </c>
      <c r="B562" s="19" t="s">
        <v>8974</v>
      </c>
      <c r="C562" s="20" t="s">
        <v>2791</v>
      </c>
      <c r="D562" s="19" t="s">
        <v>8975</v>
      </c>
      <c r="E562" s="19" t="s">
        <v>265</v>
      </c>
      <c r="F562" s="19" t="s">
        <v>105</v>
      </c>
      <c r="G562" s="21">
        <v>9.417950788E9</v>
      </c>
    </row>
    <row r="563" ht="22.5" customHeight="1">
      <c r="A563" s="22" t="s">
        <v>6017</v>
      </c>
      <c r="B563" s="23" t="s">
        <v>8976</v>
      </c>
      <c r="C563" s="24" t="s">
        <v>6018</v>
      </c>
      <c r="D563" s="23" t="s">
        <v>6017</v>
      </c>
      <c r="E563" s="23" t="s">
        <v>287</v>
      </c>
      <c r="F563" s="23" t="s">
        <v>105</v>
      </c>
      <c r="G563" s="25">
        <v>9.958359602E9</v>
      </c>
    </row>
    <row r="564" ht="22.5" customHeight="1">
      <c r="A564" s="18" t="s">
        <v>870</v>
      </c>
      <c r="B564" s="19" t="s">
        <v>8978</v>
      </c>
      <c r="C564" s="20" t="s">
        <v>871</v>
      </c>
      <c r="D564" s="19" t="s">
        <v>8979</v>
      </c>
      <c r="E564" s="19" t="s">
        <v>52</v>
      </c>
      <c r="F564" s="19" t="s">
        <v>105</v>
      </c>
      <c r="G564" s="21">
        <v>9.592541273E9</v>
      </c>
    </row>
    <row r="565" ht="22.5" customHeight="1">
      <c r="A565" s="22" t="s">
        <v>3510</v>
      </c>
      <c r="B565" s="23" t="s">
        <v>8980</v>
      </c>
      <c r="C565" s="24" t="s">
        <v>3511</v>
      </c>
      <c r="D565" s="23" t="s">
        <v>8981</v>
      </c>
      <c r="E565" s="23" t="s">
        <v>68</v>
      </c>
      <c r="F565" s="23" t="s">
        <v>105</v>
      </c>
      <c r="G565" s="25">
        <v>6.280719721E9</v>
      </c>
    </row>
    <row r="566" ht="22.5" customHeight="1">
      <c r="A566" s="18" t="s">
        <v>1783</v>
      </c>
      <c r="B566" s="19" t="s">
        <v>8982</v>
      </c>
      <c r="C566" s="20" t="s">
        <v>1784</v>
      </c>
      <c r="D566" s="19" t="s">
        <v>1783</v>
      </c>
      <c r="E566" s="19" t="s">
        <v>1653</v>
      </c>
      <c r="F566" s="19" t="s">
        <v>105</v>
      </c>
      <c r="G566" s="21">
        <v>9.729496652E9</v>
      </c>
    </row>
    <row r="567" ht="22.5" customHeight="1">
      <c r="A567" s="22" t="s">
        <v>5924</v>
      </c>
      <c r="B567" s="23" t="s">
        <v>8984</v>
      </c>
      <c r="C567" s="24" t="s">
        <v>5925</v>
      </c>
      <c r="D567" s="23" t="s">
        <v>5924</v>
      </c>
      <c r="E567" s="23" t="s">
        <v>277</v>
      </c>
      <c r="F567" s="23" t="s">
        <v>105</v>
      </c>
      <c r="G567" s="25">
        <v>8.883399982E9</v>
      </c>
    </row>
    <row r="568" ht="22.5" customHeight="1">
      <c r="A568" s="18" t="s">
        <v>2421</v>
      </c>
      <c r="B568" s="19" t="s">
        <v>8985</v>
      </c>
      <c r="C568" s="20" t="s">
        <v>2422</v>
      </c>
      <c r="D568" s="19" t="s">
        <v>8986</v>
      </c>
      <c r="E568" s="19" t="s">
        <v>1873</v>
      </c>
      <c r="F568" s="19" t="s">
        <v>105</v>
      </c>
      <c r="G568" s="21">
        <v>7.973619312E9</v>
      </c>
    </row>
    <row r="569" ht="22.5" customHeight="1">
      <c r="A569" s="22" t="s">
        <v>2161</v>
      </c>
      <c r="B569" s="23" t="s">
        <v>8987</v>
      </c>
      <c r="C569" s="24" t="s">
        <v>2162</v>
      </c>
      <c r="D569" s="23" t="s">
        <v>8988</v>
      </c>
      <c r="E569" s="23" t="s">
        <v>304</v>
      </c>
      <c r="F569" s="23" t="s">
        <v>105</v>
      </c>
      <c r="G569" s="25">
        <v>6.283339669E9</v>
      </c>
    </row>
    <row r="570" ht="22.5" customHeight="1">
      <c r="A570" s="18" t="s">
        <v>2573</v>
      </c>
      <c r="B570" s="19" t="s">
        <v>8990</v>
      </c>
      <c r="C570" s="20" t="s">
        <v>2574</v>
      </c>
      <c r="D570" s="19" t="s">
        <v>8991</v>
      </c>
      <c r="E570" s="19" t="s">
        <v>63</v>
      </c>
      <c r="F570" s="19" t="s">
        <v>105</v>
      </c>
      <c r="G570" s="21">
        <v>9.4638799E9</v>
      </c>
    </row>
    <row r="571" ht="22.5" customHeight="1">
      <c r="A571" s="22" t="s">
        <v>8992</v>
      </c>
      <c r="B571" s="23" t="s">
        <v>8993</v>
      </c>
      <c r="C571" s="24" t="s">
        <v>2282</v>
      </c>
      <c r="D571" s="23" t="s">
        <v>8994</v>
      </c>
      <c r="E571" s="23" t="s">
        <v>219</v>
      </c>
      <c r="F571" s="23" t="s">
        <v>105</v>
      </c>
      <c r="G571" s="25">
        <v>7.50608146E9</v>
      </c>
    </row>
    <row r="572" ht="22.5" customHeight="1">
      <c r="A572" s="18" t="s">
        <v>2284</v>
      </c>
      <c r="B572" s="19" t="s">
        <v>8995</v>
      </c>
      <c r="C572" s="20" t="s">
        <v>2285</v>
      </c>
      <c r="D572" s="19" t="s">
        <v>8996</v>
      </c>
      <c r="E572" s="19" t="s">
        <v>1873</v>
      </c>
      <c r="F572" s="19" t="s">
        <v>105</v>
      </c>
      <c r="G572" s="21">
        <v>8.221905665E9</v>
      </c>
    </row>
    <row r="573" ht="22.5" customHeight="1">
      <c r="A573" s="22" t="s">
        <v>5432</v>
      </c>
      <c r="B573" s="23" t="s">
        <v>8997</v>
      </c>
      <c r="C573" s="24" t="s">
        <v>3060</v>
      </c>
      <c r="D573" s="23" t="s">
        <v>8998</v>
      </c>
      <c r="E573" s="23" t="s">
        <v>1622</v>
      </c>
      <c r="F573" s="23" t="s">
        <v>105</v>
      </c>
      <c r="G573" s="25">
        <v>8.572838367E9</v>
      </c>
    </row>
    <row r="574" ht="22.5" customHeight="1">
      <c r="A574" s="18" t="s">
        <v>3209</v>
      </c>
      <c r="B574" s="19" t="s">
        <v>9000</v>
      </c>
      <c r="C574" s="20" t="s">
        <v>3211</v>
      </c>
      <c r="D574" s="19" t="s">
        <v>9001</v>
      </c>
      <c r="E574" s="19" t="s">
        <v>30</v>
      </c>
      <c r="F574" s="19" t="s">
        <v>105</v>
      </c>
      <c r="G574" s="21">
        <v>7.0092412E9</v>
      </c>
    </row>
    <row r="575" ht="22.5" customHeight="1">
      <c r="A575" s="22" t="s">
        <v>4258</v>
      </c>
      <c r="B575" s="23" t="s">
        <v>9002</v>
      </c>
      <c r="C575" s="24" t="s">
        <v>4259</v>
      </c>
      <c r="D575" s="23" t="s">
        <v>9003</v>
      </c>
      <c r="E575" s="23" t="s">
        <v>1737</v>
      </c>
      <c r="F575" s="23" t="s">
        <v>105</v>
      </c>
      <c r="G575" s="25">
        <v>9.41711637E9</v>
      </c>
    </row>
    <row r="576" ht="22.5" customHeight="1">
      <c r="A576" s="18" t="s">
        <v>9004</v>
      </c>
      <c r="B576" s="19" t="s">
        <v>9005</v>
      </c>
      <c r="C576" s="20" t="s">
        <v>4445</v>
      </c>
      <c r="D576" s="19" t="s">
        <v>9006</v>
      </c>
      <c r="E576" s="19" t="s">
        <v>617</v>
      </c>
      <c r="F576" s="19" t="s">
        <v>105</v>
      </c>
      <c r="G576" s="21">
        <v>8.222800298E9</v>
      </c>
    </row>
    <row r="577" ht="22.5" customHeight="1">
      <c r="A577" s="22" t="s">
        <v>3019</v>
      </c>
      <c r="B577" s="23" t="s">
        <v>9007</v>
      </c>
      <c r="C577" s="24" t="s">
        <v>3022</v>
      </c>
      <c r="D577" s="23" t="s">
        <v>9009</v>
      </c>
      <c r="E577" s="23" t="s">
        <v>22</v>
      </c>
      <c r="F577" s="23" t="s">
        <v>105</v>
      </c>
      <c r="G577" s="25">
        <v>9.465369488E9</v>
      </c>
    </row>
    <row r="578" ht="22.5" customHeight="1">
      <c r="A578" s="18" t="s">
        <v>6091</v>
      </c>
      <c r="B578" s="19" t="s">
        <v>9010</v>
      </c>
      <c r="C578" s="20" t="s">
        <v>6093</v>
      </c>
      <c r="D578" s="19" t="s">
        <v>6091</v>
      </c>
      <c r="E578" s="19" t="s">
        <v>287</v>
      </c>
      <c r="F578" s="19" t="s">
        <v>105</v>
      </c>
      <c r="G578" s="21">
        <v>7.986943269E9</v>
      </c>
    </row>
    <row r="579" ht="22.5" customHeight="1">
      <c r="A579" s="22" t="s">
        <v>6710</v>
      </c>
      <c r="B579" s="23" t="s">
        <v>9011</v>
      </c>
      <c r="C579" s="24" t="s">
        <v>6711</v>
      </c>
      <c r="D579" s="23" t="s">
        <v>9012</v>
      </c>
      <c r="E579" s="23" t="s">
        <v>98</v>
      </c>
      <c r="F579" s="23" t="s">
        <v>105</v>
      </c>
      <c r="G579" s="25">
        <v>9.91464103E9</v>
      </c>
    </row>
    <row r="580" ht="22.5" customHeight="1">
      <c r="A580" s="18" t="s">
        <v>472</v>
      </c>
      <c r="B580" s="19" t="s">
        <v>470</v>
      </c>
      <c r="C580" s="20" t="s">
        <v>473</v>
      </c>
      <c r="D580" s="19" t="s">
        <v>9013</v>
      </c>
      <c r="E580" s="19" t="s">
        <v>231</v>
      </c>
      <c r="F580" s="19" t="s">
        <v>105</v>
      </c>
      <c r="G580" s="21">
        <v>6.280737337E9</v>
      </c>
    </row>
    <row r="581" ht="22.5" customHeight="1">
      <c r="A581" s="22" t="s">
        <v>5108</v>
      </c>
      <c r="B581" s="23" t="s">
        <v>9014</v>
      </c>
      <c r="C581" s="24" t="s">
        <v>5109</v>
      </c>
      <c r="D581" s="23" t="s">
        <v>9016</v>
      </c>
      <c r="E581" s="23" t="s">
        <v>1064</v>
      </c>
      <c r="F581" s="23" t="s">
        <v>105</v>
      </c>
      <c r="G581" s="25">
        <v>6.284677447E9</v>
      </c>
    </row>
    <row r="582" ht="22.5" customHeight="1">
      <c r="A582" s="18" t="s">
        <v>1060</v>
      </c>
      <c r="B582" s="19" t="s">
        <v>9017</v>
      </c>
      <c r="C582" s="20" t="s">
        <v>1062</v>
      </c>
      <c r="D582" s="19" t="s">
        <v>9018</v>
      </c>
      <c r="E582" s="19" t="s">
        <v>140</v>
      </c>
      <c r="F582" s="19" t="s">
        <v>105</v>
      </c>
      <c r="G582" s="21">
        <v>6.239565424E9</v>
      </c>
    </row>
    <row r="583" ht="22.5" customHeight="1">
      <c r="A583" s="30" t="s">
        <v>7576</v>
      </c>
      <c r="B583" s="23" t="s">
        <v>7573</v>
      </c>
      <c r="C583" s="24" t="s">
        <v>7577</v>
      </c>
      <c r="D583" s="23" t="s">
        <v>9019</v>
      </c>
      <c r="E583" s="23" t="s">
        <v>123</v>
      </c>
      <c r="F583" s="23" t="s">
        <v>105</v>
      </c>
      <c r="G583" s="25">
        <v>6.284764627E9</v>
      </c>
    </row>
    <row r="584" ht="22.5" customHeight="1">
      <c r="A584" s="18" t="s">
        <v>9020</v>
      </c>
      <c r="B584" s="19" t="s">
        <v>9021</v>
      </c>
      <c r="C584" s="20" t="s">
        <v>2742</v>
      </c>
      <c r="D584" s="19" t="s">
        <v>9023</v>
      </c>
      <c r="E584" s="19" t="s">
        <v>204</v>
      </c>
      <c r="F584" s="19" t="s">
        <v>105</v>
      </c>
      <c r="G584" s="21">
        <v>8.847477231E9</v>
      </c>
    </row>
    <row r="585" ht="22.5" customHeight="1">
      <c r="A585" s="22" t="s">
        <v>585</v>
      </c>
      <c r="B585" s="23" t="s">
        <v>9024</v>
      </c>
      <c r="C585" s="24" t="s">
        <v>586</v>
      </c>
      <c r="D585" s="23" t="s">
        <v>9025</v>
      </c>
      <c r="E585" s="23" t="s">
        <v>57</v>
      </c>
      <c r="F585" s="23" t="s">
        <v>105</v>
      </c>
      <c r="G585" s="25">
        <v>7.696855775E9</v>
      </c>
    </row>
    <row r="586" ht="22.5" customHeight="1">
      <c r="A586" s="18" t="s">
        <v>15</v>
      </c>
      <c r="B586" s="19" t="s">
        <v>13</v>
      </c>
      <c r="C586" s="20" t="s">
        <v>16</v>
      </c>
      <c r="D586" s="19" t="s">
        <v>9026</v>
      </c>
      <c r="E586" s="19" t="s">
        <v>17</v>
      </c>
      <c r="F586" s="19" t="s">
        <v>105</v>
      </c>
      <c r="G586" s="21">
        <v>9.46507639E9</v>
      </c>
    </row>
    <row r="587" ht="22.5" customHeight="1">
      <c r="A587" s="22" t="s">
        <v>2915</v>
      </c>
      <c r="B587" s="23" t="s">
        <v>9027</v>
      </c>
      <c r="C587" s="24" t="s">
        <v>2916</v>
      </c>
      <c r="D587" s="23" t="s">
        <v>9028</v>
      </c>
      <c r="E587" s="23" t="s">
        <v>604</v>
      </c>
      <c r="F587" s="23" t="s">
        <v>105</v>
      </c>
      <c r="G587" s="25">
        <v>7.888711035E9</v>
      </c>
    </row>
    <row r="588" ht="22.5" customHeight="1">
      <c r="A588" s="18" t="s">
        <v>7606</v>
      </c>
      <c r="B588" s="19" t="s">
        <v>7604</v>
      </c>
      <c r="C588" s="20" t="s">
        <v>7607</v>
      </c>
      <c r="D588" s="19" t="s">
        <v>9030</v>
      </c>
      <c r="E588" s="19" t="s">
        <v>123</v>
      </c>
      <c r="F588" s="19" t="s">
        <v>105</v>
      </c>
      <c r="G588" s="21">
        <v>9.47893693E9</v>
      </c>
    </row>
    <row r="589" ht="22.5" customHeight="1">
      <c r="A589" s="22" t="s">
        <v>4136</v>
      </c>
      <c r="B589" s="23" t="s">
        <v>9031</v>
      </c>
      <c r="C589" s="24" t="s">
        <v>4137</v>
      </c>
      <c r="D589" s="23" t="s">
        <v>9032</v>
      </c>
      <c r="E589" s="23" t="s">
        <v>365</v>
      </c>
      <c r="F589" s="23" t="s">
        <v>105</v>
      </c>
      <c r="G589" s="25">
        <v>9.910673555E9</v>
      </c>
    </row>
    <row r="590" ht="22.5" customHeight="1">
      <c r="A590" s="18" t="s">
        <v>4717</v>
      </c>
      <c r="B590" s="19" t="s">
        <v>9033</v>
      </c>
      <c r="C590" s="20" t="s">
        <v>4719</v>
      </c>
      <c r="D590" s="19" t="s">
        <v>9034</v>
      </c>
      <c r="E590" s="19" t="s">
        <v>506</v>
      </c>
      <c r="F590" s="19" t="s">
        <v>105</v>
      </c>
      <c r="G590" s="21">
        <v>9.425350251E9</v>
      </c>
    </row>
    <row r="591" ht="22.5" customHeight="1">
      <c r="A591" s="22" t="s">
        <v>7954</v>
      </c>
      <c r="B591" s="23" t="s">
        <v>9035</v>
      </c>
      <c r="C591" s="24" t="s">
        <v>7955</v>
      </c>
      <c r="D591" s="23" t="s">
        <v>9037</v>
      </c>
      <c r="E591" s="23" t="s">
        <v>4200</v>
      </c>
      <c r="F591" s="23" t="s">
        <v>105</v>
      </c>
      <c r="G591" s="25">
        <v>9.780788807E9</v>
      </c>
    </row>
    <row r="592" ht="22.5" customHeight="1">
      <c r="A592" s="18" t="s">
        <v>6520</v>
      </c>
      <c r="B592" s="19" t="s">
        <v>9038</v>
      </c>
      <c r="C592" s="20" t="s">
        <v>6522</v>
      </c>
      <c r="D592" s="19" t="s">
        <v>9039</v>
      </c>
      <c r="E592" s="19" t="s">
        <v>47</v>
      </c>
      <c r="F592" s="19" t="s">
        <v>105</v>
      </c>
      <c r="G592" s="21">
        <v>8.595452803E9</v>
      </c>
    </row>
    <row r="593" ht="22.5" customHeight="1">
      <c r="A593" s="22" t="s">
        <v>3853</v>
      </c>
      <c r="B593" s="23" t="s">
        <v>9040</v>
      </c>
      <c r="C593" s="24" t="s">
        <v>3854</v>
      </c>
      <c r="D593" s="23" t="s">
        <v>9041</v>
      </c>
      <c r="E593" s="23" t="s">
        <v>221</v>
      </c>
      <c r="F593" s="23" t="s">
        <v>105</v>
      </c>
      <c r="G593" s="25">
        <v>7.719554376E9</v>
      </c>
    </row>
    <row r="594" ht="22.5" customHeight="1">
      <c r="A594" s="18" t="s">
        <v>7590</v>
      </c>
      <c r="B594" s="19" t="s">
        <v>7588</v>
      </c>
      <c r="C594" s="20" t="s">
        <v>7591</v>
      </c>
      <c r="D594" s="19" t="s">
        <v>9042</v>
      </c>
      <c r="E594" s="19" t="s">
        <v>123</v>
      </c>
      <c r="F594" s="19" t="s">
        <v>105</v>
      </c>
      <c r="G594" s="21">
        <v>6.283601811E9</v>
      </c>
    </row>
    <row r="595" ht="22.5" customHeight="1">
      <c r="A595" s="22" t="s">
        <v>2353</v>
      </c>
      <c r="B595" s="23" t="s">
        <v>9044</v>
      </c>
      <c r="C595" s="24" t="s">
        <v>2354</v>
      </c>
      <c r="D595" s="23" t="s">
        <v>9045</v>
      </c>
      <c r="E595" s="23" t="s">
        <v>1873</v>
      </c>
      <c r="F595" s="23" t="s">
        <v>105</v>
      </c>
      <c r="G595" s="25">
        <v>7.814327866E9</v>
      </c>
    </row>
    <row r="596" ht="22.5" customHeight="1">
      <c r="A596" s="18" t="s">
        <v>9046</v>
      </c>
      <c r="B596" s="19" t="s">
        <v>9047</v>
      </c>
      <c r="C596" s="20" t="s">
        <v>4207</v>
      </c>
      <c r="D596" s="19" t="s">
        <v>9048</v>
      </c>
      <c r="E596" s="19" t="s">
        <v>1737</v>
      </c>
      <c r="F596" s="19" t="s">
        <v>105</v>
      </c>
      <c r="G596" s="21">
        <v>9.87742278E9</v>
      </c>
    </row>
    <row r="597" ht="22.5" customHeight="1">
      <c r="A597" s="22" t="s">
        <v>7056</v>
      </c>
      <c r="B597" s="23" t="s">
        <v>9049</v>
      </c>
      <c r="C597" s="24" t="s">
        <v>7057</v>
      </c>
      <c r="D597" s="23" t="s">
        <v>9050</v>
      </c>
      <c r="E597" s="23" t="s">
        <v>3956</v>
      </c>
      <c r="F597" s="23" t="s">
        <v>105</v>
      </c>
      <c r="G597" s="25">
        <v>9.914104546E9</v>
      </c>
    </row>
    <row r="598" ht="22.5" customHeight="1">
      <c r="A598" s="18" t="s">
        <v>3974</v>
      </c>
      <c r="B598" s="19" t="s">
        <v>9051</v>
      </c>
      <c r="C598" s="20" t="s">
        <v>3975</v>
      </c>
      <c r="D598" s="19" t="s">
        <v>9053</v>
      </c>
      <c r="E598" s="19" t="s">
        <v>314</v>
      </c>
      <c r="F598" s="19" t="s">
        <v>105</v>
      </c>
      <c r="G598" s="21">
        <v>9.041054171E9</v>
      </c>
    </row>
    <row r="599" ht="22.5" customHeight="1">
      <c r="A599" s="22" t="s">
        <v>9054</v>
      </c>
      <c r="B599" s="23" t="s">
        <v>9055</v>
      </c>
      <c r="C599" s="24" t="s">
        <v>4245</v>
      </c>
      <c r="D599" s="23" t="s">
        <v>9056</v>
      </c>
      <c r="E599" s="23" t="s">
        <v>1737</v>
      </c>
      <c r="F599" s="23" t="s">
        <v>105</v>
      </c>
      <c r="G599" s="25">
        <v>9.875913537E9</v>
      </c>
    </row>
    <row r="600" ht="22.5" customHeight="1">
      <c r="A600" s="18" t="s">
        <v>6954</v>
      </c>
      <c r="B600" s="19" t="s">
        <v>9057</v>
      </c>
      <c r="C600" s="20" t="s">
        <v>6955</v>
      </c>
      <c r="D600" s="19" t="s">
        <v>9058</v>
      </c>
      <c r="E600" s="19" t="s">
        <v>1946</v>
      </c>
      <c r="F600" s="19" t="s">
        <v>105</v>
      </c>
      <c r="G600" s="21">
        <v>8.950444228E9</v>
      </c>
    </row>
    <row r="601" ht="22.5" customHeight="1">
      <c r="A601" s="22" t="s">
        <v>4188</v>
      </c>
      <c r="B601" s="23" t="s">
        <v>9059</v>
      </c>
      <c r="C601" s="24" t="s">
        <v>4189</v>
      </c>
      <c r="D601" s="23" t="s">
        <v>9060</v>
      </c>
      <c r="E601" s="23" t="s">
        <v>1737</v>
      </c>
      <c r="F601" s="23" t="s">
        <v>105</v>
      </c>
      <c r="G601" s="25">
        <v>9.462333055E9</v>
      </c>
    </row>
    <row r="602" ht="22.5" customHeight="1">
      <c r="A602" s="18" t="s">
        <v>7256</v>
      </c>
      <c r="B602" s="19" t="s">
        <v>9062</v>
      </c>
      <c r="C602" s="20" t="s">
        <v>7257</v>
      </c>
      <c r="D602" s="19" t="s">
        <v>9063</v>
      </c>
      <c r="E602" s="19" t="s">
        <v>1561</v>
      </c>
      <c r="F602" s="19" t="s">
        <v>105</v>
      </c>
      <c r="G602" s="21">
        <v>7.65287531E9</v>
      </c>
    </row>
    <row r="603" ht="22.5" customHeight="1">
      <c r="A603" s="22" t="s">
        <v>3036</v>
      </c>
      <c r="B603" s="23" t="s">
        <v>9064</v>
      </c>
      <c r="C603" s="24" t="s">
        <v>3037</v>
      </c>
      <c r="D603" s="23" t="s">
        <v>9065</v>
      </c>
      <c r="E603" s="23" t="s">
        <v>22</v>
      </c>
      <c r="F603" s="23" t="s">
        <v>105</v>
      </c>
      <c r="G603" s="25">
        <v>7.81427381E9</v>
      </c>
    </row>
    <row r="604" ht="22.5" customHeight="1">
      <c r="A604" s="18" t="s">
        <v>2049</v>
      </c>
      <c r="B604" s="19" t="s">
        <v>9066</v>
      </c>
      <c r="C604" s="20" t="s">
        <v>2050</v>
      </c>
      <c r="D604" s="19" t="s">
        <v>9067</v>
      </c>
      <c r="E604" s="19" t="s">
        <v>17</v>
      </c>
      <c r="F604" s="19" t="s">
        <v>105</v>
      </c>
      <c r="G604" s="21">
        <v>8.556037467E9</v>
      </c>
    </row>
    <row r="605" ht="22.5" customHeight="1">
      <c r="A605" s="22" t="s">
        <v>7920</v>
      </c>
      <c r="B605" s="23" t="s">
        <v>9068</v>
      </c>
      <c r="C605" s="24" t="s">
        <v>7921</v>
      </c>
      <c r="D605" s="23" t="s">
        <v>9069</v>
      </c>
      <c r="E605" s="23" t="s">
        <v>303</v>
      </c>
      <c r="F605" s="23" t="s">
        <v>105</v>
      </c>
      <c r="G605" s="25">
        <v>7.087598504E9</v>
      </c>
    </row>
    <row r="606" ht="22.5" customHeight="1">
      <c r="A606" s="18" t="s">
        <v>808</v>
      </c>
      <c r="B606" s="19" t="s">
        <v>9070</v>
      </c>
      <c r="C606" s="20" t="s">
        <v>810</v>
      </c>
      <c r="D606" s="19" t="s">
        <v>9072</v>
      </c>
      <c r="E606" s="19" t="s">
        <v>52</v>
      </c>
      <c r="F606" s="19" t="s">
        <v>105</v>
      </c>
      <c r="G606" s="21">
        <v>6.239934946E9</v>
      </c>
    </row>
    <row r="607" ht="22.5" customHeight="1">
      <c r="A607" s="22" t="s">
        <v>699</v>
      </c>
      <c r="B607" s="23" t="s">
        <v>9073</v>
      </c>
      <c r="C607" s="24" t="s">
        <v>700</v>
      </c>
      <c r="D607" s="23" t="s">
        <v>9074</v>
      </c>
      <c r="E607" s="23" t="s">
        <v>469</v>
      </c>
      <c r="F607" s="23" t="s">
        <v>105</v>
      </c>
      <c r="G607" s="25">
        <v>9.464071068E9</v>
      </c>
    </row>
    <row r="608" ht="22.5" customHeight="1">
      <c r="A608" s="18" t="s">
        <v>564</v>
      </c>
      <c r="B608" s="19" t="s">
        <v>9075</v>
      </c>
      <c r="C608" s="20" t="s">
        <v>565</v>
      </c>
      <c r="D608" s="19" t="s">
        <v>9076</v>
      </c>
      <c r="E608" s="19" t="s">
        <v>57</v>
      </c>
      <c r="F608" s="19" t="s">
        <v>105</v>
      </c>
      <c r="G608" s="21">
        <v>7.986647318E9</v>
      </c>
    </row>
    <row r="609" ht="22.5" customHeight="1">
      <c r="A609" s="22" t="s">
        <v>6457</v>
      </c>
      <c r="B609" s="23" t="s">
        <v>696</v>
      </c>
      <c r="C609" s="24" t="s">
        <v>6458</v>
      </c>
      <c r="D609" s="23" t="s">
        <v>9078</v>
      </c>
      <c r="E609" s="23" t="s">
        <v>2970</v>
      </c>
      <c r="F609" s="23" t="s">
        <v>105</v>
      </c>
      <c r="G609" s="25">
        <v>9.815197543E9</v>
      </c>
    </row>
    <row r="610" ht="22.5" customHeight="1">
      <c r="A610" s="18" t="s">
        <v>6112</v>
      </c>
      <c r="B610" s="19" t="s">
        <v>9079</v>
      </c>
      <c r="C610" s="20" t="s">
        <v>6113</v>
      </c>
      <c r="D610" s="19" t="s">
        <v>6112</v>
      </c>
      <c r="E610" s="19" t="s">
        <v>1002</v>
      </c>
      <c r="F610" s="19" t="s">
        <v>105</v>
      </c>
      <c r="G610" s="21">
        <v>7.814355594E9</v>
      </c>
    </row>
    <row r="611" ht="22.5" customHeight="1">
      <c r="A611" s="22" t="s">
        <v>2014</v>
      </c>
      <c r="B611" s="23" t="s">
        <v>9081</v>
      </c>
      <c r="C611" s="24" t="s">
        <v>2015</v>
      </c>
      <c r="D611" s="23" t="s">
        <v>9082</v>
      </c>
      <c r="E611" s="23" t="s">
        <v>17</v>
      </c>
      <c r="F611" s="23" t="s">
        <v>105</v>
      </c>
      <c r="G611" s="25">
        <v>8.699475616E9</v>
      </c>
    </row>
    <row r="612" ht="22.5" customHeight="1">
      <c r="A612" s="18" t="s">
        <v>9083</v>
      </c>
      <c r="B612" s="19" t="s">
        <v>9084</v>
      </c>
      <c r="C612" s="20" t="s">
        <v>3685</v>
      </c>
      <c r="D612" s="19" t="s">
        <v>9085</v>
      </c>
      <c r="E612" s="19" t="s">
        <v>227</v>
      </c>
      <c r="F612" s="19" t="s">
        <v>105</v>
      </c>
      <c r="G612" s="21">
        <v>7.973777013E9</v>
      </c>
    </row>
    <row r="613" ht="22.5" customHeight="1">
      <c r="A613" s="22" t="s">
        <v>8521</v>
      </c>
      <c r="B613" s="23" t="s">
        <v>8519</v>
      </c>
      <c r="C613" s="24" t="s">
        <v>8522</v>
      </c>
      <c r="D613" s="23" t="s">
        <v>8521</v>
      </c>
      <c r="E613" s="23" t="s">
        <v>1607</v>
      </c>
      <c r="F613" s="23" t="s">
        <v>105</v>
      </c>
      <c r="G613" s="25">
        <v>7.837899483E9</v>
      </c>
    </row>
    <row r="614" ht="22.5" customHeight="1">
      <c r="A614" s="18" t="s">
        <v>6154</v>
      </c>
      <c r="B614" s="19" t="s">
        <v>9086</v>
      </c>
      <c r="C614" s="20" t="s">
        <v>6155</v>
      </c>
      <c r="D614" s="19" t="s">
        <v>9088</v>
      </c>
      <c r="E614" s="19" t="s">
        <v>1002</v>
      </c>
      <c r="F614" s="19" t="s">
        <v>105</v>
      </c>
      <c r="G614" s="21">
        <v>9.872223138E9</v>
      </c>
    </row>
    <row r="615" ht="22.5" customHeight="1">
      <c r="A615" s="22" t="s">
        <v>4877</v>
      </c>
      <c r="B615" s="23" t="s">
        <v>9089</v>
      </c>
      <c r="C615" s="24" t="s">
        <v>4879</v>
      </c>
      <c r="D615" s="23" t="s">
        <v>9090</v>
      </c>
      <c r="E615" s="23" t="s">
        <v>889</v>
      </c>
      <c r="F615" s="23" t="s">
        <v>105</v>
      </c>
      <c r="G615" s="25">
        <v>8.497000081E9</v>
      </c>
    </row>
    <row r="616" ht="22.5" customHeight="1">
      <c r="A616" s="18" t="s">
        <v>8876</v>
      </c>
      <c r="B616" s="19" t="s">
        <v>8874</v>
      </c>
      <c r="C616" s="20" t="s">
        <v>8877</v>
      </c>
      <c r="D616" s="19" t="s">
        <v>9091</v>
      </c>
      <c r="E616" s="19" t="s">
        <v>1607</v>
      </c>
      <c r="F616" s="19" t="s">
        <v>105</v>
      </c>
      <c r="G616" s="21">
        <v>9.872912166E9</v>
      </c>
    </row>
    <row r="617" ht="22.5" customHeight="1">
      <c r="A617" s="22" t="s">
        <v>7295</v>
      </c>
      <c r="B617" s="23" t="s">
        <v>9092</v>
      </c>
      <c r="C617" s="24" t="s">
        <v>7296</v>
      </c>
      <c r="D617" s="23" t="s">
        <v>9093</v>
      </c>
      <c r="E617" s="23" t="s">
        <v>1561</v>
      </c>
      <c r="F617" s="23" t="s">
        <v>105</v>
      </c>
      <c r="G617" s="25">
        <v>8.725871303E9</v>
      </c>
    </row>
    <row r="618" ht="22.5" customHeight="1">
      <c r="A618" s="18" t="s">
        <v>3007</v>
      </c>
      <c r="B618" s="19" t="s">
        <v>9095</v>
      </c>
      <c r="C618" s="20" t="s">
        <v>3008</v>
      </c>
      <c r="D618" s="19" t="s">
        <v>9096</v>
      </c>
      <c r="E618" s="19" t="s">
        <v>22</v>
      </c>
      <c r="F618" s="19" t="s">
        <v>105</v>
      </c>
      <c r="G618" s="21">
        <v>7.895670484E9</v>
      </c>
    </row>
    <row r="619" ht="22.5" customHeight="1">
      <c r="A619" s="22" t="s">
        <v>3885</v>
      </c>
      <c r="B619" s="23" t="s">
        <v>9097</v>
      </c>
      <c r="C619" s="24" t="s">
        <v>3886</v>
      </c>
      <c r="D619" s="23" t="s">
        <v>9098</v>
      </c>
      <c r="E619" s="23" t="s">
        <v>282</v>
      </c>
      <c r="F619" s="23" t="s">
        <v>105</v>
      </c>
      <c r="G619" s="25">
        <v>9.416054809E9</v>
      </c>
    </row>
    <row r="620" ht="22.5" customHeight="1">
      <c r="A620" s="18" t="s">
        <v>414</v>
      </c>
      <c r="B620" s="19" t="s">
        <v>412</v>
      </c>
      <c r="C620" s="20" t="s">
        <v>415</v>
      </c>
      <c r="D620" s="19" t="s">
        <v>9099</v>
      </c>
      <c r="E620" s="19" t="s">
        <v>37</v>
      </c>
      <c r="F620" s="19" t="s">
        <v>105</v>
      </c>
      <c r="G620" s="21">
        <v>9.041110041E9</v>
      </c>
    </row>
    <row r="621" ht="22.5" customHeight="1">
      <c r="A621" s="22" t="s">
        <v>8381</v>
      </c>
      <c r="B621" s="23" t="s">
        <v>8379</v>
      </c>
      <c r="C621" s="24" t="s">
        <v>8382</v>
      </c>
      <c r="D621" s="23" t="s">
        <v>9100</v>
      </c>
      <c r="E621" s="23" t="s">
        <v>57</v>
      </c>
      <c r="F621" s="23" t="s">
        <v>105</v>
      </c>
      <c r="G621" s="25">
        <v>8.360132137E9</v>
      </c>
    </row>
    <row r="622" ht="22.5" customHeight="1">
      <c r="A622" s="18" t="s">
        <v>5332</v>
      </c>
      <c r="B622" s="19" t="s">
        <v>9102</v>
      </c>
      <c r="C622" s="20" t="s">
        <v>2766</v>
      </c>
      <c r="D622" s="19" t="s">
        <v>9103</v>
      </c>
      <c r="E622" s="19" t="s">
        <v>1379</v>
      </c>
      <c r="F622" s="19" t="s">
        <v>105</v>
      </c>
      <c r="G622" s="21">
        <v>9.877501823E9</v>
      </c>
    </row>
    <row r="623" ht="22.5" customHeight="1">
      <c r="A623" s="30" t="s">
        <v>9104</v>
      </c>
      <c r="B623" s="23" t="s">
        <v>9105</v>
      </c>
      <c r="C623" s="24" t="s">
        <v>3371</v>
      </c>
      <c r="D623" s="23" t="s">
        <v>9106</v>
      </c>
      <c r="E623" s="23" t="s">
        <v>524</v>
      </c>
      <c r="F623" s="23" t="s">
        <v>105</v>
      </c>
      <c r="G623" s="25">
        <v>8.968680282E9</v>
      </c>
    </row>
    <row r="624" ht="22.5" customHeight="1">
      <c r="A624" s="18" t="s">
        <v>9107</v>
      </c>
      <c r="B624" s="19" t="s">
        <v>7508</v>
      </c>
      <c r="C624" s="20" t="s">
        <v>9108</v>
      </c>
      <c r="D624" s="19" t="s">
        <v>9107</v>
      </c>
      <c r="E624" s="19" t="s">
        <v>756</v>
      </c>
      <c r="F624" s="19" t="s">
        <v>105</v>
      </c>
      <c r="G624" s="21">
        <v>8.847483824E9</v>
      </c>
    </row>
    <row r="625" ht="22.5" customHeight="1">
      <c r="A625" s="22" t="s">
        <v>9109</v>
      </c>
      <c r="B625" s="23" t="s">
        <v>9110</v>
      </c>
      <c r="C625" s="24" t="s">
        <v>1826</v>
      </c>
      <c r="D625" s="23" t="s">
        <v>9111</v>
      </c>
      <c r="E625" s="23" t="s">
        <v>1653</v>
      </c>
      <c r="F625" s="23" t="s">
        <v>105</v>
      </c>
      <c r="G625" s="25">
        <v>7.974816964E9</v>
      </c>
    </row>
    <row r="626" ht="22.5" customHeight="1">
      <c r="A626" s="18" t="s">
        <v>6187</v>
      </c>
      <c r="B626" s="19" t="s">
        <v>9113</v>
      </c>
      <c r="C626" s="20" t="s">
        <v>6188</v>
      </c>
      <c r="D626" s="19" t="s">
        <v>9114</v>
      </c>
      <c r="E626" s="19" t="s">
        <v>1002</v>
      </c>
      <c r="F626" s="19" t="s">
        <v>105</v>
      </c>
      <c r="G626" s="21">
        <v>8.118817621E9</v>
      </c>
    </row>
    <row r="627" ht="22.5" customHeight="1">
      <c r="A627" s="22" t="s">
        <v>3121</v>
      </c>
      <c r="B627" s="23" t="s">
        <v>9115</v>
      </c>
      <c r="C627" s="24" t="s">
        <v>3122</v>
      </c>
      <c r="D627" s="23" t="s">
        <v>9116</v>
      </c>
      <c r="E627" s="23" t="s">
        <v>22</v>
      </c>
      <c r="F627" s="23" t="s">
        <v>105</v>
      </c>
      <c r="G627" s="25">
        <v>7.412010744E9</v>
      </c>
    </row>
    <row r="628" ht="22.5" customHeight="1">
      <c r="A628" s="18" t="s">
        <v>9117</v>
      </c>
      <c r="B628" s="19" t="s">
        <v>9118</v>
      </c>
      <c r="C628" s="20" t="s">
        <v>9119</v>
      </c>
      <c r="D628" s="19" t="s">
        <v>9120</v>
      </c>
      <c r="E628" s="19" t="s">
        <v>384</v>
      </c>
      <c r="F628" s="19" t="s">
        <v>105</v>
      </c>
      <c r="G628" s="21">
        <v>7.814054526E9</v>
      </c>
    </row>
    <row r="629" ht="22.5" customHeight="1">
      <c r="A629" s="22" t="s">
        <v>5875</v>
      </c>
      <c r="B629" s="23" t="s">
        <v>9121</v>
      </c>
      <c r="C629" s="24" t="s">
        <v>5876</v>
      </c>
      <c r="D629" s="23" t="s">
        <v>9122</v>
      </c>
      <c r="E629" s="23" t="s">
        <v>277</v>
      </c>
      <c r="F629" s="23" t="s">
        <v>105</v>
      </c>
      <c r="G629" s="25">
        <v>9.625458486E9</v>
      </c>
    </row>
    <row r="630" ht="22.5" customHeight="1">
      <c r="A630" s="18" t="s">
        <v>1941</v>
      </c>
      <c r="B630" s="19" t="s">
        <v>9124</v>
      </c>
      <c r="C630" s="20" t="s">
        <v>1942</v>
      </c>
      <c r="D630" s="19" t="s">
        <v>9125</v>
      </c>
      <c r="E630" s="19" t="s">
        <v>782</v>
      </c>
      <c r="F630" s="19" t="s">
        <v>105</v>
      </c>
      <c r="G630" s="21">
        <v>6.283773092E9</v>
      </c>
    </row>
    <row r="631" ht="22.5" customHeight="1">
      <c r="A631" s="22" t="s">
        <v>9126</v>
      </c>
      <c r="B631" s="23" t="s">
        <v>9127</v>
      </c>
      <c r="C631" s="24" t="s">
        <v>5015</v>
      </c>
      <c r="D631" s="23" t="s">
        <v>9128</v>
      </c>
      <c r="E631" s="23" t="s">
        <v>1064</v>
      </c>
      <c r="F631" s="23" t="s">
        <v>105</v>
      </c>
      <c r="G631" s="25">
        <v>9.21235568E9</v>
      </c>
    </row>
    <row r="632" ht="22.5" customHeight="1">
      <c r="A632" s="18" t="s">
        <v>3612</v>
      </c>
      <c r="B632" s="19" t="s">
        <v>9129</v>
      </c>
      <c r="C632" s="20" t="s">
        <v>3613</v>
      </c>
      <c r="D632" s="19" t="s">
        <v>9130</v>
      </c>
      <c r="E632" s="19" t="s">
        <v>543</v>
      </c>
      <c r="F632" s="19" t="s">
        <v>105</v>
      </c>
      <c r="G632" s="21">
        <v>9.780365458E9</v>
      </c>
    </row>
    <row r="633" ht="22.5" customHeight="1">
      <c r="A633" s="22" t="s">
        <v>1261</v>
      </c>
      <c r="B633" s="23" t="s">
        <v>9131</v>
      </c>
      <c r="C633" s="24" t="s">
        <v>1263</v>
      </c>
      <c r="D633" s="23" t="s">
        <v>9132</v>
      </c>
      <c r="E633" s="23" t="s">
        <v>1149</v>
      </c>
      <c r="F633" s="23" t="s">
        <v>105</v>
      </c>
      <c r="G633" s="25">
        <v>7.901938969E9</v>
      </c>
    </row>
    <row r="634" ht="22.5" customHeight="1">
      <c r="A634" s="18" t="s">
        <v>1858</v>
      </c>
      <c r="B634" s="19" t="s">
        <v>9133</v>
      </c>
      <c r="C634" s="20" t="s">
        <v>1859</v>
      </c>
      <c r="D634" s="19" t="s">
        <v>1858</v>
      </c>
      <c r="E634" s="19" t="s">
        <v>782</v>
      </c>
      <c r="F634" s="19" t="s">
        <v>105</v>
      </c>
      <c r="G634" s="21">
        <v>8.264805714E9</v>
      </c>
    </row>
    <row r="635" ht="22.5" customHeight="1">
      <c r="A635" s="22" t="s">
        <v>3654</v>
      </c>
      <c r="B635" s="23" t="s">
        <v>9135</v>
      </c>
      <c r="C635" s="24" t="s">
        <v>3655</v>
      </c>
      <c r="D635" s="23" t="s">
        <v>9136</v>
      </c>
      <c r="E635" s="23" t="s">
        <v>543</v>
      </c>
      <c r="F635" s="23" t="s">
        <v>105</v>
      </c>
      <c r="G635" s="25">
        <v>8.25206659E9</v>
      </c>
    </row>
    <row r="636" ht="22.5" customHeight="1">
      <c r="A636" s="18" t="s">
        <v>8843</v>
      </c>
      <c r="B636" s="19" t="s">
        <v>8841</v>
      </c>
      <c r="C636" s="20" t="s">
        <v>8844</v>
      </c>
      <c r="D636" s="19" t="s">
        <v>9137</v>
      </c>
      <c r="E636" s="19" t="s">
        <v>1303</v>
      </c>
      <c r="F636" s="19" t="s">
        <v>105</v>
      </c>
      <c r="G636" s="21">
        <v>9.773878885E9</v>
      </c>
    </row>
    <row r="637" ht="22.5" customHeight="1">
      <c r="A637" s="22" t="s">
        <v>9138</v>
      </c>
      <c r="B637" s="23" t="s">
        <v>9139</v>
      </c>
      <c r="C637" s="24" t="s">
        <v>3031</v>
      </c>
      <c r="D637" s="23" t="s">
        <v>9140</v>
      </c>
      <c r="E637" s="23" t="s">
        <v>22</v>
      </c>
      <c r="F637" s="23" t="s">
        <v>105</v>
      </c>
      <c r="G637" s="25">
        <v>9.87715242E9</v>
      </c>
    </row>
    <row r="638" ht="22.5" customHeight="1">
      <c r="A638" s="18" t="s">
        <v>3730</v>
      </c>
      <c r="B638" s="19" t="s">
        <v>9141</v>
      </c>
      <c r="C638" s="20" t="s">
        <v>3731</v>
      </c>
      <c r="D638" s="19" t="s">
        <v>9142</v>
      </c>
      <c r="E638" s="19" t="s">
        <v>227</v>
      </c>
      <c r="F638" s="19" t="s">
        <v>105</v>
      </c>
      <c r="G638" s="21">
        <v>6.283998763E9</v>
      </c>
    </row>
    <row r="639" ht="22.5" customHeight="1">
      <c r="A639" s="22" t="s">
        <v>1301</v>
      </c>
      <c r="B639" s="23" t="s">
        <v>9143</v>
      </c>
      <c r="C639" s="24" t="s">
        <v>1302</v>
      </c>
      <c r="D639" s="23" t="s">
        <v>9145</v>
      </c>
      <c r="E639" s="23" t="s">
        <v>1149</v>
      </c>
      <c r="F639" s="23" t="s">
        <v>105</v>
      </c>
      <c r="G639" s="25">
        <v>9.115795963E9</v>
      </c>
    </row>
    <row r="640" ht="22.5" customHeight="1">
      <c r="A640" s="18" t="s">
        <v>2568</v>
      </c>
      <c r="B640" s="19" t="s">
        <v>9146</v>
      </c>
      <c r="C640" s="20" t="s">
        <v>2569</v>
      </c>
      <c r="D640" s="19" t="s">
        <v>9147</v>
      </c>
      <c r="E640" s="19" t="s">
        <v>63</v>
      </c>
      <c r="F640" s="19" t="s">
        <v>105</v>
      </c>
      <c r="G640" s="21">
        <v>9.996927306E9</v>
      </c>
    </row>
    <row r="641" ht="22.5" customHeight="1">
      <c r="A641" s="22" t="s">
        <v>1842</v>
      </c>
      <c r="B641" s="23" t="s">
        <v>9148</v>
      </c>
      <c r="C641" s="24" t="s">
        <v>1843</v>
      </c>
      <c r="D641" s="23" t="s">
        <v>9149</v>
      </c>
      <c r="E641" s="23" t="s">
        <v>782</v>
      </c>
      <c r="F641" s="23" t="s">
        <v>105</v>
      </c>
      <c r="G641" s="25">
        <v>8.7642226E9</v>
      </c>
    </row>
    <row r="642" ht="22.5" customHeight="1">
      <c r="A642" s="18" t="s">
        <v>8660</v>
      </c>
      <c r="B642" s="19" t="s">
        <v>8658</v>
      </c>
      <c r="C642" s="20" t="s">
        <v>8661</v>
      </c>
      <c r="D642" s="19" t="s">
        <v>9150</v>
      </c>
      <c r="E642" s="19" t="s">
        <v>100</v>
      </c>
      <c r="F642" s="19" t="s">
        <v>105</v>
      </c>
      <c r="G642" s="21">
        <v>8.572873498E9</v>
      </c>
    </row>
    <row r="643" ht="22.5" customHeight="1">
      <c r="A643" s="22" t="s">
        <v>2112</v>
      </c>
      <c r="B643" s="23" t="s">
        <v>9152</v>
      </c>
      <c r="C643" s="24" t="s">
        <v>2114</v>
      </c>
      <c r="D643" s="23" t="s">
        <v>9153</v>
      </c>
      <c r="E643" s="23" t="s">
        <v>304</v>
      </c>
      <c r="F643" s="23" t="s">
        <v>105</v>
      </c>
      <c r="G643" s="25">
        <v>9.043900004E9</v>
      </c>
    </row>
    <row r="644" ht="22.5" customHeight="1">
      <c r="A644" s="18" t="s">
        <v>1498</v>
      </c>
      <c r="B644" s="19" t="s">
        <v>9154</v>
      </c>
      <c r="C644" s="20" t="s">
        <v>1499</v>
      </c>
      <c r="D644" s="19" t="s">
        <v>9155</v>
      </c>
      <c r="E644" s="19" t="s">
        <v>75</v>
      </c>
      <c r="F644" s="19" t="s">
        <v>105</v>
      </c>
      <c r="G644" s="21">
        <v>7.889255266E9</v>
      </c>
    </row>
    <row r="645" ht="22.5" customHeight="1">
      <c r="A645" s="22" t="s">
        <v>5286</v>
      </c>
      <c r="B645" s="23" t="s">
        <v>9156</v>
      </c>
      <c r="C645" s="24" t="s">
        <v>2629</v>
      </c>
      <c r="D645" s="23" t="s">
        <v>5286</v>
      </c>
      <c r="E645" s="23" t="s">
        <v>1071</v>
      </c>
      <c r="F645" s="23" t="s">
        <v>105</v>
      </c>
      <c r="G645" s="25">
        <v>7.986796265E9</v>
      </c>
    </row>
    <row r="646" ht="22.5" customHeight="1">
      <c r="A646" s="30" t="s">
        <v>669</v>
      </c>
      <c r="B646" s="19" t="s">
        <v>667</v>
      </c>
      <c r="C646" s="20" t="s">
        <v>670</v>
      </c>
      <c r="D646" s="19" t="s">
        <v>9157</v>
      </c>
      <c r="E646" s="19" t="s">
        <v>68</v>
      </c>
      <c r="F646" s="19" t="s">
        <v>105</v>
      </c>
      <c r="G646" s="21">
        <v>9.289050223E9</v>
      </c>
    </row>
    <row r="647" ht="22.5" customHeight="1">
      <c r="A647" s="22" t="s">
        <v>9159</v>
      </c>
      <c r="B647" s="23" t="s">
        <v>9160</v>
      </c>
      <c r="C647" s="24" t="s">
        <v>3789</v>
      </c>
      <c r="D647" s="23" t="s">
        <v>9161</v>
      </c>
      <c r="E647" s="23" t="s">
        <v>221</v>
      </c>
      <c r="F647" s="23" t="s">
        <v>105</v>
      </c>
      <c r="G647" s="25">
        <v>9.899916379E9</v>
      </c>
    </row>
    <row r="648" ht="22.5" customHeight="1">
      <c r="A648" s="18" t="s">
        <v>6644</v>
      </c>
      <c r="B648" s="19" t="s">
        <v>9160</v>
      </c>
      <c r="C648" s="20" t="s">
        <v>6645</v>
      </c>
      <c r="D648" s="19" t="s">
        <v>9162</v>
      </c>
      <c r="E648" s="19" t="s">
        <v>98</v>
      </c>
      <c r="F648" s="19" t="s">
        <v>105</v>
      </c>
      <c r="G648" s="21">
        <v>9.14925154E9</v>
      </c>
    </row>
    <row r="649" ht="22.5" customHeight="1">
      <c r="A649" s="22" t="s">
        <v>3755</v>
      </c>
      <c r="B649" s="23" t="s">
        <v>9163</v>
      </c>
      <c r="C649" s="24" t="s">
        <v>3735</v>
      </c>
      <c r="D649" s="23" t="s">
        <v>3755</v>
      </c>
      <c r="E649" s="23" t="s">
        <v>227</v>
      </c>
      <c r="F649" s="23" t="s">
        <v>105</v>
      </c>
      <c r="G649" s="25">
        <v>9.81341267E9</v>
      </c>
    </row>
    <row r="650" ht="22.5" customHeight="1">
      <c r="A650" s="18" t="s">
        <v>9164</v>
      </c>
      <c r="B650" s="19" t="s">
        <v>9165</v>
      </c>
      <c r="C650" s="20" t="s">
        <v>5872</v>
      </c>
      <c r="D650" s="19" t="s">
        <v>9166</v>
      </c>
      <c r="E650" s="19" t="s">
        <v>1243</v>
      </c>
      <c r="F650" s="19" t="s">
        <v>105</v>
      </c>
      <c r="G650" s="21">
        <v>7.986402286E9</v>
      </c>
    </row>
    <row r="651" ht="22.5" customHeight="1">
      <c r="A651" s="22" t="s">
        <v>8008</v>
      </c>
      <c r="B651" s="23" t="s">
        <v>9168</v>
      </c>
      <c r="C651" s="24" t="s">
        <v>8009</v>
      </c>
      <c r="D651" s="23" t="s">
        <v>9169</v>
      </c>
      <c r="E651" s="23" t="s">
        <v>559</v>
      </c>
      <c r="F651" s="23" t="s">
        <v>105</v>
      </c>
      <c r="G651" s="25">
        <v>8.837552925E9</v>
      </c>
    </row>
    <row r="652" ht="22.5" customHeight="1">
      <c r="A652" s="18" t="s">
        <v>3551</v>
      </c>
      <c r="B652" s="19" t="s">
        <v>9170</v>
      </c>
      <c r="C652" s="20" t="s">
        <v>3520</v>
      </c>
      <c r="D652" s="19" t="s">
        <v>9171</v>
      </c>
      <c r="E652" s="19" t="s">
        <v>68</v>
      </c>
      <c r="F652" s="19" t="s">
        <v>105</v>
      </c>
      <c r="G652" s="21">
        <v>8.699401153E9</v>
      </c>
    </row>
    <row r="653" ht="22.5" customHeight="1">
      <c r="A653" s="22" t="s">
        <v>3631</v>
      </c>
      <c r="B653" s="23" t="s">
        <v>9172</v>
      </c>
      <c r="C653" s="24" t="s">
        <v>3632</v>
      </c>
      <c r="D653" s="23" t="s">
        <v>9173</v>
      </c>
      <c r="E653" s="23" t="s">
        <v>543</v>
      </c>
      <c r="F653" s="23" t="s">
        <v>105</v>
      </c>
      <c r="G653" s="25">
        <v>7.717382815E9</v>
      </c>
    </row>
    <row r="654" ht="22.5" customHeight="1">
      <c r="A654" s="18" t="s">
        <v>7316</v>
      </c>
      <c r="B654" s="19" t="s">
        <v>9175</v>
      </c>
      <c r="C654" s="20" t="s">
        <v>7317</v>
      </c>
      <c r="D654" s="19" t="s">
        <v>9176</v>
      </c>
      <c r="E654" s="19" t="s">
        <v>1561</v>
      </c>
      <c r="F654" s="19" t="s">
        <v>105</v>
      </c>
      <c r="G654" s="21">
        <v>9.289622838E9</v>
      </c>
    </row>
    <row r="655" ht="22.5" customHeight="1">
      <c r="A655" s="22" t="s">
        <v>28</v>
      </c>
      <c r="B655" s="23" t="s">
        <v>9110</v>
      </c>
      <c r="C655" s="24" t="s">
        <v>29</v>
      </c>
      <c r="D655" s="23" t="s">
        <v>9177</v>
      </c>
      <c r="E655" s="23" t="s">
        <v>30</v>
      </c>
      <c r="F655" s="23" t="s">
        <v>105</v>
      </c>
      <c r="G655" s="25">
        <v>9.315170508E9</v>
      </c>
    </row>
    <row r="656" ht="22.5" customHeight="1">
      <c r="A656" s="18" t="s">
        <v>5185</v>
      </c>
      <c r="B656" s="19" t="s">
        <v>9178</v>
      </c>
      <c r="C656" s="20" t="s">
        <v>2385</v>
      </c>
      <c r="D656" s="19" t="s">
        <v>5185</v>
      </c>
      <c r="E656" s="19" t="s">
        <v>184</v>
      </c>
      <c r="F656" s="19" t="s">
        <v>105</v>
      </c>
      <c r="G656" s="21">
        <v>8.571923728E9</v>
      </c>
    </row>
    <row r="657" ht="22.5" customHeight="1">
      <c r="A657" s="22" t="s">
        <v>1376</v>
      </c>
      <c r="B657" s="23" t="s">
        <v>9179</v>
      </c>
      <c r="C657" s="24" t="s">
        <v>1377</v>
      </c>
      <c r="D657" s="23" t="s">
        <v>9180</v>
      </c>
      <c r="E657" s="23" t="s">
        <v>389</v>
      </c>
      <c r="F657" s="23" t="s">
        <v>105</v>
      </c>
      <c r="G657" s="25">
        <v>8.882174352E9</v>
      </c>
    </row>
    <row r="658" ht="22.5" customHeight="1">
      <c r="A658" s="18" t="s">
        <v>8075</v>
      </c>
      <c r="B658" s="19" t="s">
        <v>9181</v>
      </c>
      <c r="C658" s="20" t="s">
        <v>8076</v>
      </c>
      <c r="D658" s="19" t="s">
        <v>8075</v>
      </c>
      <c r="E658" s="19" t="s">
        <v>4200</v>
      </c>
      <c r="F658" s="19" t="s">
        <v>105</v>
      </c>
      <c r="G658" s="21">
        <v>8.872533035E9</v>
      </c>
    </row>
    <row r="659" ht="22.5" customHeight="1">
      <c r="A659" s="22" t="s">
        <v>7671</v>
      </c>
      <c r="B659" s="23" t="s">
        <v>8834</v>
      </c>
      <c r="C659" s="24" t="s">
        <v>7672</v>
      </c>
      <c r="D659" s="23" t="s">
        <v>9183</v>
      </c>
      <c r="E659" s="23" t="s">
        <v>238</v>
      </c>
      <c r="F659" s="23" t="s">
        <v>105</v>
      </c>
      <c r="G659" s="25">
        <v>9.817244196E9</v>
      </c>
    </row>
    <row r="660" ht="22.5" customHeight="1">
      <c r="A660" s="18" t="s">
        <v>838</v>
      </c>
      <c r="B660" s="19" t="s">
        <v>9184</v>
      </c>
      <c r="C660" s="20" t="s">
        <v>839</v>
      </c>
      <c r="D660" s="19" t="s">
        <v>9185</v>
      </c>
      <c r="E660" s="19" t="s">
        <v>52</v>
      </c>
      <c r="F660" s="19" t="s">
        <v>105</v>
      </c>
      <c r="G660" s="21">
        <v>9.041882838E9</v>
      </c>
    </row>
    <row r="661" ht="22.5" customHeight="1">
      <c r="A661" s="22" t="s">
        <v>4530</v>
      </c>
      <c r="B661" s="23" t="s">
        <v>4528</v>
      </c>
      <c r="C661" s="24" t="s">
        <v>4532</v>
      </c>
      <c r="D661" s="23" t="s">
        <v>4530</v>
      </c>
      <c r="E661" s="23" t="s">
        <v>617</v>
      </c>
      <c r="F661" s="23" t="s">
        <v>105</v>
      </c>
      <c r="G661" s="25">
        <v>8.837823063E9</v>
      </c>
    </row>
    <row r="662" ht="22.5" customHeight="1">
      <c r="A662" s="18" t="s">
        <v>9186</v>
      </c>
      <c r="B662" s="19" t="s">
        <v>9187</v>
      </c>
      <c r="C662" s="20" t="s">
        <v>4333</v>
      </c>
      <c r="D662" s="19" t="s">
        <v>9188</v>
      </c>
      <c r="E662" s="19" t="s">
        <v>1462</v>
      </c>
      <c r="F662" s="19" t="s">
        <v>105</v>
      </c>
      <c r="G662" s="21">
        <v>9.992382778E9</v>
      </c>
    </row>
    <row r="663" ht="22.5" customHeight="1">
      <c r="A663" s="22" t="s">
        <v>1863</v>
      </c>
      <c r="B663" s="23" t="s">
        <v>9189</v>
      </c>
      <c r="C663" s="24" t="s">
        <v>1865</v>
      </c>
      <c r="D663" s="23" t="s">
        <v>9190</v>
      </c>
      <c r="E663" s="23" t="s">
        <v>782</v>
      </c>
      <c r="F663" s="23" t="s">
        <v>105</v>
      </c>
      <c r="G663" s="25">
        <v>7.009558405E9</v>
      </c>
    </row>
    <row r="664" ht="22.5" customHeight="1">
      <c r="A664" s="18" t="s">
        <v>6232</v>
      </c>
      <c r="B664" s="19" t="s">
        <v>9192</v>
      </c>
      <c r="C664" s="20" t="s">
        <v>6234</v>
      </c>
      <c r="D664" s="19" t="s">
        <v>9193</v>
      </c>
      <c r="E664" s="19" t="s">
        <v>1002</v>
      </c>
      <c r="F664" s="19" t="s">
        <v>105</v>
      </c>
      <c r="G664" s="29"/>
    </row>
    <row r="665" ht="22.5" customHeight="1">
      <c r="A665" s="22" t="s">
        <v>1397</v>
      </c>
      <c r="B665" s="23" t="s">
        <v>9194</v>
      </c>
      <c r="C665" s="24" t="s">
        <v>1399</v>
      </c>
      <c r="D665" s="23" t="s">
        <v>9195</v>
      </c>
      <c r="E665" s="23" t="s">
        <v>389</v>
      </c>
      <c r="F665" s="23" t="s">
        <v>105</v>
      </c>
      <c r="G665" s="25">
        <v>9.646800777E9</v>
      </c>
    </row>
    <row r="666" ht="22.5" customHeight="1">
      <c r="A666" s="18" t="s">
        <v>7630</v>
      </c>
      <c r="B666" s="19" t="s">
        <v>9196</v>
      </c>
      <c r="C666" s="20" t="s">
        <v>7631</v>
      </c>
      <c r="D666" s="19" t="s">
        <v>9197</v>
      </c>
      <c r="E666" s="19" t="s">
        <v>123</v>
      </c>
      <c r="F666" s="19" t="s">
        <v>105</v>
      </c>
      <c r="G666" s="21">
        <v>6.239556013E9</v>
      </c>
    </row>
    <row r="667" ht="22.5" customHeight="1">
      <c r="A667" s="22" t="s">
        <v>45</v>
      </c>
      <c r="B667" s="23" t="s">
        <v>43</v>
      </c>
      <c r="C667" s="24" t="s">
        <v>46</v>
      </c>
      <c r="D667" s="23" t="s">
        <v>9198</v>
      </c>
      <c r="E667" s="23" t="s">
        <v>47</v>
      </c>
      <c r="F667" s="23" t="s">
        <v>105</v>
      </c>
      <c r="G667" s="25">
        <v>9.818643993E9</v>
      </c>
    </row>
    <row r="668" ht="22.5" customHeight="1">
      <c r="A668" s="18" t="s">
        <v>3306</v>
      </c>
      <c r="B668" s="19" t="s">
        <v>9199</v>
      </c>
      <c r="C668" s="20" t="s">
        <v>3307</v>
      </c>
      <c r="D668" s="19" t="s">
        <v>9201</v>
      </c>
      <c r="E668" s="19" t="s">
        <v>524</v>
      </c>
      <c r="F668" s="19" t="s">
        <v>105</v>
      </c>
      <c r="G668" s="21">
        <v>7.696258151E9</v>
      </c>
    </row>
    <row r="669" ht="22.5" customHeight="1">
      <c r="A669" s="22" t="s">
        <v>5662</v>
      </c>
      <c r="B669" s="23" t="s">
        <v>9202</v>
      </c>
      <c r="C669" s="24" t="s">
        <v>5663</v>
      </c>
      <c r="D669" s="23" t="s">
        <v>9203</v>
      </c>
      <c r="E669" s="23" t="s">
        <v>1243</v>
      </c>
      <c r="F669" s="23" t="s">
        <v>105</v>
      </c>
      <c r="G669" s="25">
        <v>8.146677949E9</v>
      </c>
    </row>
    <row r="670" ht="22.5" customHeight="1">
      <c r="A670" s="18" t="s">
        <v>2182</v>
      </c>
      <c r="B670" s="19" t="s">
        <v>9204</v>
      </c>
      <c r="C670" s="20" t="s">
        <v>2183</v>
      </c>
      <c r="D670" s="19" t="s">
        <v>9205</v>
      </c>
      <c r="E670" s="19" t="s">
        <v>304</v>
      </c>
      <c r="F670" s="19" t="s">
        <v>105</v>
      </c>
      <c r="G670" s="21">
        <v>8.427209414E9</v>
      </c>
    </row>
    <row r="671" ht="22.5" customHeight="1">
      <c r="A671" s="22" t="s">
        <v>6885</v>
      </c>
      <c r="B671" s="23" t="s">
        <v>9206</v>
      </c>
      <c r="C671" s="24" t="s">
        <v>6886</v>
      </c>
      <c r="D671" s="23" t="s">
        <v>6885</v>
      </c>
      <c r="E671" s="23" t="s">
        <v>1946</v>
      </c>
      <c r="F671" s="23" t="s">
        <v>105</v>
      </c>
      <c r="G671" s="25">
        <v>7.973131287E9</v>
      </c>
    </row>
    <row r="672" ht="22.5" customHeight="1">
      <c r="A672" s="18" t="s">
        <v>4450</v>
      </c>
      <c r="B672" s="19" t="s">
        <v>9207</v>
      </c>
      <c r="C672" s="20" t="s">
        <v>4451</v>
      </c>
      <c r="D672" s="19" t="s">
        <v>9208</v>
      </c>
      <c r="E672" s="19" t="s">
        <v>617</v>
      </c>
      <c r="F672" s="19" t="s">
        <v>105</v>
      </c>
      <c r="G672" s="21">
        <v>9.888404144E9</v>
      </c>
    </row>
    <row r="673" ht="22.5" customHeight="1">
      <c r="A673" s="22" t="s">
        <v>2039</v>
      </c>
      <c r="B673" s="23" t="s">
        <v>9209</v>
      </c>
      <c r="C673" s="24" t="s">
        <v>2040</v>
      </c>
      <c r="D673" s="23" t="s">
        <v>9210</v>
      </c>
      <c r="E673" s="23" t="s">
        <v>17</v>
      </c>
      <c r="F673" s="23" t="s">
        <v>105</v>
      </c>
      <c r="G673" s="25">
        <v>7.707809023E9</v>
      </c>
    </row>
    <row r="674" ht="22.5" customHeight="1">
      <c r="A674" s="18" t="s">
        <v>9211</v>
      </c>
      <c r="B674" s="19" t="s">
        <v>9207</v>
      </c>
      <c r="C674" s="20" t="s">
        <v>9212</v>
      </c>
      <c r="D674" s="19" t="s">
        <v>9213</v>
      </c>
      <c r="E674" s="19" t="s">
        <v>384</v>
      </c>
      <c r="F674" s="19" t="s">
        <v>105</v>
      </c>
      <c r="G674" s="21">
        <v>9.781535697E9</v>
      </c>
    </row>
    <row r="675" ht="22.5" customHeight="1">
      <c r="A675" s="22" t="s">
        <v>6147</v>
      </c>
      <c r="B675" s="23" t="s">
        <v>9214</v>
      </c>
      <c r="C675" s="24" t="s">
        <v>6148</v>
      </c>
      <c r="D675" s="23" t="s">
        <v>9216</v>
      </c>
      <c r="E675" s="23" t="s">
        <v>1002</v>
      </c>
      <c r="F675" s="23" t="s">
        <v>105</v>
      </c>
      <c r="G675" s="25">
        <v>7.626814056E9</v>
      </c>
    </row>
    <row r="676" ht="22.5" customHeight="1">
      <c r="A676" s="18" t="s">
        <v>6355</v>
      </c>
      <c r="B676" s="19" t="s">
        <v>9204</v>
      </c>
      <c r="C676" s="20" t="s">
        <v>6356</v>
      </c>
      <c r="D676" s="19" t="s">
        <v>9217</v>
      </c>
      <c r="E676" s="19" t="s">
        <v>255</v>
      </c>
      <c r="F676" s="19" t="s">
        <v>105</v>
      </c>
      <c r="G676" s="21">
        <v>6.239466926E9</v>
      </c>
    </row>
    <row r="677" ht="22.5" customHeight="1">
      <c r="A677" s="22" t="s">
        <v>2616</v>
      </c>
      <c r="B677" s="23" t="s">
        <v>9218</v>
      </c>
      <c r="C677" s="24" t="s">
        <v>2617</v>
      </c>
      <c r="D677" s="23" t="s">
        <v>9219</v>
      </c>
      <c r="E677" s="23" t="s">
        <v>204</v>
      </c>
      <c r="F677" s="23" t="s">
        <v>105</v>
      </c>
      <c r="G677" s="25">
        <v>9.877852785E9</v>
      </c>
    </row>
    <row r="678" ht="22.5" customHeight="1">
      <c r="A678" s="18" t="s">
        <v>8630</v>
      </c>
      <c r="B678" s="19" t="s">
        <v>8628</v>
      </c>
      <c r="C678" s="20" t="s">
        <v>8632</v>
      </c>
      <c r="D678" s="19" t="s">
        <v>9220</v>
      </c>
      <c r="E678" s="19" t="s">
        <v>100</v>
      </c>
      <c r="F678" s="19" t="s">
        <v>105</v>
      </c>
      <c r="G678" s="21">
        <v>7.888341909E9</v>
      </c>
    </row>
    <row r="679" ht="22.5" customHeight="1">
      <c r="A679" s="22" t="s">
        <v>5327</v>
      </c>
      <c r="B679" s="23" t="s">
        <v>9221</v>
      </c>
      <c r="C679" s="24" t="s">
        <v>2751</v>
      </c>
      <c r="D679" s="23" t="s">
        <v>9222</v>
      </c>
      <c r="E679" s="23" t="s">
        <v>1379</v>
      </c>
      <c r="F679" s="23" t="s">
        <v>105</v>
      </c>
      <c r="G679" s="25">
        <v>7.302221579E9</v>
      </c>
    </row>
    <row r="680" ht="22.5" customHeight="1">
      <c r="A680" s="18" t="s">
        <v>2622</v>
      </c>
      <c r="B680" s="19" t="s">
        <v>9223</v>
      </c>
      <c r="C680" s="20" t="s">
        <v>2624</v>
      </c>
      <c r="D680" s="19" t="s">
        <v>9224</v>
      </c>
      <c r="E680" s="19" t="s">
        <v>63</v>
      </c>
      <c r="F680" s="19" t="s">
        <v>105</v>
      </c>
      <c r="G680" s="21">
        <v>8.868890044E9</v>
      </c>
    </row>
    <row r="681" ht="22.5" customHeight="1">
      <c r="A681" s="22" t="s">
        <v>6728</v>
      </c>
      <c r="B681" s="23" t="s">
        <v>9226</v>
      </c>
      <c r="C681" s="24" t="s">
        <v>6729</v>
      </c>
      <c r="D681" s="23" t="s">
        <v>6728</v>
      </c>
      <c r="E681" s="23" t="s">
        <v>98</v>
      </c>
      <c r="F681" s="23" t="s">
        <v>105</v>
      </c>
      <c r="G681" s="25">
        <v>6.28026582E9</v>
      </c>
    </row>
    <row r="682" ht="22.5" customHeight="1">
      <c r="A682" s="18" t="s">
        <v>3104</v>
      </c>
      <c r="B682" s="19" t="s">
        <v>9227</v>
      </c>
      <c r="C682" s="20" t="s">
        <v>3105</v>
      </c>
      <c r="D682" s="19" t="s">
        <v>9228</v>
      </c>
      <c r="E682" s="19" t="s">
        <v>22</v>
      </c>
      <c r="F682" s="19" t="s">
        <v>105</v>
      </c>
      <c r="G682" s="21">
        <v>9.779451669E9</v>
      </c>
    </row>
    <row r="683" ht="22.5" customHeight="1">
      <c r="A683" s="22" t="s">
        <v>5582</v>
      </c>
      <c r="B683" s="23" t="s">
        <v>5580</v>
      </c>
      <c r="C683" s="24" t="s">
        <v>5583</v>
      </c>
      <c r="D683" s="23" t="s">
        <v>9229</v>
      </c>
      <c r="E683" s="23" t="s">
        <v>689</v>
      </c>
      <c r="F683" s="23" t="s">
        <v>105</v>
      </c>
      <c r="G683" s="25">
        <v>7.696724169E9</v>
      </c>
    </row>
    <row r="684" ht="22.5" customHeight="1">
      <c r="A684" s="18" t="s">
        <v>7518</v>
      </c>
      <c r="B684" s="19" t="s">
        <v>7516</v>
      </c>
      <c r="C684" s="20" t="s">
        <v>7519</v>
      </c>
      <c r="D684" s="19" t="s">
        <v>9230</v>
      </c>
      <c r="E684" s="19" t="s">
        <v>756</v>
      </c>
      <c r="F684" s="19" t="s">
        <v>105</v>
      </c>
      <c r="G684" s="21">
        <v>8.928911375E9</v>
      </c>
    </row>
    <row r="685" ht="22.5" customHeight="1">
      <c r="A685" s="22" t="s">
        <v>3850</v>
      </c>
      <c r="B685" s="23" t="s">
        <v>9231</v>
      </c>
      <c r="C685" s="24" t="s">
        <v>3851</v>
      </c>
      <c r="D685" s="23" t="s">
        <v>9232</v>
      </c>
      <c r="E685" s="23" t="s">
        <v>221</v>
      </c>
      <c r="F685" s="23" t="s">
        <v>105</v>
      </c>
      <c r="G685" s="25">
        <v>8.847025904E9</v>
      </c>
    </row>
    <row r="686" ht="22.5" customHeight="1">
      <c r="A686" s="18" t="s">
        <v>7747</v>
      </c>
      <c r="B686" s="19" t="s">
        <v>9234</v>
      </c>
      <c r="C686" s="20" t="s">
        <v>7748</v>
      </c>
      <c r="D686" s="19" t="s">
        <v>9235</v>
      </c>
      <c r="E686" s="19" t="s">
        <v>792</v>
      </c>
      <c r="F686" s="19" t="s">
        <v>105</v>
      </c>
      <c r="G686" s="21">
        <v>7.652920228E9</v>
      </c>
    </row>
    <row r="687" ht="22.5" customHeight="1">
      <c r="A687" s="22" t="s">
        <v>8733</v>
      </c>
      <c r="B687" s="23" t="s">
        <v>8731</v>
      </c>
      <c r="C687" s="24" t="s">
        <v>8731</v>
      </c>
      <c r="D687" s="23" t="s">
        <v>9236</v>
      </c>
      <c r="E687" s="23" t="s">
        <v>1607</v>
      </c>
      <c r="F687" s="23" t="s">
        <v>105</v>
      </c>
      <c r="G687" s="25">
        <v>7.404754807E9</v>
      </c>
    </row>
    <row r="688" ht="22.5" customHeight="1">
      <c r="A688" s="18" t="s">
        <v>9237</v>
      </c>
      <c r="B688" s="19" t="s">
        <v>9238</v>
      </c>
      <c r="C688" s="20" t="s">
        <v>4402</v>
      </c>
      <c r="D688" s="19" t="s">
        <v>9239</v>
      </c>
      <c r="E688" s="19" t="s">
        <v>1462</v>
      </c>
      <c r="F688" s="19" t="s">
        <v>105</v>
      </c>
      <c r="G688" s="21">
        <v>9.46130408E9</v>
      </c>
    </row>
    <row r="689" ht="22.5" customHeight="1">
      <c r="A689" s="22" t="s">
        <v>7659</v>
      </c>
      <c r="B689" s="23" t="s">
        <v>9240</v>
      </c>
      <c r="C689" s="24" t="s">
        <v>3880</v>
      </c>
      <c r="D689" s="23" t="s">
        <v>9241</v>
      </c>
      <c r="E689" s="23" t="s">
        <v>221</v>
      </c>
      <c r="F689" s="23" t="s">
        <v>105</v>
      </c>
      <c r="G689" s="34" t="str">
        <f>+91 8929068655</f>
        <v>#ERROR!</v>
      </c>
    </row>
    <row r="690" ht="22.5" customHeight="1">
      <c r="A690" s="18" t="s">
        <v>5266</v>
      </c>
      <c r="B690" s="19" t="s">
        <v>9242</v>
      </c>
      <c r="C690" s="20" t="s">
        <v>2565</v>
      </c>
      <c r="D690" s="19" t="s">
        <v>5266</v>
      </c>
      <c r="E690" s="19" t="s">
        <v>1071</v>
      </c>
      <c r="F690" s="19" t="s">
        <v>105</v>
      </c>
      <c r="G690" s="21">
        <v>7.827172683E9</v>
      </c>
    </row>
    <row r="691" ht="22.5" customHeight="1">
      <c r="A691" s="22" t="s">
        <v>8228</v>
      </c>
      <c r="B691" s="23" t="s">
        <v>9244</v>
      </c>
      <c r="C691" s="24" t="s">
        <v>8229</v>
      </c>
      <c r="D691" s="23" t="s">
        <v>9245</v>
      </c>
      <c r="E691" s="23" t="s">
        <v>8218</v>
      </c>
      <c r="F691" s="23" t="s">
        <v>105</v>
      </c>
      <c r="G691" s="25">
        <v>7.009232474E9</v>
      </c>
    </row>
    <row r="692" ht="22.5" customHeight="1">
      <c r="A692" s="18" t="s">
        <v>7871</v>
      </c>
      <c r="B692" s="19" t="s">
        <v>9246</v>
      </c>
      <c r="C692" s="20" t="s">
        <v>7872</v>
      </c>
      <c r="D692" s="19" t="s">
        <v>9247</v>
      </c>
      <c r="E692" s="19" t="s">
        <v>303</v>
      </c>
      <c r="F692" s="19" t="s">
        <v>105</v>
      </c>
      <c r="G692" s="21">
        <v>9.87082701E9</v>
      </c>
    </row>
    <row r="693" ht="22.5" customHeight="1">
      <c r="A693" s="22" t="s">
        <v>2729</v>
      </c>
      <c r="B693" s="23" t="s">
        <v>9248</v>
      </c>
      <c r="C693" s="24" t="s">
        <v>2730</v>
      </c>
      <c r="D693" s="23" t="s">
        <v>9249</v>
      </c>
      <c r="E693" s="23" t="s">
        <v>265</v>
      </c>
      <c r="F693" s="23" t="s">
        <v>105</v>
      </c>
      <c r="G693" s="25">
        <v>8.059019718E9</v>
      </c>
    </row>
    <row r="694" ht="22.5" customHeight="1">
      <c r="A694" s="18" t="s">
        <v>6365</v>
      </c>
      <c r="B694" s="19" t="s">
        <v>9250</v>
      </c>
      <c r="C694" s="20" t="s">
        <v>6366</v>
      </c>
      <c r="D694" s="19" t="s">
        <v>9251</v>
      </c>
      <c r="E694" s="19" t="s">
        <v>2970</v>
      </c>
      <c r="F694" s="19" t="s">
        <v>105</v>
      </c>
      <c r="G694" s="21">
        <v>8.307618049E9</v>
      </c>
    </row>
    <row r="695" ht="22.5" customHeight="1">
      <c r="A695" s="22" t="s">
        <v>8836</v>
      </c>
      <c r="B695" s="23" t="s">
        <v>8834</v>
      </c>
      <c r="C695" s="24" t="s">
        <v>8837</v>
      </c>
      <c r="D695" s="23" t="s">
        <v>9252</v>
      </c>
      <c r="E695" s="23" t="s">
        <v>1303</v>
      </c>
      <c r="F695" s="23" t="s">
        <v>105</v>
      </c>
      <c r="G695" s="25">
        <v>7.404949378E9</v>
      </c>
    </row>
    <row r="696" ht="22.5" customHeight="1">
      <c r="A696" s="18" t="s">
        <v>1918</v>
      </c>
      <c r="B696" s="19" t="s">
        <v>9254</v>
      </c>
      <c r="C696" s="20" t="s">
        <v>1920</v>
      </c>
      <c r="D696" s="19" t="s">
        <v>9255</v>
      </c>
      <c r="E696" s="19" t="s">
        <v>782</v>
      </c>
      <c r="F696" s="19" t="s">
        <v>105</v>
      </c>
      <c r="G696" s="21">
        <v>9.569677774E9</v>
      </c>
    </row>
    <row r="697" ht="22.5" customHeight="1">
      <c r="A697" s="22" t="s">
        <v>4898</v>
      </c>
      <c r="B697" s="23" t="s">
        <v>9256</v>
      </c>
      <c r="C697" s="24" t="s">
        <v>4899</v>
      </c>
      <c r="D697" s="23" t="s">
        <v>9257</v>
      </c>
      <c r="E697" s="23" t="s">
        <v>889</v>
      </c>
      <c r="F697" s="23" t="s">
        <v>105</v>
      </c>
      <c r="G697" s="25">
        <v>9.540744748E9</v>
      </c>
    </row>
    <row r="698" ht="22.5" customHeight="1">
      <c r="A698" s="18" t="s">
        <v>3415</v>
      </c>
      <c r="B698" s="19" t="s">
        <v>9258</v>
      </c>
      <c r="C698" s="20" t="s">
        <v>3416</v>
      </c>
      <c r="D698" s="19" t="s">
        <v>9259</v>
      </c>
      <c r="E698" s="19" t="s">
        <v>37</v>
      </c>
      <c r="F698" s="19" t="s">
        <v>105</v>
      </c>
      <c r="G698" s="21">
        <v>6.283680856E9</v>
      </c>
    </row>
    <row r="699" ht="22.5" customHeight="1">
      <c r="A699" s="22" t="s">
        <v>4240</v>
      </c>
      <c r="B699" s="23" t="s">
        <v>9260</v>
      </c>
      <c r="C699" s="24" t="s">
        <v>4241</v>
      </c>
      <c r="D699" s="23" t="s">
        <v>9261</v>
      </c>
      <c r="E699" s="23" t="s">
        <v>1737</v>
      </c>
      <c r="F699" s="23" t="s">
        <v>105</v>
      </c>
      <c r="G699" s="25">
        <v>8.126444805E9</v>
      </c>
    </row>
    <row r="700" ht="22.5" customHeight="1">
      <c r="A700" s="18" t="s">
        <v>4088</v>
      </c>
      <c r="B700" s="19" t="s">
        <v>9262</v>
      </c>
      <c r="C700" s="20" t="s">
        <v>4089</v>
      </c>
      <c r="D700" s="19" t="s">
        <v>9263</v>
      </c>
      <c r="E700" s="19" t="s">
        <v>365</v>
      </c>
      <c r="F700" s="19" t="s">
        <v>105</v>
      </c>
      <c r="G700" s="21">
        <v>7.009446018E9</v>
      </c>
    </row>
    <row r="701" ht="22.5" customHeight="1">
      <c r="A701" s="22" t="s">
        <v>2704</v>
      </c>
      <c r="B701" s="23" t="s">
        <v>9265</v>
      </c>
      <c r="C701" s="24" t="s">
        <v>2705</v>
      </c>
      <c r="D701" s="23" t="s">
        <v>9266</v>
      </c>
      <c r="E701" s="23" t="s">
        <v>204</v>
      </c>
      <c r="F701" s="23" t="s">
        <v>105</v>
      </c>
      <c r="G701" s="25">
        <v>7.814700651E9</v>
      </c>
    </row>
    <row r="702" ht="22.5" customHeight="1">
      <c r="A702" s="18" t="s">
        <v>6609</v>
      </c>
      <c r="B702" s="19" t="s">
        <v>9267</v>
      </c>
      <c r="C702" s="20" t="s">
        <v>6610</v>
      </c>
      <c r="D702" s="19" t="s">
        <v>9268</v>
      </c>
      <c r="E702" s="19" t="s">
        <v>63</v>
      </c>
      <c r="F702" s="19" t="s">
        <v>105</v>
      </c>
      <c r="G702" s="21">
        <v>9.877701691E9</v>
      </c>
    </row>
    <row r="703" ht="22.5" customHeight="1">
      <c r="A703" s="22" t="s">
        <v>8526</v>
      </c>
      <c r="B703" s="23" t="s">
        <v>8524</v>
      </c>
      <c r="C703" s="24" t="s">
        <v>8527</v>
      </c>
      <c r="D703" s="23" t="s">
        <v>9269</v>
      </c>
      <c r="E703" s="23" t="s">
        <v>1607</v>
      </c>
      <c r="F703" s="23" t="s">
        <v>105</v>
      </c>
      <c r="G703" s="25">
        <v>8.146311704E9</v>
      </c>
    </row>
    <row r="704" ht="22.5" customHeight="1">
      <c r="A704" s="18" t="s">
        <v>3857</v>
      </c>
      <c r="B704" s="19" t="s">
        <v>9270</v>
      </c>
      <c r="C704" s="20" t="s">
        <v>3858</v>
      </c>
      <c r="D704" s="19" t="s">
        <v>9271</v>
      </c>
      <c r="E704" s="19" t="s">
        <v>282</v>
      </c>
      <c r="F704" s="19" t="s">
        <v>105</v>
      </c>
      <c r="G704" s="21">
        <v>9.688300097E9</v>
      </c>
    </row>
    <row r="705" ht="22.5" customHeight="1">
      <c r="A705" s="22" t="s">
        <v>6303</v>
      </c>
      <c r="B705" s="23" t="s">
        <v>9272</v>
      </c>
      <c r="C705" s="24" t="s">
        <v>6304</v>
      </c>
      <c r="D705" s="23" t="s">
        <v>9273</v>
      </c>
      <c r="E705" s="23" t="s">
        <v>255</v>
      </c>
      <c r="F705" s="23" t="s">
        <v>105</v>
      </c>
      <c r="G705" s="25">
        <v>8.851570745E9</v>
      </c>
    </row>
    <row r="706" ht="22.5" customHeight="1">
      <c r="A706" s="18" t="s">
        <v>376</v>
      </c>
      <c r="B706" s="19" t="s">
        <v>373</v>
      </c>
      <c r="C706" s="20" t="s">
        <v>377</v>
      </c>
      <c r="D706" s="19" t="s">
        <v>9274</v>
      </c>
      <c r="E706" s="19" t="s">
        <v>75</v>
      </c>
      <c r="F706" s="19" t="s">
        <v>105</v>
      </c>
      <c r="G706" s="21">
        <v>8.968052795E9</v>
      </c>
    </row>
    <row r="707" ht="22.5" customHeight="1">
      <c r="A707" s="22" t="s">
        <v>8776</v>
      </c>
      <c r="B707" s="23" t="s">
        <v>8774</v>
      </c>
      <c r="C707" s="24" t="s">
        <v>8777</v>
      </c>
      <c r="D707" s="23" t="s">
        <v>9276</v>
      </c>
      <c r="E707" s="23" t="s">
        <v>1607</v>
      </c>
      <c r="F707" s="23" t="s">
        <v>105</v>
      </c>
      <c r="G707" s="25">
        <v>9.097941313E9</v>
      </c>
    </row>
    <row r="708" ht="22.5" customHeight="1">
      <c r="A708" s="18" t="s">
        <v>2108</v>
      </c>
      <c r="B708" s="19" t="s">
        <v>9277</v>
      </c>
      <c r="C708" s="20" t="s">
        <v>2109</v>
      </c>
      <c r="D708" s="19" t="s">
        <v>2108</v>
      </c>
      <c r="E708" s="19" t="s">
        <v>17</v>
      </c>
      <c r="F708" s="19" t="s">
        <v>105</v>
      </c>
      <c r="G708" s="21">
        <v>6.28401544E9</v>
      </c>
    </row>
    <row r="709" ht="22.5" customHeight="1">
      <c r="A709" s="22" t="s">
        <v>9278</v>
      </c>
      <c r="B709" s="23" t="s">
        <v>9279</v>
      </c>
      <c r="C709" s="24" t="s">
        <v>5832</v>
      </c>
      <c r="D709" s="23" t="s">
        <v>9280</v>
      </c>
      <c r="E709" s="23" t="s">
        <v>42</v>
      </c>
      <c r="F709" s="23" t="s">
        <v>105</v>
      </c>
      <c r="G709" s="25">
        <v>7.495019832E9</v>
      </c>
    </row>
    <row r="710" ht="22.5" customHeight="1">
      <c r="A710" s="18" t="s">
        <v>7415</v>
      </c>
      <c r="B710" s="19" t="s">
        <v>9279</v>
      </c>
      <c r="C710" s="20" t="s">
        <v>7416</v>
      </c>
      <c r="D710" s="19" t="s">
        <v>9281</v>
      </c>
      <c r="E710" s="19" t="s">
        <v>523</v>
      </c>
      <c r="F710" s="19" t="s">
        <v>105</v>
      </c>
      <c r="G710" s="21">
        <v>9.996044251E9</v>
      </c>
    </row>
    <row r="711" ht="22.5" customHeight="1">
      <c r="A711" s="22" t="s">
        <v>9282</v>
      </c>
      <c r="B711" s="23" t="s">
        <v>9283</v>
      </c>
      <c r="C711" s="24" t="s">
        <v>7897</v>
      </c>
      <c r="D711" s="23" t="s">
        <v>9284</v>
      </c>
      <c r="E711" s="23" t="s">
        <v>303</v>
      </c>
      <c r="F711" s="23" t="s">
        <v>105</v>
      </c>
      <c r="G711" s="25">
        <v>7.837764E9</v>
      </c>
    </row>
    <row r="712" ht="22.5" customHeight="1">
      <c r="A712" s="18" t="s">
        <v>7548</v>
      </c>
      <c r="B712" s="19" t="s">
        <v>7546</v>
      </c>
      <c r="C712" s="20" t="s">
        <v>7549</v>
      </c>
      <c r="D712" s="19" t="s">
        <v>9285</v>
      </c>
      <c r="E712" s="19" t="s">
        <v>756</v>
      </c>
      <c r="F712" s="19" t="s">
        <v>105</v>
      </c>
      <c r="G712" s="21">
        <v>7.009424374E9</v>
      </c>
    </row>
    <row r="713" ht="22.5" customHeight="1">
      <c r="A713" s="22" t="s">
        <v>7510</v>
      </c>
      <c r="B713" s="23" t="s">
        <v>9108</v>
      </c>
      <c r="C713" s="24" t="s">
        <v>7511</v>
      </c>
      <c r="D713" s="23" t="s">
        <v>9107</v>
      </c>
      <c r="E713" s="23" t="s">
        <v>756</v>
      </c>
      <c r="F713" s="23" t="s">
        <v>105</v>
      </c>
      <c r="G713" s="25">
        <v>8.847483824E9</v>
      </c>
    </row>
    <row r="714" ht="22.5" customHeight="1">
      <c r="A714" s="18" t="s">
        <v>5139</v>
      </c>
      <c r="B714" s="19" t="s">
        <v>7546</v>
      </c>
      <c r="C714" s="20" t="s">
        <v>2293</v>
      </c>
      <c r="D714" s="19" t="s">
        <v>9287</v>
      </c>
      <c r="E714" s="19" t="s">
        <v>219</v>
      </c>
      <c r="F714" s="19" t="s">
        <v>105</v>
      </c>
      <c r="G714" s="21">
        <v>9.855473736E9</v>
      </c>
    </row>
    <row r="715" ht="22.5" customHeight="1">
      <c r="A715" s="22" t="s">
        <v>3470</v>
      </c>
      <c r="B715" s="23" t="s">
        <v>9288</v>
      </c>
      <c r="C715" s="24" t="s">
        <v>3471</v>
      </c>
      <c r="D715" s="23" t="s">
        <v>9289</v>
      </c>
      <c r="E715" s="23" t="s">
        <v>37</v>
      </c>
      <c r="F715" s="23" t="s">
        <v>105</v>
      </c>
      <c r="G715" s="25">
        <v>9.588137496E9</v>
      </c>
    </row>
    <row r="716" ht="22.5" customHeight="1">
      <c r="A716" s="18" t="s">
        <v>6137</v>
      </c>
      <c r="B716" s="19" t="s">
        <v>9290</v>
      </c>
      <c r="C716" s="20" t="s">
        <v>6138</v>
      </c>
      <c r="D716" s="19" t="s">
        <v>9291</v>
      </c>
      <c r="E716" s="19" t="s">
        <v>1002</v>
      </c>
      <c r="F716" s="19" t="s">
        <v>105</v>
      </c>
      <c r="G716" s="21">
        <v>6.284062826E9</v>
      </c>
    </row>
    <row r="717" ht="22.5" customHeight="1">
      <c r="A717" s="22" t="s">
        <v>409</v>
      </c>
      <c r="B717" s="23" t="s">
        <v>407</v>
      </c>
      <c r="C717" s="24" t="s">
        <v>410</v>
      </c>
      <c r="D717" s="23" t="s">
        <v>9292</v>
      </c>
      <c r="E717" s="23" t="s">
        <v>304</v>
      </c>
      <c r="F717" s="23" t="s">
        <v>105</v>
      </c>
      <c r="G717" s="25">
        <v>9.988076383E9</v>
      </c>
    </row>
    <row r="718" ht="22.5" customHeight="1">
      <c r="A718" s="18" t="s">
        <v>9293</v>
      </c>
      <c r="B718" s="19" t="s">
        <v>9294</v>
      </c>
      <c r="C718" s="20" t="s">
        <v>5841</v>
      </c>
      <c r="D718" s="19" t="s">
        <v>9295</v>
      </c>
      <c r="E718" s="19" t="s">
        <v>42</v>
      </c>
      <c r="F718" s="19" t="s">
        <v>105</v>
      </c>
      <c r="G718" s="21">
        <v>9.592500631E9</v>
      </c>
    </row>
    <row r="719" ht="22.5" customHeight="1">
      <c r="A719" s="22" t="s">
        <v>4919</v>
      </c>
      <c r="B719" s="23" t="s">
        <v>9296</v>
      </c>
      <c r="C719" s="24" t="s">
        <v>4920</v>
      </c>
      <c r="D719" s="23" t="s">
        <v>9297</v>
      </c>
      <c r="E719" s="23" t="s">
        <v>346</v>
      </c>
      <c r="F719" s="23" t="s">
        <v>105</v>
      </c>
      <c r="G719" s="25">
        <v>7.517000079E9</v>
      </c>
    </row>
    <row r="720" ht="22.5" customHeight="1">
      <c r="A720" s="18" t="s">
        <v>8124</v>
      </c>
      <c r="B720" s="19" t="s">
        <v>9298</v>
      </c>
      <c r="C720" s="20" t="s">
        <v>8125</v>
      </c>
      <c r="D720" s="19" t="s">
        <v>8124</v>
      </c>
      <c r="E720" s="19" t="s">
        <v>4200</v>
      </c>
      <c r="F720" s="19" t="s">
        <v>105</v>
      </c>
      <c r="G720" s="21">
        <v>8.891900002E9</v>
      </c>
    </row>
    <row r="721" ht="22.5" customHeight="1">
      <c r="A721" s="22" t="s">
        <v>6589</v>
      </c>
      <c r="B721" s="23" t="s">
        <v>9300</v>
      </c>
      <c r="C721" s="24" t="s">
        <v>6590</v>
      </c>
      <c r="D721" s="23" t="s">
        <v>9301</v>
      </c>
      <c r="E721" s="23" t="s">
        <v>47</v>
      </c>
      <c r="F721" s="23" t="s">
        <v>105</v>
      </c>
      <c r="G721" s="25">
        <v>7.696693851E9</v>
      </c>
    </row>
    <row r="722" ht="22.5" customHeight="1">
      <c r="A722" s="18" t="s">
        <v>6013</v>
      </c>
      <c r="B722" s="19" t="s">
        <v>9302</v>
      </c>
      <c r="C722" s="20" t="s">
        <v>6014</v>
      </c>
      <c r="D722" s="19" t="s">
        <v>9303</v>
      </c>
      <c r="E722" s="19" t="s">
        <v>287</v>
      </c>
      <c r="F722" s="19" t="s">
        <v>105</v>
      </c>
      <c r="G722" s="21">
        <v>8.437890192E9</v>
      </c>
    </row>
    <row r="723" ht="22.5" customHeight="1">
      <c r="A723" s="22" t="s">
        <v>3775</v>
      </c>
      <c r="B723" s="23" t="s">
        <v>9304</v>
      </c>
      <c r="C723" s="24" t="s">
        <v>3776</v>
      </c>
      <c r="D723" s="23" t="s">
        <v>9305</v>
      </c>
      <c r="E723" s="23" t="s">
        <v>221</v>
      </c>
      <c r="F723" s="23" t="s">
        <v>105</v>
      </c>
      <c r="G723" s="25">
        <v>9.478625486E9</v>
      </c>
    </row>
    <row r="724" ht="22.5" customHeight="1">
      <c r="A724" s="18" t="s">
        <v>3699</v>
      </c>
      <c r="B724" s="19" t="s">
        <v>9306</v>
      </c>
      <c r="C724" s="20" t="s">
        <v>3700</v>
      </c>
      <c r="D724" s="19" t="s">
        <v>9307</v>
      </c>
      <c r="E724" s="19" t="s">
        <v>227</v>
      </c>
      <c r="F724" s="19" t="s">
        <v>105</v>
      </c>
      <c r="G724" s="21">
        <v>9.9042995E9</v>
      </c>
    </row>
    <row r="725" ht="22.5" customHeight="1">
      <c r="A725" s="22" t="s">
        <v>5271</v>
      </c>
      <c r="B725" s="23" t="s">
        <v>9308</v>
      </c>
      <c r="C725" s="24" t="s">
        <v>2579</v>
      </c>
      <c r="D725" s="23" t="s">
        <v>5271</v>
      </c>
      <c r="E725" s="23" t="s">
        <v>1071</v>
      </c>
      <c r="F725" s="23" t="s">
        <v>105</v>
      </c>
      <c r="G725" s="63" t="s">
        <v>9309</v>
      </c>
    </row>
    <row r="726" ht="22.5" customHeight="1">
      <c r="A726" s="18" t="s">
        <v>7829</v>
      </c>
      <c r="B726" s="19" t="s">
        <v>9311</v>
      </c>
      <c r="C726" s="20" t="s">
        <v>7830</v>
      </c>
      <c r="D726" s="19" t="s">
        <v>9312</v>
      </c>
      <c r="E726" s="19" t="s">
        <v>792</v>
      </c>
      <c r="F726" s="19" t="s">
        <v>105</v>
      </c>
      <c r="G726" s="21">
        <v>9.253356784E9</v>
      </c>
    </row>
    <row r="727" ht="22.5" customHeight="1">
      <c r="A727" s="22" t="s">
        <v>8377</v>
      </c>
      <c r="B727" s="23" t="s">
        <v>8375</v>
      </c>
      <c r="C727" s="24" t="s">
        <v>8378</v>
      </c>
      <c r="D727" s="23" t="s">
        <v>9313</v>
      </c>
      <c r="E727" s="23" t="s">
        <v>57</v>
      </c>
      <c r="F727" s="23" t="s">
        <v>105</v>
      </c>
      <c r="G727" s="25">
        <v>9.13860239E9</v>
      </c>
    </row>
    <row r="728" ht="22.5" customHeight="1">
      <c r="A728" s="18" t="s">
        <v>9314</v>
      </c>
      <c r="B728" s="19" t="s">
        <v>9315</v>
      </c>
      <c r="C728" s="20" t="s">
        <v>3947</v>
      </c>
      <c r="D728" s="19" t="s">
        <v>9314</v>
      </c>
      <c r="E728" s="19" t="s">
        <v>282</v>
      </c>
      <c r="F728" s="19" t="s">
        <v>105</v>
      </c>
      <c r="G728" s="21">
        <v>9.988258399E9</v>
      </c>
    </row>
    <row r="729" ht="22.5" customHeight="1">
      <c r="A729" s="22" t="s">
        <v>5085</v>
      </c>
      <c r="B729" s="23" t="s">
        <v>9316</v>
      </c>
      <c r="C729" s="24" t="s">
        <v>5086</v>
      </c>
      <c r="D729" s="23" t="s">
        <v>9317</v>
      </c>
      <c r="E729" s="23" t="s">
        <v>1064</v>
      </c>
      <c r="F729" s="23" t="s">
        <v>105</v>
      </c>
      <c r="G729" s="25">
        <v>8.884867204E9</v>
      </c>
    </row>
    <row r="730" ht="22.5" customHeight="1">
      <c r="A730" s="18" t="s">
        <v>5965</v>
      </c>
      <c r="B730" s="19" t="s">
        <v>9318</v>
      </c>
      <c r="C730" s="20" t="s">
        <v>2157</v>
      </c>
      <c r="D730" s="19" t="s">
        <v>9319</v>
      </c>
      <c r="E730" s="19" t="s">
        <v>277</v>
      </c>
      <c r="F730" s="19" t="s">
        <v>105</v>
      </c>
      <c r="G730" s="21">
        <v>7.082101132E9</v>
      </c>
    </row>
    <row r="731" ht="22.5" customHeight="1">
      <c r="A731" s="22" t="s">
        <v>5334</v>
      </c>
      <c r="B731" s="23" t="s">
        <v>9320</v>
      </c>
      <c r="C731" s="24" t="s">
        <v>2775</v>
      </c>
      <c r="D731" s="23" t="s">
        <v>9322</v>
      </c>
      <c r="E731" s="23" t="s">
        <v>1379</v>
      </c>
      <c r="F731" s="23" t="s">
        <v>105</v>
      </c>
      <c r="G731" s="25">
        <v>9.417447106E9</v>
      </c>
    </row>
    <row r="732" ht="22.5" customHeight="1">
      <c r="A732" s="18" t="s">
        <v>7947</v>
      </c>
      <c r="B732" s="19" t="s">
        <v>9323</v>
      </c>
      <c r="C732" s="20" t="s">
        <v>7948</v>
      </c>
      <c r="D732" s="19" t="s">
        <v>9324</v>
      </c>
      <c r="E732" s="19" t="s">
        <v>303</v>
      </c>
      <c r="F732" s="19" t="s">
        <v>105</v>
      </c>
      <c r="G732" s="21">
        <v>8.968109848E9</v>
      </c>
    </row>
    <row r="733" ht="22.5" customHeight="1">
      <c r="A733" s="22" t="s">
        <v>6070</v>
      </c>
      <c r="B733" s="23" t="s">
        <v>9325</v>
      </c>
      <c r="C733" s="24" t="s">
        <v>6071</v>
      </c>
      <c r="D733" s="23" t="s">
        <v>9326</v>
      </c>
      <c r="E733" s="23" t="s">
        <v>287</v>
      </c>
      <c r="F733" s="23" t="s">
        <v>105</v>
      </c>
      <c r="G733" s="25">
        <v>9.663727679E9</v>
      </c>
    </row>
    <row r="734" ht="22.5" customHeight="1">
      <c r="A734" s="18" t="s">
        <v>2358</v>
      </c>
      <c r="B734" s="19" t="s">
        <v>9327</v>
      </c>
      <c r="C734" s="20" t="s">
        <v>9328</v>
      </c>
      <c r="D734" s="19" t="s">
        <v>9329</v>
      </c>
      <c r="E734" s="19" t="s">
        <v>1873</v>
      </c>
      <c r="F734" s="19" t="s">
        <v>105</v>
      </c>
      <c r="G734" s="21">
        <v>7.986040134E9</v>
      </c>
    </row>
    <row r="735" ht="22.5" customHeight="1">
      <c r="A735" s="22" t="s">
        <v>9330</v>
      </c>
      <c r="B735" s="23" t="s">
        <v>9331</v>
      </c>
      <c r="C735" s="24" t="s">
        <v>7771</v>
      </c>
      <c r="D735" s="23" t="s">
        <v>9332</v>
      </c>
      <c r="E735" s="23" t="s">
        <v>792</v>
      </c>
      <c r="F735" s="23" t="s">
        <v>105</v>
      </c>
      <c r="G735" s="25">
        <v>9.518105656E9</v>
      </c>
    </row>
    <row r="736" ht="22.5" customHeight="1">
      <c r="A736" s="18" t="s">
        <v>3172</v>
      </c>
      <c r="B736" s="19" t="s">
        <v>9333</v>
      </c>
      <c r="C736" s="20" t="s">
        <v>3173</v>
      </c>
      <c r="D736" s="19" t="s">
        <v>9334</v>
      </c>
      <c r="E736" s="19" t="s">
        <v>30</v>
      </c>
      <c r="F736" s="19" t="s">
        <v>105</v>
      </c>
      <c r="G736" s="21">
        <v>9.877326887E9</v>
      </c>
    </row>
    <row r="737" ht="22.5" customHeight="1">
      <c r="A737" s="22" t="s">
        <v>7363</v>
      </c>
      <c r="B737" s="23" t="s">
        <v>9336</v>
      </c>
      <c r="C737" s="24" t="s">
        <v>7364</v>
      </c>
      <c r="D737" s="23" t="s">
        <v>9337</v>
      </c>
      <c r="E737" s="23" t="s">
        <v>384</v>
      </c>
      <c r="F737" s="23" t="s">
        <v>105</v>
      </c>
      <c r="G737" s="25">
        <v>8.510824422E9</v>
      </c>
    </row>
    <row r="738" ht="22.5" customHeight="1">
      <c r="A738" s="18" t="s">
        <v>8041</v>
      </c>
      <c r="B738" s="19" t="s">
        <v>9338</v>
      </c>
      <c r="C738" s="20" t="s">
        <v>8042</v>
      </c>
      <c r="D738" s="19" t="s">
        <v>9339</v>
      </c>
      <c r="E738" s="19" t="s">
        <v>559</v>
      </c>
      <c r="F738" s="19" t="s">
        <v>105</v>
      </c>
      <c r="G738" s="21">
        <v>9.599883298E9</v>
      </c>
    </row>
    <row r="739" ht="22.5" customHeight="1">
      <c r="A739" s="22" t="s">
        <v>176</v>
      </c>
      <c r="B739" s="23" t="s">
        <v>173</v>
      </c>
      <c r="C739" s="24" t="s">
        <v>177</v>
      </c>
      <c r="D739" s="23" t="s">
        <v>9340</v>
      </c>
      <c r="E739" s="23" t="s">
        <v>106</v>
      </c>
      <c r="F739" s="23" t="s">
        <v>105</v>
      </c>
      <c r="G739" s="25">
        <v>9.074626095E9</v>
      </c>
    </row>
    <row r="740" ht="22.5" customHeight="1">
      <c r="A740" s="18" t="s">
        <v>5489</v>
      </c>
      <c r="B740" s="19" t="s">
        <v>5487</v>
      </c>
      <c r="C740" s="20" t="s">
        <v>5490</v>
      </c>
      <c r="D740" s="19" t="s">
        <v>9341</v>
      </c>
      <c r="E740" s="19" t="s">
        <v>512</v>
      </c>
      <c r="F740" s="19" t="s">
        <v>105</v>
      </c>
      <c r="G740" s="21">
        <v>9.779778858E9</v>
      </c>
    </row>
    <row r="741" ht="22.5" customHeight="1">
      <c r="A741" s="22" t="s">
        <v>8137</v>
      </c>
      <c r="B741" s="23" t="s">
        <v>9342</v>
      </c>
      <c r="C741" s="24" t="s">
        <v>8138</v>
      </c>
      <c r="D741" s="23" t="s">
        <v>8137</v>
      </c>
      <c r="E741" s="23" t="s">
        <v>4200</v>
      </c>
      <c r="F741" s="23" t="s">
        <v>105</v>
      </c>
      <c r="G741" s="25">
        <v>7.009046607E9</v>
      </c>
    </row>
    <row r="742" ht="22.5" customHeight="1">
      <c r="A742" s="18" t="s">
        <v>8723</v>
      </c>
      <c r="B742" s="19" t="s">
        <v>8721</v>
      </c>
      <c r="C742" s="20" t="s">
        <v>8724</v>
      </c>
      <c r="D742" s="19" t="s">
        <v>9344</v>
      </c>
      <c r="E742" s="19" t="s">
        <v>3118</v>
      </c>
      <c r="F742" s="19" t="s">
        <v>105</v>
      </c>
      <c r="G742" s="21">
        <v>9.8114206E9</v>
      </c>
    </row>
    <row r="743" ht="22.5" customHeight="1">
      <c r="A743" s="22" t="s">
        <v>4634</v>
      </c>
      <c r="B743" s="23" t="s">
        <v>9345</v>
      </c>
      <c r="C743" s="24" t="s">
        <v>4636</v>
      </c>
      <c r="D743" s="23" t="s">
        <v>9346</v>
      </c>
      <c r="E743" s="23" t="s">
        <v>238</v>
      </c>
      <c r="F743" s="23" t="s">
        <v>105</v>
      </c>
      <c r="G743" s="25">
        <v>9.021765367E9</v>
      </c>
    </row>
    <row r="744" ht="22.5" customHeight="1">
      <c r="A744" s="18" t="s">
        <v>8146</v>
      </c>
      <c r="B744" s="19" t="s">
        <v>9347</v>
      </c>
      <c r="C744" s="20" t="s">
        <v>8147</v>
      </c>
      <c r="D744" s="19" t="s">
        <v>9348</v>
      </c>
      <c r="E744" s="19" t="s">
        <v>4200</v>
      </c>
      <c r="F744" s="19" t="s">
        <v>105</v>
      </c>
      <c r="G744" s="21">
        <v>8.10304518E9</v>
      </c>
    </row>
    <row r="745" ht="22.5" customHeight="1">
      <c r="A745" s="22" t="s">
        <v>7841</v>
      </c>
      <c r="B745" s="23" t="s">
        <v>9349</v>
      </c>
      <c r="C745" s="24" t="s">
        <v>7842</v>
      </c>
      <c r="D745" s="23" t="s">
        <v>9350</v>
      </c>
      <c r="E745" s="23" t="s">
        <v>792</v>
      </c>
      <c r="F745" s="23" t="s">
        <v>105</v>
      </c>
      <c r="G745" s="25">
        <v>9.876683806E9</v>
      </c>
    </row>
    <row r="746" ht="22.5" customHeight="1">
      <c r="A746" s="18" t="s">
        <v>5471</v>
      </c>
      <c r="B746" s="19" t="s">
        <v>5469</v>
      </c>
      <c r="C746" s="20" t="s">
        <v>5472</v>
      </c>
      <c r="D746" s="19" t="s">
        <v>9351</v>
      </c>
      <c r="E746" s="19" t="s">
        <v>512</v>
      </c>
      <c r="F746" s="19" t="s">
        <v>105</v>
      </c>
      <c r="G746" s="21">
        <v>7.657865201E9</v>
      </c>
    </row>
    <row r="747" ht="22.5" customHeight="1">
      <c r="A747" s="22" t="s">
        <v>3394</v>
      </c>
      <c r="B747" s="23" t="s">
        <v>9353</v>
      </c>
      <c r="C747" s="24" t="s">
        <v>3395</v>
      </c>
      <c r="D747" s="23" t="s">
        <v>9354</v>
      </c>
      <c r="E747" s="23" t="s">
        <v>265</v>
      </c>
      <c r="F747" s="23" t="s">
        <v>105</v>
      </c>
      <c r="G747" s="25">
        <v>9.875776356E9</v>
      </c>
    </row>
    <row r="748" ht="22.5" customHeight="1">
      <c r="A748" s="18" t="s">
        <v>2644</v>
      </c>
      <c r="B748" s="19" t="s">
        <v>9355</v>
      </c>
      <c r="C748" s="20" t="s">
        <v>2645</v>
      </c>
      <c r="D748" s="19" t="s">
        <v>9356</v>
      </c>
      <c r="E748" s="19" t="s">
        <v>204</v>
      </c>
      <c r="F748" s="19" t="s">
        <v>105</v>
      </c>
      <c r="G748" s="21">
        <v>6.284940112E9</v>
      </c>
    </row>
    <row r="749" ht="22.5" customHeight="1">
      <c r="A749" s="22" t="s">
        <v>4788</v>
      </c>
      <c r="B749" s="23" t="s">
        <v>9357</v>
      </c>
      <c r="C749" s="24" t="s">
        <v>4789</v>
      </c>
      <c r="D749" s="23" t="s">
        <v>9358</v>
      </c>
      <c r="E749" s="23" t="s">
        <v>506</v>
      </c>
      <c r="F749" s="23" t="s">
        <v>105</v>
      </c>
      <c r="G749" s="25">
        <v>8.368199152E9</v>
      </c>
    </row>
    <row r="750" ht="22.5" customHeight="1">
      <c r="A750" s="18" t="s">
        <v>7794</v>
      </c>
      <c r="B750" s="19" t="s">
        <v>9359</v>
      </c>
      <c r="C750" s="20" t="s">
        <v>7795</v>
      </c>
      <c r="D750" s="19" t="s">
        <v>9360</v>
      </c>
      <c r="E750" s="19" t="s">
        <v>792</v>
      </c>
      <c r="F750" s="19" t="s">
        <v>105</v>
      </c>
      <c r="G750" s="21">
        <v>9.914329403E9</v>
      </c>
    </row>
    <row r="751" ht="22.5" customHeight="1">
      <c r="A751" s="22" t="s">
        <v>5345</v>
      </c>
      <c r="B751" s="23" t="s">
        <v>9361</v>
      </c>
      <c r="C751" s="24" t="s">
        <v>2810</v>
      </c>
      <c r="D751" s="23" t="s">
        <v>5345</v>
      </c>
      <c r="E751" s="23" t="s">
        <v>1379</v>
      </c>
      <c r="F751" s="23" t="s">
        <v>105</v>
      </c>
      <c r="G751" s="25">
        <v>8.360706437E9</v>
      </c>
    </row>
    <row r="752" ht="22.5" customHeight="1">
      <c r="A752" s="18" t="s">
        <v>7109</v>
      </c>
      <c r="B752" s="19" t="s">
        <v>9363</v>
      </c>
      <c r="C752" s="20" t="s">
        <v>7110</v>
      </c>
      <c r="D752" s="19" t="s">
        <v>9364</v>
      </c>
      <c r="E752" s="19" t="s">
        <v>1326</v>
      </c>
      <c r="F752" s="19" t="s">
        <v>105</v>
      </c>
      <c r="G752" s="21">
        <v>9.888603575E9</v>
      </c>
    </row>
    <row r="753" ht="22.5" customHeight="1">
      <c r="A753" s="22" t="s">
        <v>6319</v>
      </c>
      <c r="B753" s="23" t="s">
        <v>9365</v>
      </c>
      <c r="C753" s="24" t="s">
        <v>6320</v>
      </c>
      <c r="D753" s="23" t="s">
        <v>9366</v>
      </c>
      <c r="E753" s="23" t="s">
        <v>265</v>
      </c>
      <c r="F753" s="23" t="s">
        <v>105</v>
      </c>
      <c r="G753" s="25">
        <v>6.28407388E9</v>
      </c>
    </row>
    <row r="754" ht="22.5" customHeight="1">
      <c r="A754" s="18" t="s">
        <v>1465</v>
      </c>
      <c r="B754" s="19" t="s">
        <v>9367</v>
      </c>
      <c r="C754" s="20" t="s">
        <v>1466</v>
      </c>
      <c r="D754" s="19" t="s">
        <v>9368</v>
      </c>
      <c r="E754" s="19" t="s">
        <v>389</v>
      </c>
      <c r="F754" s="19" t="s">
        <v>105</v>
      </c>
      <c r="G754" s="21">
        <v>9.625447005E9</v>
      </c>
    </row>
    <row r="755" ht="22.5" customHeight="1">
      <c r="A755" s="22" t="s">
        <v>4581</v>
      </c>
      <c r="B755" s="23" t="s">
        <v>9369</v>
      </c>
      <c r="C755" s="24" t="s">
        <v>4582</v>
      </c>
      <c r="D755" s="23" t="s">
        <v>9370</v>
      </c>
      <c r="E755" s="23" t="s">
        <v>238</v>
      </c>
      <c r="F755" s="23" t="s">
        <v>105</v>
      </c>
      <c r="G755" s="25">
        <v>8.800835416E9</v>
      </c>
    </row>
    <row r="756" ht="22.5" customHeight="1">
      <c r="A756" s="18" t="s">
        <v>6083</v>
      </c>
      <c r="B756" s="19" t="s">
        <v>9371</v>
      </c>
      <c r="C756" s="20" t="s">
        <v>6084</v>
      </c>
      <c r="D756" s="19" t="s">
        <v>9372</v>
      </c>
      <c r="E756" s="19" t="s">
        <v>287</v>
      </c>
      <c r="F756" s="19" t="s">
        <v>105</v>
      </c>
      <c r="G756" s="21">
        <v>8.968997391E9</v>
      </c>
    </row>
    <row r="757" ht="22.5" customHeight="1">
      <c r="A757" s="22" t="s">
        <v>5428</v>
      </c>
      <c r="B757" s="23" t="s">
        <v>9373</v>
      </c>
      <c r="C757" s="24" t="s">
        <v>3048</v>
      </c>
      <c r="D757" s="23" t="s">
        <v>9374</v>
      </c>
      <c r="E757" s="23" t="s">
        <v>1622</v>
      </c>
      <c r="F757" s="23" t="s">
        <v>105</v>
      </c>
      <c r="G757" s="25">
        <v>7.300717236E9</v>
      </c>
    </row>
    <row r="758" ht="22.5" customHeight="1">
      <c r="A758" s="18" t="s">
        <v>8468</v>
      </c>
      <c r="B758" s="19" t="s">
        <v>8466</v>
      </c>
      <c r="C758" s="20" t="s">
        <v>8469</v>
      </c>
      <c r="D758" s="19" t="s">
        <v>9376</v>
      </c>
      <c r="E758" s="19" t="s">
        <v>81</v>
      </c>
      <c r="F758" s="19" t="s">
        <v>105</v>
      </c>
      <c r="G758" s="21">
        <v>7.086220499E9</v>
      </c>
    </row>
    <row r="759" ht="22.5" customHeight="1">
      <c r="A759" s="22" t="s">
        <v>4063</v>
      </c>
      <c r="B759" s="23" t="s">
        <v>9377</v>
      </c>
      <c r="C759" s="24" t="s">
        <v>4064</v>
      </c>
      <c r="D759" s="23" t="s">
        <v>9378</v>
      </c>
      <c r="E759" s="23" t="s">
        <v>365</v>
      </c>
      <c r="F759" s="23" t="s">
        <v>105</v>
      </c>
      <c r="G759" s="25">
        <v>9.914925925E9</v>
      </c>
    </row>
    <row r="760" ht="22.5" customHeight="1">
      <c r="A760" s="18" t="s">
        <v>5375</v>
      </c>
      <c r="B760" s="19" t="s">
        <v>9379</v>
      </c>
      <c r="C760" s="20" t="s">
        <v>2897</v>
      </c>
      <c r="D760" s="19" t="s">
        <v>9380</v>
      </c>
      <c r="E760" s="19" t="s">
        <v>1462</v>
      </c>
      <c r="F760" s="19" t="s">
        <v>105</v>
      </c>
      <c r="G760" s="21">
        <v>7.973900427E9</v>
      </c>
    </row>
    <row r="761" ht="22.5" customHeight="1">
      <c r="A761" s="22" t="s">
        <v>6916</v>
      </c>
      <c r="B761" s="23" t="s">
        <v>9381</v>
      </c>
      <c r="C761" s="24" t="s">
        <v>6917</v>
      </c>
      <c r="D761" s="23" t="s">
        <v>9382</v>
      </c>
      <c r="E761" s="23" t="s">
        <v>1946</v>
      </c>
      <c r="F761" s="23" t="s">
        <v>105</v>
      </c>
      <c r="G761" s="25">
        <v>6.239454057E9</v>
      </c>
    </row>
    <row r="762" ht="22.5" customHeight="1">
      <c r="A762" s="18" t="s">
        <v>4907</v>
      </c>
      <c r="B762" s="19" t="s">
        <v>9383</v>
      </c>
      <c r="C762" s="20" t="s">
        <v>4908</v>
      </c>
      <c r="D762" s="19" t="s">
        <v>9384</v>
      </c>
      <c r="E762" s="19" t="s">
        <v>889</v>
      </c>
      <c r="F762" s="19" t="s">
        <v>105</v>
      </c>
      <c r="G762" s="21">
        <v>9.35718647E9</v>
      </c>
    </row>
    <row r="763" ht="22.5" customHeight="1">
      <c r="A763" s="22" t="s">
        <v>5816</v>
      </c>
      <c r="B763" s="23" t="s">
        <v>9386</v>
      </c>
      <c r="C763" s="24" t="s">
        <v>5817</v>
      </c>
      <c r="D763" s="23" t="s">
        <v>9387</v>
      </c>
      <c r="E763" s="23" t="s">
        <v>42</v>
      </c>
      <c r="F763" s="23" t="s">
        <v>105</v>
      </c>
      <c r="G763" s="25">
        <v>8.089854575E9</v>
      </c>
    </row>
    <row r="764" ht="22.5" customHeight="1">
      <c r="A764" s="18" t="s">
        <v>3991</v>
      </c>
      <c r="B764" s="19" t="s">
        <v>9388</v>
      </c>
      <c r="C764" s="20" t="s">
        <v>3992</v>
      </c>
      <c r="D764" s="19" t="s">
        <v>9389</v>
      </c>
      <c r="E764" s="19" t="s">
        <v>314</v>
      </c>
      <c r="F764" s="19" t="s">
        <v>105</v>
      </c>
      <c r="G764" s="21">
        <v>7.717266555E9</v>
      </c>
    </row>
    <row r="765" ht="22.5" customHeight="1">
      <c r="A765" s="22" t="s">
        <v>9390</v>
      </c>
      <c r="B765" s="23" t="s">
        <v>9391</v>
      </c>
      <c r="C765" s="24" t="s">
        <v>3150</v>
      </c>
      <c r="D765" s="23" t="s">
        <v>9392</v>
      </c>
      <c r="E765" s="23" t="s">
        <v>30</v>
      </c>
      <c r="F765" s="23" t="s">
        <v>105</v>
      </c>
      <c r="G765" s="25">
        <v>9.814512113E9</v>
      </c>
    </row>
    <row r="766" ht="22.5" customHeight="1">
      <c r="A766" s="18" t="s">
        <v>9393</v>
      </c>
      <c r="B766" s="19" t="s">
        <v>9394</v>
      </c>
      <c r="C766" s="20" t="s">
        <v>4604</v>
      </c>
      <c r="D766" s="19" t="s">
        <v>9395</v>
      </c>
      <c r="E766" s="19" t="s">
        <v>238</v>
      </c>
      <c r="F766" s="19" t="s">
        <v>105</v>
      </c>
      <c r="G766" s="21">
        <v>9.928155107E9</v>
      </c>
    </row>
    <row r="767" ht="22.5" customHeight="1">
      <c r="A767" s="22" t="s">
        <v>5763</v>
      </c>
      <c r="B767" s="23" t="s">
        <v>9396</v>
      </c>
      <c r="C767" s="24" t="s">
        <v>5764</v>
      </c>
      <c r="D767" s="23" t="s">
        <v>9397</v>
      </c>
      <c r="E767" s="23" t="s">
        <v>42</v>
      </c>
      <c r="F767" s="23" t="s">
        <v>105</v>
      </c>
      <c r="G767" s="25">
        <v>9.04150885E9</v>
      </c>
    </row>
    <row r="768" ht="22.5" customHeight="1">
      <c r="A768" s="18" t="s">
        <v>9399</v>
      </c>
      <c r="B768" s="19" t="s">
        <v>9400</v>
      </c>
      <c r="C768" s="20" t="s">
        <v>9401</v>
      </c>
      <c r="D768" s="19" t="s">
        <v>9402</v>
      </c>
      <c r="E768" s="19" t="s">
        <v>384</v>
      </c>
      <c r="F768" s="19" t="s">
        <v>105</v>
      </c>
      <c r="G768" s="21">
        <v>9.859171222E9</v>
      </c>
    </row>
    <row r="769" ht="22.5" customHeight="1">
      <c r="A769" s="22" t="s">
        <v>7393</v>
      </c>
      <c r="B769" s="23" t="s">
        <v>9403</v>
      </c>
      <c r="C769" s="24" t="s">
        <v>7394</v>
      </c>
      <c r="D769" s="23" t="s">
        <v>9404</v>
      </c>
      <c r="E769" s="23" t="s">
        <v>523</v>
      </c>
      <c r="F769" s="23" t="s">
        <v>105</v>
      </c>
      <c r="G769" s="25">
        <v>8.427944059E9</v>
      </c>
    </row>
    <row r="770" ht="22.5" customHeight="1">
      <c r="A770" s="18" t="s">
        <v>7742</v>
      </c>
      <c r="B770" s="19" t="s">
        <v>9405</v>
      </c>
      <c r="C770" s="20" t="s">
        <v>7743</v>
      </c>
      <c r="D770" s="19" t="s">
        <v>9406</v>
      </c>
      <c r="E770" s="19" t="s">
        <v>792</v>
      </c>
      <c r="F770" s="19" t="s">
        <v>105</v>
      </c>
      <c r="G770" s="21">
        <v>8.757490038E9</v>
      </c>
    </row>
    <row r="771" ht="22.5" customHeight="1">
      <c r="A771" s="22" t="s">
        <v>8584</v>
      </c>
      <c r="B771" s="23" t="s">
        <v>8582</v>
      </c>
      <c r="C771" s="24" t="s">
        <v>8585</v>
      </c>
      <c r="D771" s="23" t="s">
        <v>9407</v>
      </c>
      <c r="E771" s="23" t="s">
        <v>100</v>
      </c>
      <c r="F771" s="23" t="s">
        <v>105</v>
      </c>
      <c r="G771" s="25">
        <v>8.36005137E9</v>
      </c>
    </row>
    <row r="772" ht="22.5" customHeight="1">
      <c r="A772" s="18" t="s">
        <v>2502</v>
      </c>
      <c r="B772" s="19" t="s">
        <v>9408</v>
      </c>
      <c r="C772" s="20" t="s">
        <v>2503</v>
      </c>
      <c r="D772" s="19" t="s">
        <v>2502</v>
      </c>
      <c r="E772" s="19" t="s">
        <v>63</v>
      </c>
      <c r="F772" s="19" t="s">
        <v>105</v>
      </c>
      <c r="G772" s="21">
        <v>9.815356973E9</v>
      </c>
    </row>
    <row r="773" ht="22.5" customHeight="1">
      <c r="A773" s="22" t="s">
        <v>9410</v>
      </c>
      <c r="B773" s="23" t="s">
        <v>9411</v>
      </c>
      <c r="C773" s="24" t="s">
        <v>522</v>
      </c>
      <c r="D773" s="23" t="s">
        <v>9412</v>
      </c>
      <c r="E773" s="23" t="s">
        <v>523</v>
      </c>
      <c r="F773" s="23" t="s">
        <v>105</v>
      </c>
      <c r="G773" s="25">
        <v>9.056385132E9</v>
      </c>
    </row>
    <row r="774" ht="22.5" customHeight="1">
      <c r="A774" s="18" t="s">
        <v>4164</v>
      </c>
      <c r="B774" s="19" t="s">
        <v>9413</v>
      </c>
      <c r="C774" s="20" t="s">
        <v>4165</v>
      </c>
      <c r="D774" s="19" t="s">
        <v>9414</v>
      </c>
      <c r="E774" s="19" t="s">
        <v>365</v>
      </c>
      <c r="F774" s="19" t="s">
        <v>105</v>
      </c>
      <c r="G774" s="21">
        <v>6.284677938E9</v>
      </c>
    </row>
    <row r="775" ht="22.5" customHeight="1">
      <c r="A775" s="22" t="s">
        <v>4671</v>
      </c>
      <c r="B775" s="23" t="s">
        <v>9415</v>
      </c>
      <c r="C775" s="24" t="s">
        <v>4672</v>
      </c>
      <c r="D775" s="23" t="s">
        <v>9416</v>
      </c>
      <c r="E775" s="23" t="s">
        <v>506</v>
      </c>
      <c r="F775" s="23" t="s">
        <v>105</v>
      </c>
      <c r="G775" s="25">
        <v>8.054825331E9</v>
      </c>
    </row>
    <row r="776" ht="22.5" customHeight="1">
      <c r="A776" s="18" t="s">
        <v>9417</v>
      </c>
      <c r="B776" s="19" t="s">
        <v>9418</v>
      </c>
      <c r="C776" s="20" t="s">
        <v>3341</v>
      </c>
      <c r="D776" s="19" t="s">
        <v>9419</v>
      </c>
      <c r="E776" s="19" t="s">
        <v>524</v>
      </c>
      <c r="F776" s="19" t="s">
        <v>105</v>
      </c>
      <c r="G776" s="21">
        <v>8.054207527E9</v>
      </c>
    </row>
    <row r="777" ht="22.5" customHeight="1">
      <c r="A777" s="22" t="s">
        <v>2485</v>
      </c>
      <c r="B777" s="23" t="s">
        <v>9420</v>
      </c>
      <c r="C777" s="24" t="s">
        <v>2486</v>
      </c>
      <c r="D777" s="23" t="s">
        <v>9421</v>
      </c>
      <c r="E777" s="23" t="s">
        <v>63</v>
      </c>
      <c r="F777" s="23" t="s">
        <v>105</v>
      </c>
      <c r="G777" s="25">
        <v>8.570952057E9</v>
      </c>
    </row>
    <row r="778" ht="22.5" customHeight="1">
      <c r="A778" s="18" t="s">
        <v>8611</v>
      </c>
      <c r="B778" s="19" t="s">
        <v>8609</v>
      </c>
      <c r="C778" s="20" t="s">
        <v>8612</v>
      </c>
      <c r="D778" s="19" t="s">
        <v>9422</v>
      </c>
      <c r="E778" s="19" t="s">
        <v>100</v>
      </c>
      <c r="F778" s="19" t="s">
        <v>105</v>
      </c>
      <c r="G778" s="21">
        <v>9.81030893E9</v>
      </c>
    </row>
    <row r="779" ht="22.5" customHeight="1">
      <c r="A779" s="22" t="s">
        <v>4463</v>
      </c>
      <c r="B779" s="23" t="s">
        <v>9424</v>
      </c>
      <c r="C779" s="24" t="s">
        <v>4464</v>
      </c>
      <c r="D779" s="23" t="s">
        <v>4463</v>
      </c>
      <c r="E779" s="23" t="s">
        <v>617</v>
      </c>
      <c r="F779" s="23" t="s">
        <v>105</v>
      </c>
      <c r="G779" s="25">
        <v>9.88824338E9</v>
      </c>
    </row>
    <row r="780" ht="22.5" customHeight="1">
      <c r="A780" s="18" t="s">
        <v>1486</v>
      </c>
      <c r="B780" s="19" t="s">
        <v>9425</v>
      </c>
      <c r="C780" s="20" t="s">
        <v>1487</v>
      </c>
      <c r="D780" s="19" t="s">
        <v>9426</v>
      </c>
      <c r="E780" s="19" t="s">
        <v>75</v>
      </c>
      <c r="F780" s="19" t="s">
        <v>105</v>
      </c>
      <c r="G780" s="21">
        <v>8.39801537E9</v>
      </c>
    </row>
    <row r="781" ht="22.5" customHeight="1">
      <c r="A781" s="22" t="s">
        <v>2202</v>
      </c>
      <c r="B781" s="23" t="s">
        <v>9427</v>
      </c>
      <c r="C781" s="24" t="s">
        <v>2203</v>
      </c>
      <c r="D781" s="23" t="s">
        <v>9428</v>
      </c>
      <c r="E781" s="23" t="s">
        <v>304</v>
      </c>
      <c r="F781" s="23" t="s">
        <v>105</v>
      </c>
      <c r="G781" s="25">
        <v>7.973109451E9</v>
      </c>
    </row>
    <row r="782" ht="22.5" customHeight="1">
      <c r="A782" s="18" t="s">
        <v>6844</v>
      </c>
      <c r="B782" s="19" t="s">
        <v>9429</v>
      </c>
      <c r="C782" s="20" t="s">
        <v>6845</v>
      </c>
      <c r="D782" s="19" t="s">
        <v>9430</v>
      </c>
      <c r="E782" s="19" t="s">
        <v>469</v>
      </c>
      <c r="F782" s="19" t="s">
        <v>105</v>
      </c>
      <c r="G782" s="21">
        <v>8.264034205E9</v>
      </c>
    </row>
    <row r="783" ht="22.5" customHeight="1">
      <c r="A783" s="22" t="s">
        <v>2525</v>
      </c>
      <c r="B783" s="23" t="s">
        <v>9431</v>
      </c>
      <c r="C783" s="24" t="s">
        <v>2526</v>
      </c>
      <c r="D783" s="23" t="s">
        <v>9432</v>
      </c>
      <c r="E783" s="23" t="s">
        <v>63</v>
      </c>
      <c r="F783" s="23" t="s">
        <v>105</v>
      </c>
      <c r="G783" s="25">
        <v>6.280899882E9</v>
      </c>
    </row>
    <row r="784" ht="22.5" customHeight="1">
      <c r="A784" s="18" t="s">
        <v>5847</v>
      </c>
      <c r="B784" s="19" t="s">
        <v>9431</v>
      </c>
      <c r="C784" s="20" t="s">
        <v>5848</v>
      </c>
      <c r="D784" s="19" t="s">
        <v>9433</v>
      </c>
      <c r="E784" s="19" t="s">
        <v>42</v>
      </c>
      <c r="F784" s="19" t="s">
        <v>105</v>
      </c>
      <c r="G784" s="21">
        <v>8.264517552E9</v>
      </c>
    </row>
    <row r="785" ht="22.5" customHeight="1">
      <c r="A785" s="22" t="s">
        <v>8079</v>
      </c>
      <c r="B785" s="23" t="s">
        <v>9435</v>
      </c>
      <c r="C785" s="24" t="s">
        <v>8080</v>
      </c>
      <c r="D785" s="23" t="s">
        <v>9436</v>
      </c>
      <c r="E785" s="23" t="s">
        <v>4200</v>
      </c>
      <c r="F785" s="23" t="s">
        <v>105</v>
      </c>
      <c r="G785" s="25">
        <v>8.699841951E9</v>
      </c>
    </row>
    <row r="786" ht="22.5" customHeight="1">
      <c r="A786" s="18" t="s">
        <v>5455</v>
      </c>
      <c r="B786" s="19" t="s">
        <v>5453</v>
      </c>
      <c r="C786" s="20" t="s">
        <v>5456</v>
      </c>
      <c r="D786" s="19" t="s">
        <v>9437</v>
      </c>
      <c r="E786" s="19" t="s">
        <v>512</v>
      </c>
      <c r="F786" s="19" t="s">
        <v>105</v>
      </c>
      <c r="G786" s="21">
        <v>9.50174056E9</v>
      </c>
    </row>
    <row r="787" ht="22.5" customHeight="1">
      <c r="A787" s="22" t="s">
        <v>1992</v>
      </c>
      <c r="B787" s="23" t="s">
        <v>9438</v>
      </c>
      <c r="C787" s="24" t="s">
        <v>1993</v>
      </c>
      <c r="D787" s="23" t="s">
        <v>9439</v>
      </c>
      <c r="E787" s="23" t="s">
        <v>17</v>
      </c>
      <c r="F787" s="23" t="s">
        <v>105</v>
      </c>
      <c r="G787" s="25">
        <v>9.888714233E9</v>
      </c>
    </row>
    <row r="788" ht="22.5" customHeight="1">
      <c r="A788" s="18" t="s">
        <v>516</v>
      </c>
      <c r="B788" s="19" t="s">
        <v>514</v>
      </c>
      <c r="C788" s="20" t="s">
        <v>517</v>
      </c>
      <c r="D788" s="19" t="s">
        <v>9440</v>
      </c>
      <c r="E788" s="19" t="s">
        <v>57</v>
      </c>
      <c r="F788" s="19" t="s">
        <v>105</v>
      </c>
      <c r="G788" s="21">
        <v>9.711799398E9</v>
      </c>
    </row>
    <row r="789" ht="22.5" customHeight="1">
      <c r="A789" s="22" t="s">
        <v>3320</v>
      </c>
      <c r="B789" s="23" t="s">
        <v>9441</v>
      </c>
      <c r="C789" s="24" t="s">
        <v>3321</v>
      </c>
      <c r="D789" s="23" t="s">
        <v>9442</v>
      </c>
      <c r="E789" s="23" t="s">
        <v>524</v>
      </c>
      <c r="F789" s="23" t="s">
        <v>105</v>
      </c>
      <c r="G789" s="25">
        <v>9.46326166E9</v>
      </c>
    </row>
    <row r="790" ht="22.5" customHeight="1">
      <c r="A790" s="18" t="s">
        <v>2812</v>
      </c>
      <c r="B790" s="19" t="s">
        <v>9443</v>
      </c>
      <c r="C790" s="20" t="s">
        <v>2813</v>
      </c>
      <c r="D790" s="19" t="s">
        <v>9444</v>
      </c>
      <c r="E790" s="19" t="s">
        <v>265</v>
      </c>
      <c r="F790" s="19" t="s">
        <v>105</v>
      </c>
      <c r="G790" s="21">
        <v>9.17000955E9</v>
      </c>
    </row>
    <row r="791" ht="22.5" customHeight="1">
      <c r="A791" s="22" t="s">
        <v>5206</v>
      </c>
      <c r="B791" s="23" t="s">
        <v>9446</v>
      </c>
      <c r="C791" s="24" t="s">
        <v>2424</v>
      </c>
      <c r="D791" s="23" t="s">
        <v>9447</v>
      </c>
      <c r="E791" s="23" t="s">
        <v>184</v>
      </c>
      <c r="F791" s="23" t="s">
        <v>105</v>
      </c>
      <c r="G791" s="25">
        <v>7.814544795E9</v>
      </c>
    </row>
    <row r="792" ht="22.5" customHeight="1">
      <c r="A792" s="18" t="s">
        <v>9448</v>
      </c>
      <c r="B792" s="19" t="s">
        <v>9449</v>
      </c>
      <c r="C792" s="20" t="s">
        <v>3039</v>
      </c>
      <c r="D792" s="19" t="s">
        <v>9450</v>
      </c>
      <c r="E792" s="19" t="s">
        <v>1622</v>
      </c>
      <c r="F792" s="19" t="s">
        <v>105</v>
      </c>
      <c r="G792" s="21">
        <v>9.779482275E9</v>
      </c>
    </row>
    <row r="793" ht="22.5" customHeight="1">
      <c r="A793" s="22" t="s">
        <v>1329</v>
      </c>
      <c r="B793" s="23" t="s">
        <v>9451</v>
      </c>
      <c r="C793" s="24" t="s">
        <v>1330</v>
      </c>
      <c r="D793" s="23" t="s">
        <v>9452</v>
      </c>
      <c r="E793" s="23" t="s">
        <v>389</v>
      </c>
      <c r="F793" s="23" t="s">
        <v>105</v>
      </c>
      <c r="G793" s="25">
        <v>9.996371367E9</v>
      </c>
    </row>
    <row r="794" ht="22.5" customHeight="1">
      <c r="A794" s="18" t="s">
        <v>6279</v>
      </c>
      <c r="B794" s="19" t="s">
        <v>9453</v>
      </c>
      <c r="C794" s="20" t="s">
        <v>6280</v>
      </c>
      <c r="D794" s="19" t="s">
        <v>9454</v>
      </c>
      <c r="E794" s="19" t="s">
        <v>255</v>
      </c>
      <c r="F794" s="19" t="s">
        <v>105</v>
      </c>
      <c r="G794" s="21">
        <v>7.009832907E9</v>
      </c>
    </row>
    <row r="795" ht="22.5" customHeight="1">
      <c r="A795" s="22" t="s">
        <v>2661</v>
      </c>
      <c r="B795" s="23" t="s">
        <v>9455</v>
      </c>
      <c r="C795" s="24" t="s">
        <v>2662</v>
      </c>
      <c r="D795" s="23" t="s">
        <v>9456</v>
      </c>
      <c r="E795" s="23" t="s">
        <v>204</v>
      </c>
      <c r="F795" s="23" t="s">
        <v>105</v>
      </c>
      <c r="G795" s="25">
        <v>9.110109646E9</v>
      </c>
    </row>
    <row r="796" ht="22.5" customHeight="1">
      <c r="A796" s="18" t="s">
        <v>8852</v>
      </c>
      <c r="B796" s="19" t="s">
        <v>8850</v>
      </c>
      <c r="C796" s="20" t="s">
        <v>8853</v>
      </c>
      <c r="D796" s="19" t="s">
        <v>9457</v>
      </c>
      <c r="E796" s="19" t="s">
        <v>3118</v>
      </c>
      <c r="F796" s="19" t="s">
        <v>105</v>
      </c>
      <c r="G796" s="21">
        <v>9.910914405E9</v>
      </c>
    </row>
    <row r="797" ht="22.5" customHeight="1">
      <c r="A797" s="22" t="s">
        <v>5706</v>
      </c>
      <c r="B797" s="23" t="s">
        <v>9459</v>
      </c>
      <c r="C797" s="24" t="s">
        <v>5707</v>
      </c>
      <c r="D797" s="23" t="s">
        <v>9460</v>
      </c>
      <c r="E797" s="23" t="s">
        <v>140</v>
      </c>
      <c r="F797" s="23" t="s">
        <v>105</v>
      </c>
      <c r="G797" s="25">
        <v>7.986791435E9</v>
      </c>
    </row>
    <row r="798" ht="22.5" customHeight="1">
      <c r="A798" s="18" t="s">
        <v>2548</v>
      </c>
      <c r="B798" s="19" t="s">
        <v>9461</v>
      </c>
      <c r="C798" s="20" t="s">
        <v>2549</v>
      </c>
      <c r="D798" s="19" t="s">
        <v>9462</v>
      </c>
      <c r="E798" s="19" t="s">
        <v>17</v>
      </c>
      <c r="F798" s="19" t="s">
        <v>105</v>
      </c>
      <c r="G798" s="21">
        <v>7.696160066E9</v>
      </c>
    </row>
    <row r="799" ht="22.5" customHeight="1">
      <c r="A799" s="22" t="s">
        <v>2044</v>
      </c>
      <c r="B799" s="23" t="s">
        <v>9463</v>
      </c>
      <c r="C799" s="24" t="s">
        <v>2045</v>
      </c>
      <c r="D799" s="23" t="s">
        <v>9464</v>
      </c>
      <c r="E799" s="23" t="s">
        <v>17</v>
      </c>
      <c r="F799" s="23" t="s">
        <v>105</v>
      </c>
      <c r="G799" s="25">
        <v>9.896570065E9</v>
      </c>
    </row>
    <row r="800" ht="22.5" customHeight="1">
      <c r="A800" s="18" t="s">
        <v>6287</v>
      </c>
      <c r="B800" s="19" t="s">
        <v>7773</v>
      </c>
      <c r="C800" s="20" t="s">
        <v>6288</v>
      </c>
      <c r="D800" s="19" t="s">
        <v>6287</v>
      </c>
      <c r="E800" s="19" t="s">
        <v>255</v>
      </c>
      <c r="F800" s="19" t="s">
        <v>105</v>
      </c>
      <c r="G800" s="21">
        <v>7.814768263E9</v>
      </c>
    </row>
    <row r="801" ht="22.5" customHeight="1">
      <c r="A801" s="22" t="s">
        <v>1976</v>
      </c>
      <c r="B801" s="23" t="s">
        <v>7773</v>
      </c>
      <c r="C801" s="24" t="s">
        <v>1977</v>
      </c>
      <c r="D801" s="23" t="s">
        <v>9465</v>
      </c>
      <c r="E801" s="23" t="s">
        <v>17</v>
      </c>
      <c r="F801" s="23" t="s">
        <v>105</v>
      </c>
      <c r="G801" s="25">
        <v>7.814466516E9</v>
      </c>
    </row>
    <row r="802" ht="22.5" customHeight="1">
      <c r="A802" s="18" t="s">
        <v>400</v>
      </c>
      <c r="B802" s="19" t="s">
        <v>397</v>
      </c>
      <c r="C802" s="20" t="s">
        <v>401</v>
      </c>
      <c r="D802" s="19" t="s">
        <v>9466</v>
      </c>
      <c r="E802" s="19" t="s">
        <v>389</v>
      </c>
      <c r="F802" s="19" t="s">
        <v>105</v>
      </c>
      <c r="G802" s="21">
        <v>7.743021041E9</v>
      </c>
    </row>
    <row r="803" ht="22.5" customHeight="1">
      <c r="A803" s="22" t="s">
        <v>1650</v>
      </c>
      <c r="B803" s="23" t="s">
        <v>9468</v>
      </c>
      <c r="C803" s="24" t="s">
        <v>1651</v>
      </c>
      <c r="D803" s="23" t="s">
        <v>9469</v>
      </c>
      <c r="E803" s="23" t="s">
        <v>1653</v>
      </c>
      <c r="F803" s="23" t="s">
        <v>105</v>
      </c>
      <c r="G803" s="25">
        <v>9.464357083E9</v>
      </c>
    </row>
    <row r="804" ht="22.5" customHeight="1">
      <c r="A804" s="18" t="s">
        <v>7775</v>
      </c>
      <c r="B804" s="19" t="s">
        <v>7773</v>
      </c>
      <c r="C804" s="20" t="s">
        <v>7776</v>
      </c>
      <c r="D804" s="19" t="s">
        <v>9470</v>
      </c>
      <c r="E804" s="19" t="s">
        <v>792</v>
      </c>
      <c r="F804" s="19" t="s">
        <v>105</v>
      </c>
      <c r="G804" s="21">
        <v>9.464913448E9</v>
      </c>
    </row>
    <row r="805" ht="22.5" customHeight="1">
      <c r="A805" s="22" t="s">
        <v>2096</v>
      </c>
      <c r="B805" s="23" t="s">
        <v>9471</v>
      </c>
      <c r="C805" s="24" t="s">
        <v>2097</v>
      </c>
      <c r="D805" s="23" t="s">
        <v>2096</v>
      </c>
      <c r="E805" s="23" t="s">
        <v>17</v>
      </c>
      <c r="F805" s="23" t="s">
        <v>105</v>
      </c>
      <c r="G805" s="25">
        <v>7.986735143E9</v>
      </c>
    </row>
    <row r="806" ht="22.5" customHeight="1">
      <c r="A806" s="18" t="s">
        <v>5992</v>
      </c>
      <c r="B806" s="19" t="s">
        <v>9472</v>
      </c>
      <c r="C806" s="20" t="s">
        <v>5993</v>
      </c>
      <c r="D806" s="19" t="s">
        <v>9473</v>
      </c>
      <c r="E806" s="19" t="s">
        <v>287</v>
      </c>
      <c r="F806" s="19" t="s">
        <v>105</v>
      </c>
      <c r="G806" s="21">
        <v>8.195800404E9</v>
      </c>
    </row>
    <row r="807" ht="22.5" customHeight="1">
      <c r="A807" s="22" t="s">
        <v>420</v>
      </c>
      <c r="B807" s="23" t="s">
        <v>418</v>
      </c>
      <c r="C807" s="24" t="s">
        <v>421</v>
      </c>
      <c r="D807" s="23" t="s">
        <v>9474</v>
      </c>
      <c r="E807" s="23" t="s">
        <v>231</v>
      </c>
      <c r="F807" s="23" t="s">
        <v>105</v>
      </c>
      <c r="G807" s="25">
        <v>8.810206526E9</v>
      </c>
    </row>
    <row r="808" ht="22.5" customHeight="1">
      <c r="A808" s="18" t="s">
        <v>686</v>
      </c>
      <c r="B808" s="19" t="s">
        <v>683</v>
      </c>
      <c r="C808" s="20" t="s">
        <v>688</v>
      </c>
      <c r="D808" s="19" t="s">
        <v>9475</v>
      </c>
      <c r="E808" s="19" t="s">
        <v>689</v>
      </c>
      <c r="F808" s="19" t="s">
        <v>105</v>
      </c>
      <c r="G808" s="21">
        <v>9.36267091E9</v>
      </c>
    </row>
    <row r="809" ht="22.5" customHeight="1">
      <c r="A809" s="22" t="s">
        <v>3627</v>
      </c>
      <c r="B809" s="23" t="s">
        <v>9476</v>
      </c>
      <c r="C809" s="24" t="s">
        <v>3628</v>
      </c>
      <c r="D809" s="23" t="s">
        <v>9477</v>
      </c>
      <c r="E809" s="23" t="s">
        <v>543</v>
      </c>
      <c r="F809" s="23" t="s">
        <v>105</v>
      </c>
      <c r="G809" s="25">
        <v>9.877737346E9</v>
      </c>
    </row>
    <row r="810" ht="22.5" customHeight="1">
      <c r="A810" s="18" t="s">
        <v>9479</v>
      </c>
      <c r="B810" s="19" t="s">
        <v>9480</v>
      </c>
      <c r="C810" s="20" t="s">
        <v>9481</v>
      </c>
      <c r="D810" s="19" t="s">
        <v>9482</v>
      </c>
      <c r="E810" s="19" t="s">
        <v>384</v>
      </c>
      <c r="F810" s="19" t="s">
        <v>105</v>
      </c>
      <c r="G810" s="21">
        <v>9.81118058E9</v>
      </c>
    </row>
    <row r="811" ht="22.5" customHeight="1">
      <c r="A811" s="22" t="s">
        <v>5464</v>
      </c>
      <c r="B811" s="23" t="s">
        <v>5462</v>
      </c>
      <c r="C811" s="24" t="s">
        <v>5465</v>
      </c>
      <c r="D811" s="23" t="s">
        <v>9483</v>
      </c>
      <c r="E811" s="23" t="s">
        <v>512</v>
      </c>
      <c r="F811" s="23" t="s">
        <v>105</v>
      </c>
      <c r="G811" s="25">
        <v>6.284206085E9</v>
      </c>
    </row>
    <row r="812" ht="22.5" customHeight="1">
      <c r="A812" s="18" t="s">
        <v>8743</v>
      </c>
      <c r="B812" s="19" t="s">
        <v>8741</v>
      </c>
      <c r="C812" s="20" t="s">
        <v>8744</v>
      </c>
      <c r="D812" s="19" t="s">
        <v>9484</v>
      </c>
      <c r="E812" s="19" t="s">
        <v>3118</v>
      </c>
      <c r="F812" s="19" t="s">
        <v>105</v>
      </c>
      <c r="G812" s="21">
        <v>9.877282421E9</v>
      </c>
    </row>
    <row r="813" ht="22.5" customHeight="1">
      <c r="A813" s="22" t="s">
        <v>3983</v>
      </c>
      <c r="B813" s="23" t="s">
        <v>9485</v>
      </c>
      <c r="C813" s="24" t="s">
        <v>3984</v>
      </c>
      <c r="D813" s="23" t="s">
        <v>9486</v>
      </c>
      <c r="E813" s="23" t="s">
        <v>314</v>
      </c>
      <c r="F813" s="23" t="s">
        <v>105</v>
      </c>
      <c r="G813" s="25">
        <v>9.660581215E9</v>
      </c>
    </row>
    <row r="814" ht="22.5" customHeight="1">
      <c r="A814" s="18" t="s">
        <v>7666</v>
      </c>
      <c r="B814" s="19" t="s">
        <v>9487</v>
      </c>
      <c r="C814" s="20" t="s">
        <v>7667</v>
      </c>
      <c r="D814" s="19" t="s">
        <v>9488</v>
      </c>
      <c r="E814" s="19" t="s">
        <v>617</v>
      </c>
      <c r="F814" s="19" t="s">
        <v>105</v>
      </c>
      <c r="G814" s="21">
        <v>7.973819827E9</v>
      </c>
    </row>
    <row r="815" ht="22.5" customHeight="1">
      <c r="A815" s="22" t="s">
        <v>8294</v>
      </c>
      <c r="B815" s="23" t="s">
        <v>9490</v>
      </c>
      <c r="C815" s="24" t="s">
        <v>8295</v>
      </c>
      <c r="D815" s="23" t="s">
        <v>9491</v>
      </c>
      <c r="E815" s="23" t="s">
        <v>4200</v>
      </c>
      <c r="F815" s="23" t="s">
        <v>105</v>
      </c>
      <c r="G815" s="25">
        <v>6.239848607E9</v>
      </c>
    </row>
    <row r="816" ht="22.5" customHeight="1">
      <c r="A816" s="18" t="s">
        <v>9492</v>
      </c>
      <c r="B816" s="19" t="s">
        <v>9493</v>
      </c>
      <c r="C816" s="20" t="s">
        <v>3560</v>
      </c>
      <c r="D816" s="19" t="s">
        <v>9494</v>
      </c>
      <c r="E816" s="19" t="s">
        <v>68</v>
      </c>
      <c r="F816" s="19" t="s">
        <v>105</v>
      </c>
      <c r="G816" s="21">
        <v>8.979745677E9</v>
      </c>
    </row>
    <row r="817" ht="22.5" customHeight="1">
      <c r="A817" s="22" t="s">
        <v>3932</v>
      </c>
      <c r="B817" s="23" t="s">
        <v>9495</v>
      </c>
      <c r="C817" s="24" t="s">
        <v>3934</v>
      </c>
      <c r="D817" s="23" t="s">
        <v>3932</v>
      </c>
      <c r="E817" s="23" t="s">
        <v>282</v>
      </c>
      <c r="F817" s="23" t="s">
        <v>105</v>
      </c>
      <c r="G817" s="25">
        <v>9.599558001E9</v>
      </c>
    </row>
    <row r="818" ht="22.5" customHeight="1">
      <c r="A818" s="30" t="s">
        <v>5911</v>
      </c>
      <c r="B818" s="19" t="s">
        <v>9496</v>
      </c>
      <c r="C818" s="20" t="s">
        <v>5912</v>
      </c>
      <c r="D818" s="19" t="s">
        <v>9497</v>
      </c>
      <c r="E818" s="19" t="s">
        <v>277</v>
      </c>
      <c r="F818" s="19" t="s">
        <v>105</v>
      </c>
      <c r="G818" s="21">
        <v>9.058405203E9</v>
      </c>
    </row>
    <row r="819" ht="22.5" customHeight="1">
      <c r="A819" s="30" t="s">
        <v>9498</v>
      </c>
      <c r="B819" s="23" t="s">
        <v>7569</v>
      </c>
      <c r="C819" s="24" t="s">
        <v>7572</v>
      </c>
      <c r="D819" s="23" t="s">
        <v>9498</v>
      </c>
      <c r="E819" s="23" t="s">
        <v>123</v>
      </c>
      <c r="F819" s="23" t="s">
        <v>105</v>
      </c>
      <c r="G819" s="25">
        <v>8.81030853E9</v>
      </c>
    </row>
    <row r="820" ht="22.5" customHeight="1">
      <c r="A820" s="18" t="s">
        <v>9499</v>
      </c>
      <c r="B820" s="19" t="s">
        <v>5519</v>
      </c>
      <c r="C820" s="20" t="s">
        <v>5522</v>
      </c>
      <c r="D820" s="19" t="s">
        <v>9499</v>
      </c>
      <c r="E820" s="19" t="s">
        <v>512</v>
      </c>
      <c r="F820" s="19" t="s">
        <v>105</v>
      </c>
      <c r="G820" s="21">
        <v>8.813947793E9</v>
      </c>
    </row>
    <row r="821" ht="22.5" customHeight="1">
      <c r="A821" s="22" t="s">
        <v>827</v>
      </c>
      <c r="B821" s="23" t="s">
        <v>9501</v>
      </c>
      <c r="C821" s="24" t="s">
        <v>828</v>
      </c>
      <c r="D821" s="23" t="s">
        <v>9502</v>
      </c>
      <c r="E821" s="23" t="s">
        <v>52</v>
      </c>
      <c r="F821" s="23" t="s">
        <v>105</v>
      </c>
      <c r="G821" s="25">
        <v>7.814635381E9</v>
      </c>
    </row>
    <row r="822" ht="22.5" customHeight="1">
      <c r="A822" s="18" t="s">
        <v>9503</v>
      </c>
      <c r="B822" s="19" t="s">
        <v>9504</v>
      </c>
      <c r="C822" s="20" t="s">
        <v>4502</v>
      </c>
      <c r="D822" s="19" t="s">
        <v>9505</v>
      </c>
      <c r="E822" s="19" t="s">
        <v>617</v>
      </c>
      <c r="F822" s="19" t="s">
        <v>105</v>
      </c>
      <c r="G822" s="21">
        <v>7.900597923E9</v>
      </c>
    </row>
    <row r="823" ht="22.5" customHeight="1">
      <c r="A823" s="22" t="s">
        <v>8022</v>
      </c>
      <c r="B823" s="23" t="s">
        <v>9506</v>
      </c>
      <c r="C823" s="24" t="s">
        <v>8023</v>
      </c>
      <c r="D823" s="23" t="s">
        <v>8022</v>
      </c>
      <c r="E823" s="23" t="s">
        <v>559</v>
      </c>
      <c r="F823" s="23" t="s">
        <v>105</v>
      </c>
      <c r="G823" s="25">
        <v>9.522028528E9</v>
      </c>
    </row>
    <row r="824" ht="22.5" customHeight="1">
      <c r="A824" s="18" t="s">
        <v>3427</v>
      </c>
      <c r="B824" s="19" t="s">
        <v>9507</v>
      </c>
      <c r="C824" s="20" t="s">
        <v>3428</v>
      </c>
      <c r="D824" s="19" t="s">
        <v>9508</v>
      </c>
      <c r="E824" s="19" t="s">
        <v>37</v>
      </c>
      <c r="F824" s="19" t="s">
        <v>105</v>
      </c>
      <c r="G824" s="21">
        <v>7.908970125E9</v>
      </c>
    </row>
    <row r="825" ht="22.5" customHeight="1">
      <c r="A825" s="22" t="s">
        <v>6573</v>
      </c>
      <c r="B825" s="23" t="s">
        <v>9509</v>
      </c>
      <c r="C825" s="24" t="s">
        <v>6574</v>
      </c>
      <c r="D825" s="23" t="s">
        <v>9510</v>
      </c>
      <c r="E825" s="23" t="s">
        <v>47</v>
      </c>
      <c r="F825" s="23" t="s">
        <v>105</v>
      </c>
      <c r="G825" s="25">
        <v>8.949311633E9</v>
      </c>
    </row>
    <row r="826" ht="22.5" customHeight="1">
      <c r="A826" s="18" t="s">
        <v>9512</v>
      </c>
      <c r="B826" s="19" t="s">
        <v>9513</v>
      </c>
      <c r="C826" s="20" t="s">
        <v>4520</v>
      </c>
      <c r="D826" s="19" t="s">
        <v>9514</v>
      </c>
      <c r="E826" s="19" t="s">
        <v>617</v>
      </c>
      <c r="F826" s="19" t="s">
        <v>105</v>
      </c>
      <c r="G826" s="21">
        <v>7.037732671E9</v>
      </c>
    </row>
    <row r="827" ht="22.5" customHeight="1">
      <c r="A827" s="30" t="s">
        <v>8856</v>
      </c>
      <c r="B827" s="23" t="s">
        <v>8854</v>
      </c>
      <c r="C827" s="24" t="s">
        <v>8857</v>
      </c>
      <c r="D827" s="23" t="s">
        <v>9515</v>
      </c>
      <c r="E827" s="23" t="s">
        <v>1303</v>
      </c>
      <c r="F827" s="23" t="s">
        <v>105</v>
      </c>
      <c r="G827" s="25">
        <v>7.02397722E9</v>
      </c>
    </row>
    <row r="828" ht="22.5" customHeight="1">
      <c r="A828" s="18" t="s">
        <v>9516</v>
      </c>
      <c r="B828" s="19" t="s">
        <v>7477</v>
      </c>
      <c r="C828" s="20" t="s">
        <v>7480</v>
      </c>
      <c r="D828" s="19" t="s">
        <v>9516</v>
      </c>
      <c r="E828" s="19" t="s">
        <v>756</v>
      </c>
      <c r="F828" s="19" t="s">
        <v>105</v>
      </c>
      <c r="G828" s="21">
        <v>8.283990598E9</v>
      </c>
    </row>
    <row r="829" ht="22.5" customHeight="1">
      <c r="A829" s="22" t="s">
        <v>269</v>
      </c>
      <c r="B829" s="23" t="s">
        <v>267</v>
      </c>
      <c r="C829" s="24" t="s">
        <v>270</v>
      </c>
      <c r="D829" s="23" t="s">
        <v>9517</v>
      </c>
      <c r="E829" s="23" t="s">
        <v>81</v>
      </c>
      <c r="F829" s="23" t="s">
        <v>105</v>
      </c>
      <c r="G829" s="25">
        <v>9.116869258E9</v>
      </c>
    </row>
    <row r="830" ht="22.5" customHeight="1">
      <c r="A830" s="18" t="s">
        <v>1670</v>
      </c>
      <c r="B830" s="19" t="s">
        <v>9519</v>
      </c>
      <c r="C830" s="20" t="s">
        <v>1672</v>
      </c>
      <c r="D830" s="19" t="s">
        <v>9520</v>
      </c>
      <c r="E830" s="19" t="s">
        <v>1653</v>
      </c>
      <c r="F830" s="19" t="s">
        <v>105</v>
      </c>
      <c r="G830" s="21">
        <v>9.89999252E9</v>
      </c>
    </row>
    <row r="831" ht="22.5" customHeight="1">
      <c r="A831" s="22" t="s">
        <v>9521</v>
      </c>
      <c r="B831" s="23" t="s">
        <v>9522</v>
      </c>
      <c r="C831" s="24" t="s">
        <v>2505</v>
      </c>
      <c r="D831" s="23" t="s">
        <v>9523</v>
      </c>
      <c r="E831" s="23" t="s">
        <v>1071</v>
      </c>
      <c r="F831" s="23" t="s">
        <v>105</v>
      </c>
      <c r="G831" s="25">
        <v>6.284484086E9</v>
      </c>
    </row>
    <row r="832" ht="22.5" customHeight="1">
      <c r="A832" s="18" t="s">
        <v>2054</v>
      </c>
      <c r="B832" s="19" t="s">
        <v>9524</v>
      </c>
      <c r="C832" s="20" t="s">
        <v>2055</v>
      </c>
      <c r="D832" s="19" t="s">
        <v>9525</v>
      </c>
      <c r="E832" s="19" t="s">
        <v>17</v>
      </c>
      <c r="F832" s="19" t="s">
        <v>105</v>
      </c>
      <c r="G832" s="21">
        <v>7.69612078E9</v>
      </c>
    </row>
    <row r="833" ht="22.5" customHeight="1">
      <c r="A833" s="22" t="s">
        <v>360</v>
      </c>
      <c r="B833" s="23" t="s">
        <v>357</v>
      </c>
      <c r="C833" s="24" t="s">
        <v>361</v>
      </c>
      <c r="D833" s="23" t="s">
        <v>9526</v>
      </c>
      <c r="E833" s="23" t="s">
        <v>204</v>
      </c>
      <c r="F833" s="23" t="s">
        <v>105</v>
      </c>
      <c r="G833" s="25">
        <v>9.877705477E9</v>
      </c>
    </row>
    <row r="834" ht="22.5" customHeight="1">
      <c r="A834" s="18" t="s">
        <v>3233</v>
      </c>
      <c r="B834" s="19" t="s">
        <v>9527</v>
      </c>
      <c r="C834" s="20" t="s">
        <v>3234</v>
      </c>
      <c r="D834" s="19" t="s">
        <v>9528</v>
      </c>
      <c r="E834" s="19" t="s">
        <v>30</v>
      </c>
      <c r="F834" s="19" t="s">
        <v>105</v>
      </c>
      <c r="G834" s="21">
        <v>7.42872871E9</v>
      </c>
    </row>
    <row r="835" ht="22.5" customHeight="1">
      <c r="A835" s="22" t="s">
        <v>9529</v>
      </c>
      <c r="B835" s="23" t="s">
        <v>9531</v>
      </c>
      <c r="C835" s="24" t="s">
        <v>6238</v>
      </c>
      <c r="D835" s="23" t="s">
        <v>9529</v>
      </c>
      <c r="E835" s="23" t="s">
        <v>255</v>
      </c>
      <c r="F835" s="23" t="s">
        <v>105</v>
      </c>
      <c r="G835" s="25">
        <v>7.814679408E9</v>
      </c>
    </row>
    <row r="836" ht="22.5" customHeight="1">
      <c r="A836" s="18" t="s">
        <v>9532</v>
      </c>
      <c r="B836" s="19" t="s">
        <v>53</v>
      </c>
      <c r="C836" s="20" t="s">
        <v>56</v>
      </c>
      <c r="D836" s="19" t="s">
        <v>9533</v>
      </c>
      <c r="E836" s="19" t="s">
        <v>57</v>
      </c>
      <c r="F836" s="19" t="s">
        <v>105</v>
      </c>
      <c r="G836" s="21">
        <v>9.896272178E9</v>
      </c>
    </row>
    <row r="837" ht="22.5" customHeight="1">
      <c r="A837" s="22" t="s">
        <v>9534</v>
      </c>
      <c r="B837" s="23" t="s">
        <v>9535</v>
      </c>
      <c r="C837" s="24" t="s">
        <v>1242</v>
      </c>
      <c r="D837" s="23" t="s">
        <v>9536</v>
      </c>
      <c r="E837" s="23" t="s">
        <v>1149</v>
      </c>
      <c r="F837" s="23" t="s">
        <v>105</v>
      </c>
      <c r="G837" s="25">
        <v>8.930721048E9</v>
      </c>
    </row>
    <row r="838" ht="22.5" customHeight="1">
      <c r="A838" s="18" t="s">
        <v>9537</v>
      </c>
      <c r="B838" s="19" t="s">
        <v>9538</v>
      </c>
      <c r="C838" s="20" t="s">
        <v>2313</v>
      </c>
      <c r="D838" s="19" t="s">
        <v>9537</v>
      </c>
      <c r="E838" s="19" t="s">
        <v>219</v>
      </c>
      <c r="F838" s="19" t="s">
        <v>105</v>
      </c>
      <c r="G838" s="21">
        <v>6.207238053E9</v>
      </c>
    </row>
    <row r="839" ht="22.5" customHeight="1">
      <c r="A839" s="22" t="s">
        <v>9539</v>
      </c>
      <c r="B839" s="23" t="s">
        <v>9540</v>
      </c>
      <c r="C839" s="24" t="s">
        <v>3965</v>
      </c>
      <c r="D839" s="23" t="s">
        <v>9541</v>
      </c>
      <c r="E839" s="23" t="s">
        <v>314</v>
      </c>
      <c r="F839" s="23" t="s">
        <v>105</v>
      </c>
      <c r="G839" s="25">
        <v>8.847529002E9</v>
      </c>
    </row>
    <row r="840" ht="22.5" customHeight="1">
      <c r="A840" s="18" t="s">
        <v>9542</v>
      </c>
      <c r="B840" s="19" t="s">
        <v>53</v>
      </c>
      <c r="C840" s="20" t="s">
        <v>3697</v>
      </c>
      <c r="D840" s="19" t="s">
        <v>9544</v>
      </c>
      <c r="E840" s="19" t="s">
        <v>227</v>
      </c>
      <c r="F840" s="19" t="s">
        <v>105</v>
      </c>
      <c r="G840" s="21">
        <v>9.599199533E9</v>
      </c>
    </row>
    <row r="841" ht="22.5" customHeight="1">
      <c r="A841" s="22" t="s">
        <v>4151</v>
      </c>
      <c r="B841" s="23" t="s">
        <v>9545</v>
      </c>
      <c r="C841" s="24" t="s">
        <v>4152</v>
      </c>
      <c r="D841" s="23" t="s">
        <v>4151</v>
      </c>
      <c r="E841" s="23" t="s">
        <v>365</v>
      </c>
      <c r="F841" s="23" t="s">
        <v>105</v>
      </c>
      <c r="G841" s="25">
        <v>9.55952645E9</v>
      </c>
    </row>
    <row r="842" ht="22.5" customHeight="1">
      <c r="A842" s="18" t="s">
        <v>7168</v>
      </c>
      <c r="B842" s="19" t="s">
        <v>9546</v>
      </c>
      <c r="C842" s="20" t="s">
        <v>7169</v>
      </c>
      <c r="D842" s="19" t="s">
        <v>9547</v>
      </c>
      <c r="E842" s="19" t="s">
        <v>1326</v>
      </c>
      <c r="F842" s="19" t="s">
        <v>105</v>
      </c>
      <c r="G842" s="21">
        <v>7.982640629E9</v>
      </c>
    </row>
    <row r="843" ht="22.5" customHeight="1">
      <c r="A843" s="22" t="s">
        <v>4434</v>
      </c>
      <c r="B843" s="23" t="s">
        <v>9548</v>
      </c>
      <c r="C843" s="24" t="s">
        <v>4435</v>
      </c>
      <c r="D843" s="23" t="s">
        <v>9549</v>
      </c>
      <c r="E843" s="23" t="s">
        <v>617</v>
      </c>
      <c r="F843" s="23" t="s">
        <v>105</v>
      </c>
      <c r="G843" s="25">
        <v>9.888303682E9</v>
      </c>
    </row>
    <row r="844" ht="22.5" customHeight="1">
      <c r="A844" s="18" t="s">
        <v>3919</v>
      </c>
      <c r="B844" s="19" t="s">
        <v>9550</v>
      </c>
      <c r="C844" s="20" t="s">
        <v>3920</v>
      </c>
      <c r="D844" s="19" t="s">
        <v>9551</v>
      </c>
      <c r="E844" s="19" t="s">
        <v>282</v>
      </c>
      <c r="F844" s="19" t="s">
        <v>105</v>
      </c>
      <c r="G844" s="21">
        <v>6.239176341E9</v>
      </c>
    </row>
    <row r="845" ht="22.5" customHeight="1">
      <c r="A845" s="22" t="s">
        <v>3361</v>
      </c>
      <c r="B845" s="23" t="s">
        <v>3359</v>
      </c>
      <c r="C845" s="24" t="s">
        <v>3362</v>
      </c>
      <c r="D845" s="23" t="s">
        <v>9552</v>
      </c>
      <c r="E845" s="23" t="s">
        <v>524</v>
      </c>
      <c r="F845" s="23" t="s">
        <v>105</v>
      </c>
      <c r="G845" s="25">
        <v>9.478817581E9</v>
      </c>
    </row>
    <row r="846" ht="22.5" customHeight="1">
      <c r="A846" s="18" t="s">
        <v>6199</v>
      </c>
      <c r="B846" s="19" t="s">
        <v>3359</v>
      </c>
      <c r="C846" s="20" t="s">
        <v>6200</v>
      </c>
      <c r="D846" s="19" t="s">
        <v>9554</v>
      </c>
      <c r="E846" s="19" t="s">
        <v>1002</v>
      </c>
      <c r="F846" s="19" t="s">
        <v>105</v>
      </c>
      <c r="G846" s="21">
        <v>8.595597482E9</v>
      </c>
    </row>
    <row r="847" ht="22.5" customHeight="1">
      <c r="A847" s="22" t="s">
        <v>2553</v>
      </c>
      <c r="B847" s="23" t="s">
        <v>9555</v>
      </c>
      <c r="C847" s="24" t="s">
        <v>2554</v>
      </c>
      <c r="D847" s="23" t="s">
        <v>9556</v>
      </c>
      <c r="E847" s="23" t="s">
        <v>63</v>
      </c>
      <c r="F847" s="23" t="s">
        <v>105</v>
      </c>
      <c r="G847" s="25">
        <v>7.681953159E9</v>
      </c>
    </row>
    <row r="848" ht="22.5" customHeight="1">
      <c r="A848" s="18" t="s">
        <v>8464</v>
      </c>
      <c r="B848" s="19" t="s">
        <v>8462</v>
      </c>
      <c r="C848" s="20" t="s">
        <v>8465</v>
      </c>
      <c r="D848" s="19" t="s">
        <v>9557</v>
      </c>
      <c r="E848" s="19" t="s">
        <v>81</v>
      </c>
      <c r="F848" s="19" t="s">
        <v>105</v>
      </c>
      <c r="G848" s="21">
        <v>9.717796953E9</v>
      </c>
    </row>
    <row r="849" ht="22.5" customHeight="1">
      <c r="A849" s="22" t="s">
        <v>8405</v>
      </c>
      <c r="B849" s="23" t="s">
        <v>8403</v>
      </c>
      <c r="C849" s="24" t="s">
        <v>8406</v>
      </c>
      <c r="D849" s="23" t="s">
        <v>9558</v>
      </c>
      <c r="E849" s="23" t="s">
        <v>231</v>
      </c>
      <c r="F849" s="23" t="s">
        <v>105</v>
      </c>
      <c r="G849" s="25">
        <v>7.69676781E9</v>
      </c>
    </row>
    <row r="850" ht="22.5" customHeight="1">
      <c r="A850" s="18" t="s">
        <v>3642</v>
      </c>
      <c r="B850" s="19" t="s">
        <v>9559</v>
      </c>
      <c r="C850" s="20" t="s">
        <v>3643</v>
      </c>
      <c r="D850" s="19" t="s">
        <v>9560</v>
      </c>
      <c r="E850" s="19" t="s">
        <v>543</v>
      </c>
      <c r="F850" s="19" t="s">
        <v>105</v>
      </c>
      <c r="G850" s="21">
        <v>6.283581232E9</v>
      </c>
    </row>
    <row r="851" ht="22.5" customHeight="1">
      <c r="A851" s="22" t="s">
        <v>9562</v>
      </c>
      <c r="B851" s="23" t="s">
        <v>9563</v>
      </c>
      <c r="C851" s="24" t="s">
        <v>1882</v>
      </c>
      <c r="D851" s="23" t="s">
        <v>9564</v>
      </c>
      <c r="E851" s="23" t="s">
        <v>782</v>
      </c>
      <c r="F851" s="23" t="s">
        <v>105</v>
      </c>
      <c r="G851" s="25">
        <v>7.814234727E9</v>
      </c>
    </row>
    <row r="852" ht="22.5" customHeight="1">
      <c r="A852" s="18" t="s">
        <v>4471</v>
      </c>
      <c r="B852" s="19" t="s">
        <v>9565</v>
      </c>
      <c r="C852" s="20" t="s">
        <v>4473</v>
      </c>
      <c r="D852" s="19" t="s">
        <v>9566</v>
      </c>
      <c r="E852" s="19" t="s">
        <v>617</v>
      </c>
      <c r="F852" s="19" t="s">
        <v>105</v>
      </c>
      <c r="G852" s="21">
        <v>9.42572587E9</v>
      </c>
    </row>
    <row r="853" ht="22.5" customHeight="1">
      <c r="A853" s="22" t="s">
        <v>7017</v>
      </c>
      <c r="B853" s="23" t="s">
        <v>9567</v>
      </c>
      <c r="C853" s="24" t="s">
        <v>7018</v>
      </c>
      <c r="D853" s="23" t="s">
        <v>9568</v>
      </c>
      <c r="E853" s="23" t="s">
        <v>3956</v>
      </c>
      <c r="F853" s="23" t="s">
        <v>105</v>
      </c>
      <c r="G853" s="25">
        <v>9.914622066E9</v>
      </c>
    </row>
    <row r="854" ht="22.5" customHeight="1">
      <c r="A854" s="18" t="s">
        <v>1000</v>
      </c>
      <c r="B854" s="19" t="s">
        <v>9569</v>
      </c>
      <c r="C854" s="20" t="s">
        <v>1001</v>
      </c>
      <c r="D854" s="19" t="s">
        <v>9570</v>
      </c>
      <c r="E854" s="19" t="s">
        <v>140</v>
      </c>
      <c r="F854" s="19" t="s">
        <v>105</v>
      </c>
      <c r="G854" s="21">
        <v>8.708459797E9</v>
      </c>
    </row>
    <row r="855" ht="22.5" customHeight="1">
      <c r="A855" s="22" t="s">
        <v>6078</v>
      </c>
      <c r="B855" s="23" t="s">
        <v>9571</v>
      </c>
      <c r="C855" s="24" t="s">
        <v>6080</v>
      </c>
      <c r="D855" s="23" t="s">
        <v>9572</v>
      </c>
      <c r="E855" s="23" t="s">
        <v>287</v>
      </c>
      <c r="F855" s="23" t="s">
        <v>105</v>
      </c>
      <c r="G855" s="25">
        <v>9.46819123E9</v>
      </c>
    </row>
    <row r="856" ht="22.5" customHeight="1">
      <c r="A856" s="18" t="s">
        <v>7260</v>
      </c>
      <c r="B856" s="19" t="s">
        <v>9573</v>
      </c>
      <c r="C856" s="20" t="s">
        <v>7261</v>
      </c>
      <c r="D856" s="19" t="s">
        <v>9574</v>
      </c>
      <c r="E856" s="19" t="s">
        <v>1561</v>
      </c>
      <c r="F856" s="19" t="s">
        <v>105</v>
      </c>
      <c r="G856" s="21">
        <v>7.72298199E9</v>
      </c>
    </row>
    <row r="857" ht="22.5" customHeight="1">
      <c r="A857" s="22" t="s">
        <v>318</v>
      </c>
      <c r="B857" s="23" t="s">
        <v>9576</v>
      </c>
      <c r="C857" s="24" t="s">
        <v>319</v>
      </c>
      <c r="D857" s="23" t="s">
        <v>9577</v>
      </c>
      <c r="E857" s="23" t="s">
        <v>106</v>
      </c>
      <c r="F857" s="23" t="s">
        <v>105</v>
      </c>
      <c r="G857" s="25">
        <v>7.734903394E9</v>
      </c>
    </row>
    <row r="858" ht="22.5" customHeight="1">
      <c r="A858" s="18" t="s">
        <v>8640</v>
      </c>
      <c r="B858" s="19" t="s">
        <v>8638</v>
      </c>
      <c r="C858" s="20" t="s">
        <v>8641</v>
      </c>
      <c r="D858" s="19" t="s">
        <v>9578</v>
      </c>
      <c r="E858" s="19" t="s">
        <v>100</v>
      </c>
      <c r="F858" s="19" t="s">
        <v>105</v>
      </c>
      <c r="G858" s="21">
        <v>8.288054367E9</v>
      </c>
    </row>
    <row r="859" ht="22.5" customHeight="1">
      <c r="A859" s="22" t="s">
        <v>8248</v>
      </c>
      <c r="B859" s="23" t="s">
        <v>9579</v>
      </c>
      <c r="C859" s="24" t="s">
        <v>8249</v>
      </c>
      <c r="D859" s="23" t="s">
        <v>9580</v>
      </c>
      <c r="E859" s="23" t="s">
        <v>204</v>
      </c>
      <c r="F859" s="23" t="s">
        <v>105</v>
      </c>
      <c r="G859" s="25">
        <v>6.301116597E9</v>
      </c>
    </row>
    <row r="860" ht="22.5" customHeight="1">
      <c r="A860" s="18" t="s">
        <v>3733</v>
      </c>
      <c r="B860" s="19" t="s">
        <v>9581</v>
      </c>
      <c r="C860" s="20" t="s">
        <v>3734</v>
      </c>
      <c r="D860" s="19" t="s">
        <v>9582</v>
      </c>
      <c r="E860" s="19" t="s">
        <v>227</v>
      </c>
      <c r="F860" s="19" t="s">
        <v>105</v>
      </c>
      <c r="G860" s="21">
        <v>7.206546541E9</v>
      </c>
    </row>
    <row r="861" ht="22.5" customHeight="1">
      <c r="A861" s="22" t="s">
        <v>9583</v>
      </c>
      <c r="B861" s="23" t="s">
        <v>9584</v>
      </c>
      <c r="C861" s="24" t="s">
        <v>4739</v>
      </c>
      <c r="D861" s="23" t="s">
        <v>9585</v>
      </c>
      <c r="E861" s="23" t="s">
        <v>506</v>
      </c>
      <c r="F861" s="23" t="s">
        <v>105</v>
      </c>
      <c r="G861" s="25">
        <v>8.264544353E9</v>
      </c>
    </row>
    <row r="862" ht="22.5" customHeight="1">
      <c r="A862" s="18" t="s">
        <v>1550</v>
      </c>
      <c r="B862" s="19" t="s">
        <v>9587</v>
      </c>
      <c r="C862" s="20" t="s">
        <v>1551</v>
      </c>
      <c r="D862" s="19" t="s">
        <v>9588</v>
      </c>
      <c r="E862" s="19" t="s">
        <v>75</v>
      </c>
      <c r="F862" s="19" t="s">
        <v>105</v>
      </c>
      <c r="G862" s="21">
        <v>9.878428707E9</v>
      </c>
    </row>
    <row r="863" ht="22.5" customHeight="1">
      <c r="A863" s="22" t="s">
        <v>5391</v>
      </c>
      <c r="B863" s="23" t="s">
        <v>9589</v>
      </c>
      <c r="C863" s="24" t="s">
        <v>2934</v>
      </c>
      <c r="D863" s="23" t="s">
        <v>9590</v>
      </c>
      <c r="E863" s="23" t="s">
        <v>1622</v>
      </c>
      <c r="F863" s="23" t="s">
        <v>105</v>
      </c>
      <c r="G863" s="25">
        <v>9.350153177E9</v>
      </c>
    </row>
    <row r="864" ht="22.5" customHeight="1">
      <c r="A864" s="18" t="s">
        <v>877</v>
      </c>
      <c r="B864" s="19" t="s">
        <v>9591</v>
      </c>
      <c r="C864" s="20" t="s">
        <v>878</v>
      </c>
      <c r="D864" s="19" t="s">
        <v>9592</v>
      </c>
      <c r="E864" s="19" t="s">
        <v>52</v>
      </c>
      <c r="F864" s="19" t="s">
        <v>105</v>
      </c>
      <c r="G864" s="21">
        <v>7.015238458E9</v>
      </c>
    </row>
    <row r="865" ht="22.5" customHeight="1">
      <c r="A865" s="22" t="s">
        <v>6066</v>
      </c>
      <c r="B865" s="23" t="s">
        <v>9593</v>
      </c>
      <c r="C865" s="24" t="s">
        <v>6067</v>
      </c>
      <c r="D865" s="23" t="s">
        <v>9594</v>
      </c>
      <c r="E865" s="23" t="s">
        <v>287</v>
      </c>
      <c r="F865" s="23" t="s">
        <v>105</v>
      </c>
      <c r="G865" s="25">
        <v>6.2846432E9</v>
      </c>
    </row>
    <row r="866" ht="22.5" customHeight="1">
      <c r="A866" s="18" t="s">
        <v>2133</v>
      </c>
      <c r="B866" s="19" t="s">
        <v>9595</v>
      </c>
      <c r="C866" s="20" t="s">
        <v>2134</v>
      </c>
      <c r="D866" s="19" t="s">
        <v>9596</v>
      </c>
      <c r="E866" s="19" t="s">
        <v>304</v>
      </c>
      <c r="F866" s="19" t="s">
        <v>105</v>
      </c>
      <c r="G866" s="21">
        <v>9.855994477E9</v>
      </c>
    </row>
    <row r="867" ht="22.5" customHeight="1">
      <c r="A867" s="22" t="s">
        <v>3669</v>
      </c>
      <c r="B867" s="23" t="s">
        <v>9598</v>
      </c>
      <c r="C867" s="24" t="s">
        <v>3670</v>
      </c>
      <c r="D867" s="23" t="s">
        <v>9599</v>
      </c>
      <c r="E867" s="23" t="s">
        <v>227</v>
      </c>
      <c r="F867" s="23" t="s">
        <v>105</v>
      </c>
      <c r="G867" s="25">
        <v>8.000631787E9</v>
      </c>
    </row>
    <row r="868" ht="22.5" customHeight="1">
      <c r="A868" s="18" t="s">
        <v>8071</v>
      </c>
      <c r="B868" s="19" t="s">
        <v>9600</v>
      </c>
      <c r="C868" s="20" t="s">
        <v>8072</v>
      </c>
      <c r="D868" s="19" t="s">
        <v>8071</v>
      </c>
      <c r="E868" s="19" t="s">
        <v>559</v>
      </c>
      <c r="F868" s="19" t="s">
        <v>105</v>
      </c>
      <c r="G868" s="21">
        <v>7.7195558E9</v>
      </c>
    </row>
    <row r="869" ht="22.5" customHeight="1">
      <c r="A869" s="22" t="s">
        <v>5506</v>
      </c>
      <c r="B869" s="23" t="s">
        <v>5504</v>
      </c>
      <c r="C869" s="24" t="s">
        <v>5507</v>
      </c>
      <c r="D869" s="23" t="s">
        <v>9601</v>
      </c>
      <c r="E869" s="23" t="s">
        <v>512</v>
      </c>
      <c r="F869" s="23" t="s">
        <v>105</v>
      </c>
      <c r="G869" s="25">
        <v>9.988409998E9</v>
      </c>
    </row>
    <row r="870" ht="22.5" customHeight="1">
      <c r="A870" s="18" t="s">
        <v>7069</v>
      </c>
      <c r="B870" s="19" t="s">
        <v>9602</v>
      </c>
      <c r="C870" s="20" t="s">
        <v>7070</v>
      </c>
      <c r="D870" s="19" t="s">
        <v>9603</v>
      </c>
      <c r="E870" s="19" t="s">
        <v>3956</v>
      </c>
      <c r="F870" s="19" t="s">
        <v>105</v>
      </c>
      <c r="G870" s="21">
        <v>8.920115031E9</v>
      </c>
    </row>
    <row r="871" ht="22.5" customHeight="1">
      <c r="A871" s="22" t="s">
        <v>9605</v>
      </c>
      <c r="B871" s="23" t="s">
        <v>9606</v>
      </c>
      <c r="C871" s="24" t="s">
        <v>3872</v>
      </c>
      <c r="D871" s="23" t="s">
        <v>9607</v>
      </c>
      <c r="E871" s="23" t="s">
        <v>282</v>
      </c>
      <c r="F871" s="23" t="s">
        <v>105</v>
      </c>
      <c r="G871" s="25">
        <v>7.678272607E9</v>
      </c>
    </row>
    <row r="872" ht="22.5" customHeight="1">
      <c r="A872" s="18" t="s">
        <v>9608</v>
      </c>
      <c r="B872" s="19" t="s">
        <v>9609</v>
      </c>
      <c r="C872" s="20" t="s">
        <v>4255</v>
      </c>
      <c r="D872" s="19" t="s">
        <v>9610</v>
      </c>
      <c r="E872" s="19" t="s">
        <v>1737</v>
      </c>
      <c r="F872" s="19" t="s">
        <v>105</v>
      </c>
      <c r="G872" s="21">
        <v>7.973154477E9</v>
      </c>
    </row>
    <row r="873" ht="22.5" customHeight="1">
      <c r="A873" s="22" t="s">
        <v>4202</v>
      </c>
      <c r="B873" s="23" t="s">
        <v>326</v>
      </c>
      <c r="C873" s="24" t="s">
        <v>4203</v>
      </c>
      <c r="D873" s="23" t="s">
        <v>9611</v>
      </c>
      <c r="E873" s="23" t="s">
        <v>1737</v>
      </c>
      <c r="F873" s="23" t="s">
        <v>105</v>
      </c>
      <c r="G873" s="25">
        <v>9.878374389E9</v>
      </c>
    </row>
    <row r="874" ht="22.5" customHeight="1">
      <c r="A874" s="18" t="s">
        <v>328</v>
      </c>
      <c r="B874" s="19" t="s">
        <v>326</v>
      </c>
      <c r="C874" s="20" t="s">
        <v>329</v>
      </c>
      <c r="D874" s="19" t="s">
        <v>9612</v>
      </c>
      <c r="E874" s="19" t="s">
        <v>106</v>
      </c>
      <c r="F874" s="19" t="s">
        <v>105</v>
      </c>
      <c r="G874" s="21">
        <v>7.988863586E9</v>
      </c>
    </row>
    <row r="875" ht="22.5" customHeight="1">
      <c r="A875" s="22" t="s">
        <v>9614</v>
      </c>
      <c r="B875" s="23" t="s">
        <v>326</v>
      </c>
      <c r="C875" s="24" t="s">
        <v>1971</v>
      </c>
      <c r="D875" s="23" t="s">
        <v>9615</v>
      </c>
      <c r="E875" s="23" t="s">
        <v>17</v>
      </c>
      <c r="F875" s="23" t="s">
        <v>105</v>
      </c>
      <c r="G875" s="25">
        <v>9.509287457E9</v>
      </c>
    </row>
    <row r="876" ht="22.5" customHeight="1">
      <c r="A876" s="18" t="s">
        <v>2223</v>
      </c>
      <c r="B876" s="19" t="s">
        <v>326</v>
      </c>
      <c r="C876" s="20" t="s">
        <v>2224</v>
      </c>
      <c r="D876" s="19" t="s">
        <v>2223</v>
      </c>
      <c r="E876" s="19" t="s">
        <v>304</v>
      </c>
      <c r="F876" s="19" t="s">
        <v>105</v>
      </c>
      <c r="G876" s="21">
        <v>7.973503825E9</v>
      </c>
    </row>
    <row r="877" ht="22.5" customHeight="1">
      <c r="A877" s="22" t="s">
        <v>1896</v>
      </c>
      <c r="B877" s="23" t="s">
        <v>9616</v>
      </c>
      <c r="C877" s="24" t="s">
        <v>1897</v>
      </c>
      <c r="D877" s="23" t="s">
        <v>9617</v>
      </c>
      <c r="E877" s="23" t="s">
        <v>782</v>
      </c>
      <c r="F877" s="23" t="s">
        <v>105</v>
      </c>
      <c r="G877" s="25">
        <v>8.90170982E9</v>
      </c>
    </row>
    <row r="878" ht="22.5" customHeight="1">
      <c r="A878" s="18" t="s">
        <v>9618</v>
      </c>
      <c r="B878" s="19" t="s">
        <v>497</v>
      </c>
      <c r="C878" s="20" t="s">
        <v>500</v>
      </c>
      <c r="D878" s="19" t="s">
        <v>9618</v>
      </c>
      <c r="E878" s="19" t="s">
        <v>57</v>
      </c>
      <c r="F878" s="19" t="s">
        <v>105</v>
      </c>
      <c r="G878" s="21">
        <v>8.053879093E9</v>
      </c>
    </row>
    <row r="879" ht="22.5" customHeight="1">
      <c r="A879" s="22" t="s">
        <v>9619</v>
      </c>
      <c r="B879" s="23" t="s">
        <v>9620</v>
      </c>
      <c r="C879" s="24" t="s">
        <v>5971</v>
      </c>
      <c r="D879" s="23" t="s">
        <v>9621</v>
      </c>
      <c r="E879" s="23" t="s">
        <v>277</v>
      </c>
      <c r="F879" s="23" t="s">
        <v>105</v>
      </c>
      <c r="G879" s="25">
        <v>9.416179079E9</v>
      </c>
    </row>
    <row r="880" ht="22.5" customHeight="1">
      <c r="A880" s="18" t="s">
        <v>5379</v>
      </c>
      <c r="B880" s="19" t="s">
        <v>9623</v>
      </c>
      <c r="C880" s="20" t="s">
        <v>2906</v>
      </c>
      <c r="D880" s="19" t="s">
        <v>9624</v>
      </c>
      <c r="E880" s="19" t="s">
        <v>1379</v>
      </c>
      <c r="F880" s="19" t="s">
        <v>105</v>
      </c>
      <c r="G880" s="21">
        <v>9.878914142E9</v>
      </c>
    </row>
    <row r="881" ht="22.5" customHeight="1">
      <c r="A881" s="22" t="s">
        <v>5609</v>
      </c>
      <c r="B881" s="23" t="s">
        <v>9623</v>
      </c>
      <c r="C881" s="24" t="s">
        <v>5610</v>
      </c>
      <c r="D881" s="23" t="s">
        <v>9625</v>
      </c>
      <c r="E881" s="23" t="s">
        <v>1243</v>
      </c>
      <c r="F881" s="23" t="s">
        <v>105</v>
      </c>
      <c r="G881" s="25">
        <v>7.696502235E9</v>
      </c>
    </row>
    <row r="882" ht="22.5" customHeight="1">
      <c r="A882" s="18" t="s">
        <v>8514</v>
      </c>
      <c r="B882" s="19" t="s">
        <v>8512</v>
      </c>
      <c r="C882" s="20" t="s">
        <v>8516</v>
      </c>
      <c r="D882" s="19" t="s">
        <v>9626</v>
      </c>
      <c r="E882" s="19" t="s">
        <v>3118</v>
      </c>
      <c r="F882" s="19" t="s">
        <v>105</v>
      </c>
      <c r="G882" s="21">
        <v>9.877872196E9</v>
      </c>
    </row>
    <row r="883" ht="22.5" customHeight="1">
      <c r="A883" s="22" t="s">
        <v>8696</v>
      </c>
      <c r="B883" s="23" t="s">
        <v>8694</v>
      </c>
      <c r="C883" s="24" t="s">
        <v>8697</v>
      </c>
      <c r="D883" s="23" t="s">
        <v>8696</v>
      </c>
      <c r="E883" s="23" t="s">
        <v>1303</v>
      </c>
      <c r="F883" s="23" t="s">
        <v>105</v>
      </c>
      <c r="G883" s="25">
        <v>8.168920361E9</v>
      </c>
    </row>
    <row r="884" ht="22.5" customHeight="1">
      <c r="A884" s="18" t="s">
        <v>5893</v>
      </c>
      <c r="B884" s="19" t="s">
        <v>9628</v>
      </c>
      <c r="C884" s="20" t="s">
        <v>5894</v>
      </c>
      <c r="D884" s="19" t="s">
        <v>9629</v>
      </c>
      <c r="E884" s="19" t="s">
        <v>277</v>
      </c>
      <c r="F884" s="19" t="s">
        <v>105</v>
      </c>
      <c r="G884" s="21">
        <v>7.986036577E9</v>
      </c>
    </row>
    <row r="885" ht="22.5" customHeight="1">
      <c r="A885" s="22" t="s">
        <v>2530</v>
      </c>
      <c r="B885" s="23" t="s">
        <v>9630</v>
      </c>
      <c r="C885" s="24" t="s">
        <v>2531</v>
      </c>
      <c r="D885" s="23" t="s">
        <v>9631</v>
      </c>
      <c r="E885" s="23" t="s">
        <v>63</v>
      </c>
      <c r="F885" s="23" t="s">
        <v>105</v>
      </c>
      <c r="G885" s="25">
        <v>7.696110323E9</v>
      </c>
    </row>
    <row r="886" ht="22.5" customHeight="1">
      <c r="A886" s="18" t="s">
        <v>2785</v>
      </c>
      <c r="B886" s="19" t="s">
        <v>9632</v>
      </c>
      <c r="C886" s="20" t="s">
        <v>2786</v>
      </c>
      <c r="D886" s="19" t="s">
        <v>2785</v>
      </c>
      <c r="E886" s="19" t="s">
        <v>265</v>
      </c>
      <c r="F886" s="19" t="s">
        <v>105</v>
      </c>
      <c r="G886" s="21">
        <v>9.321739153E9</v>
      </c>
    </row>
    <row r="887" ht="22.5" customHeight="1">
      <c r="A887" s="22" t="s">
        <v>7373</v>
      </c>
      <c r="B887" s="23" t="s">
        <v>9633</v>
      </c>
      <c r="C887" s="24" t="s">
        <v>7374</v>
      </c>
      <c r="D887" s="23" t="s">
        <v>9634</v>
      </c>
      <c r="E887" s="23" t="s">
        <v>523</v>
      </c>
      <c r="F887" s="23" t="s">
        <v>105</v>
      </c>
      <c r="G887" s="25">
        <v>6.283406006E9</v>
      </c>
    </row>
    <row r="888" ht="22.5" customHeight="1">
      <c r="A888" s="18" t="s">
        <v>9636</v>
      </c>
      <c r="B888" s="19" t="s">
        <v>9637</v>
      </c>
      <c r="C888" s="20" t="s">
        <v>6662</v>
      </c>
      <c r="D888" s="19" t="s">
        <v>9638</v>
      </c>
      <c r="E888" s="19" t="s">
        <v>98</v>
      </c>
      <c r="F888" s="19" t="s">
        <v>105</v>
      </c>
      <c r="G888" s="21">
        <v>7.015749056E9</v>
      </c>
    </row>
    <row r="889" ht="22.5" customHeight="1">
      <c r="A889" s="22" t="s">
        <v>2824</v>
      </c>
      <c r="B889" s="23" t="s">
        <v>9639</v>
      </c>
      <c r="C889" s="24" t="s">
        <v>2825</v>
      </c>
      <c r="D889" s="23" t="s">
        <v>9640</v>
      </c>
      <c r="E889" s="23" t="s">
        <v>1873</v>
      </c>
      <c r="F889" s="23" t="s">
        <v>105</v>
      </c>
      <c r="G889" s="25">
        <v>9.87671671E9</v>
      </c>
    </row>
    <row r="890" ht="22.5" customHeight="1">
      <c r="A890" s="18" t="s">
        <v>7594</v>
      </c>
      <c r="B890" s="19" t="s">
        <v>7592</v>
      </c>
      <c r="C890" s="20" t="s">
        <v>7595</v>
      </c>
      <c r="D890" s="19" t="s">
        <v>9641</v>
      </c>
      <c r="E890" s="19" t="s">
        <v>123</v>
      </c>
      <c r="F890" s="19" t="s">
        <v>105</v>
      </c>
      <c r="G890" s="21">
        <v>8.492091091E9</v>
      </c>
    </row>
    <row r="891" ht="22.5" customHeight="1">
      <c r="A891" s="22" t="s">
        <v>5350</v>
      </c>
      <c r="B891" s="23" t="s">
        <v>9642</v>
      </c>
      <c r="C891" s="24" t="s">
        <v>2829</v>
      </c>
      <c r="D891" s="23" t="s">
        <v>9643</v>
      </c>
      <c r="E891" s="23" t="s">
        <v>1379</v>
      </c>
      <c r="F891" s="23" t="s">
        <v>105</v>
      </c>
      <c r="G891" s="25">
        <v>7.97342164E9</v>
      </c>
    </row>
    <row r="892" ht="22.5" customHeight="1">
      <c r="A892" s="18" t="s">
        <v>7270</v>
      </c>
      <c r="B892" s="19" t="s">
        <v>9645</v>
      </c>
      <c r="C892" s="20" t="s">
        <v>7271</v>
      </c>
      <c r="D892" s="19" t="s">
        <v>9646</v>
      </c>
      <c r="E892" s="19" t="s">
        <v>524</v>
      </c>
      <c r="F892" s="19" t="s">
        <v>105</v>
      </c>
      <c r="G892" s="21">
        <v>9.66788239E9</v>
      </c>
    </row>
    <row r="893" ht="22.5" customHeight="1">
      <c r="A893" s="22" t="s">
        <v>4413</v>
      </c>
      <c r="B893" s="23" t="s">
        <v>9647</v>
      </c>
      <c r="C893" s="24" t="s">
        <v>4415</v>
      </c>
      <c r="D893" s="23" t="s">
        <v>9648</v>
      </c>
      <c r="E893" s="23" t="s">
        <v>1462</v>
      </c>
      <c r="F893" s="23" t="s">
        <v>105</v>
      </c>
      <c r="G893" s="25">
        <v>9.8140262E9</v>
      </c>
    </row>
    <row r="894" ht="22.5" customHeight="1">
      <c r="A894" s="18" t="s">
        <v>3310</v>
      </c>
      <c r="B894" s="19" t="s">
        <v>9649</v>
      </c>
      <c r="C894" s="20" t="s">
        <v>3311</v>
      </c>
      <c r="D894" s="19" t="s">
        <v>9650</v>
      </c>
      <c r="E894" s="19" t="s">
        <v>524</v>
      </c>
      <c r="F894" s="19" t="s">
        <v>105</v>
      </c>
      <c r="G894" s="21">
        <v>8.146178307E9</v>
      </c>
    </row>
    <row r="895" ht="22.5" customHeight="1">
      <c r="A895" s="22" t="s">
        <v>6424</v>
      </c>
      <c r="B895" s="23" t="s">
        <v>9651</v>
      </c>
      <c r="C895" s="24" t="s">
        <v>6425</v>
      </c>
      <c r="D895" s="23" t="s">
        <v>9652</v>
      </c>
      <c r="E895" s="23" t="s">
        <v>2970</v>
      </c>
      <c r="F895" s="23" t="s">
        <v>105</v>
      </c>
      <c r="G895" s="25">
        <v>9.779166747E9</v>
      </c>
    </row>
    <row r="896" ht="22.5" customHeight="1">
      <c r="A896" s="18" t="s">
        <v>8059</v>
      </c>
      <c r="B896" s="19" t="s">
        <v>9654</v>
      </c>
      <c r="C896" s="20" t="s">
        <v>8060</v>
      </c>
      <c r="D896" s="19" t="s">
        <v>9655</v>
      </c>
      <c r="E896" s="19" t="s">
        <v>559</v>
      </c>
      <c r="F896" s="19" t="s">
        <v>105</v>
      </c>
      <c r="G896" s="21">
        <v>8.851850189E9</v>
      </c>
    </row>
    <row r="897" ht="22.5" customHeight="1">
      <c r="A897" s="22" t="s">
        <v>4598</v>
      </c>
      <c r="B897" s="23" t="s">
        <v>9656</v>
      </c>
      <c r="C897" s="24" t="s">
        <v>4599</v>
      </c>
      <c r="D897" s="23" t="s">
        <v>9657</v>
      </c>
      <c r="E897" s="23" t="s">
        <v>238</v>
      </c>
      <c r="F897" s="23" t="s">
        <v>105</v>
      </c>
      <c r="G897" s="25">
        <v>7.678493424E9</v>
      </c>
    </row>
    <row r="898" ht="22.5" customHeight="1">
      <c r="A898" s="18" t="s">
        <v>3763</v>
      </c>
      <c r="B898" s="19" t="s">
        <v>9658</v>
      </c>
      <c r="C898" s="20" t="s">
        <v>3764</v>
      </c>
      <c r="D898" s="19" t="s">
        <v>9659</v>
      </c>
      <c r="E898" s="19" t="s">
        <v>221</v>
      </c>
      <c r="F898" s="19" t="s">
        <v>105</v>
      </c>
      <c r="G898" s="21">
        <v>9.412167527E9</v>
      </c>
    </row>
    <row r="899" ht="22.5" customHeight="1">
      <c r="A899" s="22" t="s">
        <v>5699</v>
      </c>
      <c r="B899" s="23" t="s">
        <v>9660</v>
      </c>
      <c r="C899" s="24" t="s">
        <v>5700</v>
      </c>
      <c r="D899" s="23" t="s">
        <v>9661</v>
      </c>
      <c r="E899" s="23" t="s">
        <v>1243</v>
      </c>
      <c r="F899" s="23" t="s">
        <v>105</v>
      </c>
      <c r="G899" s="25">
        <v>8.283008487E9</v>
      </c>
    </row>
    <row r="900" ht="22.5" customHeight="1">
      <c r="A900" s="18" t="s">
        <v>8781</v>
      </c>
      <c r="B900" s="19" t="s">
        <v>8779</v>
      </c>
      <c r="C900" s="20" t="s">
        <v>8782</v>
      </c>
      <c r="D900" s="19" t="s">
        <v>9663</v>
      </c>
      <c r="E900" s="19" t="s">
        <v>1303</v>
      </c>
      <c r="F900" s="19" t="s">
        <v>105</v>
      </c>
      <c r="G900" s="21">
        <v>7.527077E9</v>
      </c>
    </row>
    <row r="901" ht="22.5" customHeight="1">
      <c r="A901" s="22" t="s">
        <v>3605</v>
      </c>
      <c r="B901" s="23" t="s">
        <v>9664</v>
      </c>
      <c r="C901" s="24" t="s">
        <v>3607</v>
      </c>
      <c r="D901" s="23" t="s">
        <v>9665</v>
      </c>
      <c r="E901" s="23" t="s">
        <v>543</v>
      </c>
      <c r="F901" s="23" t="s">
        <v>105</v>
      </c>
      <c r="G901" s="25">
        <v>9.799036412E9</v>
      </c>
    </row>
    <row r="902" ht="22.5" customHeight="1">
      <c r="A902" s="18" t="s">
        <v>9666</v>
      </c>
      <c r="B902" s="19" t="s">
        <v>9667</v>
      </c>
      <c r="C902" s="20" t="s">
        <v>2797</v>
      </c>
      <c r="D902" s="19" t="s">
        <v>9668</v>
      </c>
      <c r="E902" s="19" t="s">
        <v>265</v>
      </c>
      <c r="F902" s="19" t="s">
        <v>105</v>
      </c>
      <c r="G902" s="21">
        <v>8.054957161E9</v>
      </c>
    </row>
    <row r="903" ht="22.5" customHeight="1">
      <c r="A903" s="22" t="s">
        <v>9669</v>
      </c>
      <c r="B903" s="23" t="s">
        <v>9670</v>
      </c>
      <c r="C903" s="24" t="s">
        <v>453</v>
      </c>
      <c r="D903" s="23" t="s">
        <v>9671</v>
      </c>
      <c r="E903" s="23" t="s">
        <v>231</v>
      </c>
      <c r="F903" s="23" t="s">
        <v>105</v>
      </c>
      <c r="G903" s="25">
        <v>9.05854303E9</v>
      </c>
    </row>
    <row r="904" ht="22.5" customHeight="1">
      <c r="A904" s="18" t="s">
        <v>4053</v>
      </c>
      <c r="B904" s="19" t="s">
        <v>9672</v>
      </c>
      <c r="C904" s="20" t="s">
        <v>4054</v>
      </c>
      <c r="D904" s="19" t="s">
        <v>9673</v>
      </c>
      <c r="E904" s="19" t="s">
        <v>365</v>
      </c>
      <c r="F904" s="19" t="s">
        <v>105</v>
      </c>
      <c r="G904" s="21">
        <v>9.781747817E9</v>
      </c>
    </row>
    <row r="905" ht="22.5" customHeight="1">
      <c r="A905" s="22" t="s">
        <v>9674</v>
      </c>
      <c r="B905" s="23" t="s">
        <v>363</v>
      </c>
      <c r="C905" s="24" t="s">
        <v>367</v>
      </c>
      <c r="D905" s="23" t="s">
        <v>9675</v>
      </c>
      <c r="E905" s="23" t="s">
        <v>314</v>
      </c>
      <c r="F905" s="23" t="s">
        <v>105</v>
      </c>
      <c r="G905" s="25">
        <v>7.696391708E9</v>
      </c>
    </row>
    <row r="906" ht="22.5" customHeight="1">
      <c r="A906" s="18" t="s">
        <v>6685</v>
      </c>
      <c r="B906" s="19" t="s">
        <v>9677</v>
      </c>
      <c r="C906" s="20" t="s">
        <v>6686</v>
      </c>
      <c r="D906" s="19" t="s">
        <v>9678</v>
      </c>
      <c r="E906" s="19" t="s">
        <v>98</v>
      </c>
      <c r="F906" s="19" t="s">
        <v>105</v>
      </c>
      <c r="G906" s="21">
        <v>9.459440209E9</v>
      </c>
    </row>
    <row r="907" ht="22.5" customHeight="1">
      <c r="A907" s="22" t="s">
        <v>6946</v>
      </c>
      <c r="B907" s="23" t="s">
        <v>9679</v>
      </c>
      <c r="C907" s="24" t="s">
        <v>6947</v>
      </c>
      <c r="D907" s="23" t="s">
        <v>9680</v>
      </c>
      <c r="E907" s="23" t="s">
        <v>1946</v>
      </c>
      <c r="F907" s="23" t="s">
        <v>105</v>
      </c>
      <c r="G907" s="25">
        <v>8.486546895E9</v>
      </c>
    </row>
    <row r="908" ht="22.5" customHeight="1">
      <c r="A908" s="18" t="s">
        <v>7489</v>
      </c>
      <c r="B908" s="19" t="s">
        <v>9681</v>
      </c>
      <c r="C908" s="20" t="s">
        <v>7490</v>
      </c>
      <c r="D908" s="19" t="s">
        <v>9682</v>
      </c>
      <c r="E908" s="19" t="s">
        <v>756</v>
      </c>
      <c r="F908" s="19" t="s">
        <v>105</v>
      </c>
      <c r="G908" s="21">
        <v>8.360180679E9</v>
      </c>
    </row>
    <row r="909" ht="22.5" customHeight="1">
      <c r="A909" s="22" t="s">
        <v>2277</v>
      </c>
      <c r="B909" s="23" t="s">
        <v>9683</v>
      </c>
      <c r="C909" s="24" t="s">
        <v>2278</v>
      </c>
      <c r="D909" s="23" t="s">
        <v>9684</v>
      </c>
      <c r="E909" s="23" t="s">
        <v>1873</v>
      </c>
      <c r="F909" s="23" t="s">
        <v>105</v>
      </c>
      <c r="G909" s="25">
        <v>9.027146668E9</v>
      </c>
    </row>
    <row r="910" ht="22.5" customHeight="1">
      <c r="A910" s="18" t="s">
        <v>6461</v>
      </c>
      <c r="B910" s="19" t="s">
        <v>9685</v>
      </c>
      <c r="C910" s="20" t="s">
        <v>6462</v>
      </c>
      <c r="D910" s="19" t="s">
        <v>6461</v>
      </c>
      <c r="E910" s="19" t="s">
        <v>2970</v>
      </c>
      <c r="F910" s="19" t="s">
        <v>105</v>
      </c>
      <c r="G910" s="21">
        <v>6.395937781E9</v>
      </c>
    </row>
    <row r="911" ht="22.5" customHeight="1">
      <c r="A911" s="22" t="s">
        <v>8684</v>
      </c>
      <c r="B911" s="23" t="s">
        <v>8682</v>
      </c>
      <c r="C911" s="24" t="s">
        <v>8685</v>
      </c>
      <c r="D911" s="23" t="s">
        <v>9687</v>
      </c>
      <c r="E911" s="23" t="s">
        <v>1303</v>
      </c>
      <c r="F911" s="23" t="s">
        <v>105</v>
      </c>
      <c r="G911" s="25">
        <v>7.004178397E9</v>
      </c>
    </row>
    <row r="912" ht="22.5" customHeight="1">
      <c r="A912" s="18" t="s">
        <v>8000</v>
      </c>
      <c r="B912" s="19" t="s">
        <v>9688</v>
      </c>
      <c r="C912" s="20" t="s">
        <v>8001</v>
      </c>
      <c r="D912" s="19" t="s">
        <v>9689</v>
      </c>
      <c r="E912" s="19" t="s">
        <v>559</v>
      </c>
      <c r="F912" s="19" t="s">
        <v>105</v>
      </c>
      <c r="G912" s="21">
        <v>9.056123663E9</v>
      </c>
    </row>
    <row r="913" ht="22.5" customHeight="1">
      <c r="A913" s="22" t="s">
        <v>5961</v>
      </c>
      <c r="B913" s="23" t="s">
        <v>9690</v>
      </c>
      <c r="C913" s="24" t="s">
        <v>5962</v>
      </c>
      <c r="D913" s="23" t="s">
        <v>9691</v>
      </c>
      <c r="E913" s="23" t="s">
        <v>277</v>
      </c>
      <c r="F913" s="23" t="s">
        <v>105</v>
      </c>
      <c r="G913" s="25">
        <v>8.360617315E9</v>
      </c>
    </row>
    <row r="914" ht="22.5" customHeight="1">
      <c r="A914" s="18" t="s">
        <v>7206</v>
      </c>
      <c r="B914" s="19" t="s">
        <v>9692</v>
      </c>
      <c r="C914" s="20" t="s">
        <v>7207</v>
      </c>
      <c r="D914" s="19" t="s">
        <v>9693</v>
      </c>
      <c r="E914" s="19" t="s">
        <v>1326</v>
      </c>
      <c r="F914" s="19" t="s">
        <v>105</v>
      </c>
      <c r="G914" s="21">
        <v>9.958283276E9</v>
      </c>
    </row>
    <row r="915" ht="22.5" customHeight="1">
      <c r="A915" s="22" t="s">
        <v>2559</v>
      </c>
      <c r="B915" s="23" t="s">
        <v>9694</v>
      </c>
      <c r="C915" s="24" t="s">
        <v>2560</v>
      </c>
      <c r="D915" s="23" t="s">
        <v>9695</v>
      </c>
      <c r="E915" s="23" t="s">
        <v>63</v>
      </c>
      <c r="F915" s="23" t="s">
        <v>105</v>
      </c>
      <c r="G915" s="25">
        <v>8.575767007E9</v>
      </c>
    </row>
    <row r="916" ht="22.5" customHeight="1">
      <c r="A916" s="18" t="s">
        <v>337</v>
      </c>
      <c r="B916" s="19" t="s">
        <v>335</v>
      </c>
      <c r="C916" s="20" t="s">
        <v>338</v>
      </c>
      <c r="D916" s="19" t="s">
        <v>9696</v>
      </c>
      <c r="E916" s="19" t="s">
        <v>106</v>
      </c>
      <c r="F916" s="19" t="s">
        <v>105</v>
      </c>
      <c r="G916" s="21">
        <v>9.872140367E9</v>
      </c>
    </row>
    <row r="917" ht="22.5" customHeight="1">
      <c r="A917" s="22" t="s">
        <v>9698</v>
      </c>
      <c r="B917" s="23" t="s">
        <v>9699</v>
      </c>
      <c r="C917" s="24" t="s">
        <v>9700</v>
      </c>
      <c r="D917" s="23" t="s">
        <v>9701</v>
      </c>
      <c r="E917" s="23" t="s">
        <v>384</v>
      </c>
      <c r="F917" s="23" t="s">
        <v>105</v>
      </c>
      <c r="G917" s="25">
        <v>6.239662748E9</v>
      </c>
    </row>
    <row r="918" ht="22.5" customHeight="1">
      <c r="A918" s="18" t="s">
        <v>8679</v>
      </c>
      <c r="B918" s="19" t="s">
        <v>8677</v>
      </c>
      <c r="C918" s="20" t="s">
        <v>8680</v>
      </c>
      <c r="D918" s="19" t="s">
        <v>9702</v>
      </c>
      <c r="E918" s="19" t="s">
        <v>1303</v>
      </c>
      <c r="F918" s="19" t="s">
        <v>105</v>
      </c>
      <c r="G918" s="21">
        <v>7.87943145E9</v>
      </c>
    </row>
    <row r="919" ht="22.5" customHeight="1">
      <c r="A919" s="22" t="s">
        <v>6124</v>
      </c>
      <c r="B919" s="23" t="s">
        <v>7477</v>
      </c>
      <c r="C919" s="24" t="s">
        <v>6125</v>
      </c>
      <c r="D919" s="23" t="s">
        <v>9703</v>
      </c>
      <c r="E919" s="23" t="s">
        <v>1002</v>
      </c>
      <c r="F919" s="23" t="s">
        <v>105</v>
      </c>
      <c r="G919" s="25">
        <v>7.696066243E9</v>
      </c>
    </row>
    <row r="920" ht="22.5" customHeight="1">
      <c r="A920" s="18" t="s">
        <v>7780</v>
      </c>
      <c r="B920" s="19" t="s">
        <v>9704</v>
      </c>
      <c r="C920" s="20" t="s">
        <v>7781</v>
      </c>
      <c r="D920" s="19" t="s">
        <v>9705</v>
      </c>
      <c r="E920" s="19" t="s">
        <v>792</v>
      </c>
      <c r="F920" s="19" t="s">
        <v>105</v>
      </c>
      <c r="G920" s="21">
        <v>7.719430247E9</v>
      </c>
    </row>
    <row r="921" ht="22.5" customHeight="1">
      <c r="A921" s="22" t="s">
        <v>236</v>
      </c>
      <c r="B921" s="23" t="s">
        <v>234</v>
      </c>
      <c r="C921" s="24" t="s">
        <v>237</v>
      </c>
      <c r="D921" s="23" t="s">
        <v>236</v>
      </c>
      <c r="E921" s="23" t="s">
        <v>238</v>
      </c>
      <c r="F921" s="23" t="s">
        <v>105</v>
      </c>
      <c r="G921" s="25">
        <v>8.744898395E9</v>
      </c>
    </row>
    <row r="922" ht="22.5" customHeight="1">
      <c r="A922" s="18" t="s">
        <v>9707</v>
      </c>
      <c r="B922" s="19" t="s">
        <v>9708</v>
      </c>
      <c r="C922" s="20" t="s">
        <v>2695</v>
      </c>
      <c r="D922" s="19" t="s">
        <v>9709</v>
      </c>
      <c r="E922" s="19" t="s">
        <v>1071</v>
      </c>
      <c r="F922" s="19" t="s">
        <v>105</v>
      </c>
      <c r="G922" s="21">
        <v>8.44764481E9</v>
      </c>
    </row>
    <row r="923" ht="22.5" customHeight="1">
      <c r="A923" s="22" t="s">
        <v>9710</v>
      </c>
      <c r="B923" s="23" t="s">
        <v>32</v>
      </c>
      <c r="C923" s="24" t="s">
        <v>36</v>
      </c>
      <c r="D923" s="23" t="s">
        <v>9711</v>
      </c>
      <c r="E923" s="23" t="s">
        <v>37</v>
      </c>
      <c r="F923" s="23" t="s">
        <v>105</v>
      </c>
      <c r="G923" s="25">
        <v>9.779755358E9</v>
      </c>
    </row>
    <row r="924" ht="22.5" customHeight="1">
      <c r="A924" s="18" t="s">
        <v>1569</v>
      </c>
      <c r="B924" s="19" t="s">
        <v>9712</v>
      </c>
      <c r="C924" s="20" t="s">
        <v>1570</v>
      </c>
      <c r="D924" s="19" t="s">
        <v>9713</v>
      </c>
      <c r="E924" s="19" t="s">
        <v>75</v>
      </c>
      <c r="F924" s="19" t="s">
        <v>105</v>
      </c>
      <c r="G924" s="21">
        <v>7.009678372E9</v>
      </c>
    </row>
    <row r="925" ht="22.5" customHeight="1">
      <c r="A925" s="22" t="s">
        <v>3141</v>
      </c>
      <c r="B925" s="23" t="s">
        <v>9712</v>
      </c>
      <c r="C925" s="24" t="s">
        <v>3143</v>
      </c>
      <c r="D925" s="23" t="s">
        <v>3141</v>
      </c>
      <c r="E925" s="23" t="s">
        <v>22</v>
      </c>
      <c r="F925" s="23" t="s">
        <v>105</v>
      </c>
      <c r="G925" s="25">
        <v>8.19494003E9</v>
      </c>
    </row>
    <row r="926" ht="22.5" customHeight="1">
      <c r="A926" s="18" t="s">
        <v>9715</v>
      </c>
      <c r="B926" s="19" t="s">
        <v>9716</v>
      </c>
      <c r="C926" s="20" t="s">
        <v>1924</v>
      </c>
      <c r="D926" s="19" t="s">
        <v>9715</v>
      </c>
      <c r="E926" s="19" t="s">
        <v>782</v>
      </c>
      <c r="F926" s="19" t="s">
        <v>105</v>
      </c>
      <c r="G926" s="21">
        <v>7.9737433E9</v>
      </c>
    </row>
    <row r="927" ht="22.5" customHeight="1">
      <c r="A927" s="22" t="s">
        <v>5119</v>
      </c>
      <c r="B927" s="23" t="s">
        <v>9717</v>
      </c>
      <c r="C927" s="24" t="s">
        <v>2226</v>
      </c>
      <c r="D927" s="23" t="s">
        <v>9718</v>
      </c>
      <c r="E927" s="23" t="s">
        <v>219</v>
      </c>
      <c r="F927" s="23" t="s">
        <v>105</v>
      </c>
      <c r="G927" s="25">
        <v>7.970678997E9</v>
      </c>
    </row>
    <row r="928" ht="22.5" customHeight="1">
      <c r="A928" s="18" t="s">
        <v>3052</v>
      </c>
      <c r="B928" s="19" t="s">
        <v>9719</v>
      </c>
      <c r="C928" s="20" t="s">
        <v>3054</v>
      </c>
      <c r="D928" s="19" t="s">
        <v>9720</v>
      </c>
      <c r="E928" s="19" t="s">
        <v>22</v>
      </c>
      <c r="F928" s="19" t="s">
        <v>105</v>
      </c>
      <c r="G928" s="21">
        <v>9.425131457E9</v>
      </c>
    </row>
    <row r="929" ht="22.5" customHeight="1">
      <c r="A929" s="22" t="s">
        <v>5323</v>
      </c>
      <c r="B929" s="23" t="s">
        <v>9721</v>
      </c>
      <c r="C929" s="24" t="s">
        <v>2731</v>
      </c>
      <c r="D929" s="23" t="s">
        <v>9722</v>
      </c>
      <c r="E929" s="23" t="s">
        <v>1379</v>
      </c>
      <c r="F929" s="23" t="s">
        <v>105</v>
      </c>
      <c r="G929" s="25">
        <v>9.891714321E9</v>
      </c>
    </row>
    <row r="930" ht="22.5" customHeight="1">
      <c r="A930" s="18" t="s">
        <v>5090</v>
      </c>
      <c r="B930" s="19" t="s">
        <v>5088</v>
      </c>
      <c r="C930" s="20" t="s">
        <v>5091</v>
      </c>
      <c r="D930" s="19" t="s">
        <v>9723</v>
      </c>
      <c r="E930" s="19" t="s">
        <v>1064</v>
      </c>
      <c r="F930" s="19" t="s">
        <v>105</v>
      </c>
      <c r="G930" s="21">
        <v>9.81021489E9</v>
      </c>
    </row>
    <row r="931" ht="22.5" customHeight="1">
      <c r="A931" s="22" t="s">
        <v>4817</v>
      </c>
      <c r="B931" s="23" t="s">
        <v>9724</v>
      </c>
      <c r="C931" s="24" t="s">
        <v>4818</v>
      </c>
      <c r="D931" s="23" t="s">
        <v>9725</v>
      </c>
      <c r="E931" s="23" t="s">
        <v>889</v>
      </c>
      <c r="F931" s="23" t="s">
        <v>105</v>
      </c>
      <c r="G931" s="25">
        <v>8.437899091E9</v>
      </c>
    </row>
    <row r="932" ht="22.5" customHeight="1">
      <c r="A932" s="18" t="s">
        <v>2303</v>
      </c>
      <c r="B932" s="19" t="s">
        <v>9726</v>
      </c>
      <c r="C932" s="20" t="s">
        <v>2304</v>
      </c>
      <c r="D932" s="19" t="s">
        <v>9727</v>
      </c>
      <c r="E932" s="19" t="s">
        <v>1873</v>
      </c>
      <c r="F932" s="19" t="s">
        <v>105</v>
      </c>
      <c r="G932" s="21">
        <v>9.872206802E9</v>
      </c>
    </row>
    <row r="933" ht="22.5" customHeight="1">
      <c r="A933" s="22" t="s">
        <v>7424</v>
      </c>
      <c r="B933" s="23" t="s">
        <v>9729</v>
      </c>
      <c r="C933" s="24" t="s">
        <v>7425</v>
      </c>
      <c r="D933" s="23" t="s">
        <v>9730</v>
      </c>
      <c r="E933" s="23" t="s">
        <v>523</v>
      </c>
      <c r="F933" s="23" t="s">
        <v>105</v>
      </c>
      <c r="G933" s="25">
        <v>9.777382781E9</v>
      </c>
    </row>
    <row r="934" ht="22.5" customHeight="1">
      <c r="A934" s="18" t="s">
        <v>2904</v>
      </c>
      <c r="B934" s="19" t="s">
        <v>9731</v>
      </c>
      <c r="C934" s="20" t="s">
        <v>2905</v>
      </c>
      <c r="D934" s="19" t="s">
        <v>9732</v>
      </c>
      <c r="E934" s="19" t="s">
        <v>604</v>
      </c>
      <c r="F934" s="19" t="s">
        <v>105</v>
      </c>
      <c r="G934" s="21">
        <v>9.810396979E9</v>
      </c>
    </row>
    <row r="935" ht="22.5" customHeight="1">
      <c r="A935" s="22" t="s">
        <v>6792</v>
      </c>
      <c r="B935" s="23" t="s">
        <v>9733</v>
      </c>
      <c r="C935" s="24" t="s">
        <v>6793</v>
      </c>
      <c r="D935" s="23" t="s">
        <v>9734</v>
      </c>
      <c r="E935" s="23" t="s">
        <v>469</v>
      </c>
      <c r="F935" s="23" t="s">
        <v>105</v>
      </c>
      <c r="G935" s="25">
        <v>9.058645704E9</v>
      </c>
    </row>
    <row r="936" ht="22.5" customHeight="1">
      <c r="A936" s="18" t="s">
        <v>1912</v>
      </c>
      <c r="B936" s="19" t="s">
        <v>9735</v>
      </c>
      <c r="C936" s="20" t="s">
        <v>1913</v>
      </c>
      <c r="D936" s="19" t="s">
        <v>9736</v>
      </c>
      <c r="E936" s="19" t="s">
        <v>782</v>
      </c>
      <c r="F936" s="19" t="s">
        <v>105</v>
      </c>
      <c r="G936" s="21">
        <v>9.773881295E9</v>
      </c>
    </row>
    <row r="937" ht="22.5" customHeight="1">
      <c r="A937" s="22" t="s">
        <v>9737</v>
      </c>
      <c r="B937" s="23" t="s">
        <v>9738</v>
      </c>
      <c r="C937" s="24" t="s">
        <v>3066</v>
      </c>
      <c r="D937" s="23" t="s">
        <v>9739</v>
      </c>
      <c r="E937" s="23" t="s">
        <v>22</v>
      </c>
      <c r="F937" s="23" t="s">
        <v>105</v>
      </c>
      <c r="G937" s="25">
        <v>9.211355895E9</v>
      </c>
    </row>
    <row r="938" ht="22.5" customHeight="1">
      <c r="A938" s="18" t="s">
        <v>6409</v>
      </c>
      <c r="B938" s="19" t="s">
        <v>9740</v>
      </c>
      <c r="C938" s="20" t="s">
        <v>6410</v>
      </c>
      <c r="D938" s="19" t="s">
        <v>9741</v>
      </c>
      <c r="E938" s="19" t="s">
        <v>2970</v>
      </c>
      <c r="F938" s="19" t="s">
        <v>105</v>
      </c>
      <c r="G938" s="21">
        <v>7.505881098E9</v>
      </c>
    </row>
    <row r="939" ht="22.5" customHeight="1">
      <c r="A939" s="22" t="s">
        <v>1478</v>
      </c>
      <c r="B939" s="23" t="s">
        <v>9743</v>
      </c>
      <c r="C939" s="24" t="s">
        <v>1479</v>
      </c>
      <c r="D939" s="23" t="s">
        <v>9744</v>
      </c>
      <c r="E939" s="23" t="s">
        <v>75</v>
      </c>
      <c r="F939" s="23" t="s">
        <v>105</v>
      </c>
      <c r="G939" s="25">
        <v>9.599129269E9</v>
      </c>
    </row>
    <row r="940" ht="22.5" customHeight="1">
      <c r="A940" s="18" t="s">
        <v>5502</v>
      </c>
      <c r="B940" s="19" t="s">
        <v>9745</v>
      </c>
      <c r="C940" s="20" t="s">
        <v>5503</v>
      </c>
      <c r="D940" s="19" t="s">
        <v>9746</v>
      </c>
      <c r="E940" s="19" t="s">
        <v>512</v>
      </c>
      <c r="F940" s="19" t="s">
        <v>105</v>
      </c>
      <c r="G940" s="21">
        <v>6.239611152E9</v>
      </c>
    </row>
    <row r="941" ht="22.5" customHeight="1">
      <c r="A941" s="22" t="s">
        <v>478</v>
      </c>
      <c r="B941" s="23" t="s">
        <v>475</v>
      </c>
      <c r="C941" s="24" t="s">
        <v>479</v>
      </c>
      <c r="D941" s="23" t="s">
        <v>9747</v>
      </c>
      <c r="E941" s="23" t="s">
        <v>231</v>
      </c>
      <c r="F941" s="23" t="s">
        <v>105</v>
      </c>
      <c r="G941" s="25">
        <v>9.872390356E9</v>
      </c>
    </row>
    <row r="942" ht="22.5" customHeight="1">
      <c r="A942" s="18" t="s">
        <v>9748</v>
      </c>
      <c r="B942" s="19" t="s">
        <v>9749</v>
      </c>
      <c r="C942" s="20" t="s">
        <v>3400</v>
      </c>
      <c r="D942" s="19" t="s">
        <v>9748</v>
      </c>
      <c r="E942" s="19" t="s">
        <v>37</v>
      </c>
      <c r="F942" s="19" t="s">
        <v>105</v>
      </c>
      <c r="G942" s="21">
        <v>7.973948867E9</v>
      </c>
    </row>
    <row r="943" ht="22.5" customHeight="1">
      <c r="A943" s="22" t="s">
        <v>6056</v>
      </c>
      <c r="B943" s="23" t="s">
        <v>9750</v>
      </c>
      <c r="C943" s="24" t="s">
        <v>6057</v>
      </c>
      <c r="D943" s="23" t="s">
        <v>6056</v>
      </c>
      <c r="E943" s="23" t="s">
        <v>287</v>
      </c>
      <c r="F943" s="23" t="s">
        <v>105</v>
      </c>
      <c r="G943" s="25">
        <v>7.626945422E9</v>
      </c>
    </row>
    <row r="944" ht="22.5" customHeight="1">
      <c r="A944" s="18" t="s">
        <v>6637</v>
      </c>
      <c r="B944" s="19" t="s">
        <v>9752</v>
      </c>
      <c r="C944" s="20" t="s">
        <v>6638</v>
      </c>
      <c r="D944" s="19" t="s">
        <v>9753</v>
      </c>
      <c r="E944" s="19" t="s">
        <v>98</v>
      </c>
      <c r="F944" s="19" t="s">
        <v>105</v>
      </c>
      <c r="G944" s="64" t="s">
        <v>9754</v>
      </c>
    </row>
    <row r="945" ht="22.5" customHeight="1">
      <c r="A945" s="22" t="s">
        <v>8567</v>
      </c>
      <c r="B945" s="23" t="s">
        <v>8565</v>
      </c>
      <c r="C945" s="24" t="s">
        <v>8568</v>
      </c>
      <c r="D945" s="23" t="s">
        <v>9755</v>
      </c>
      <c r="E945" s="23" t="s">
        <v>1607</v>
      </c>
      <c r="F945" s="23" t="s">
        <v>105</v>
      </c>
      <c r="G945" s="25">
        <v>8.299498787E9</v>
      </c>
    </row>
    <row r="946" ht="22.5" customHeight="1">
      <c r="A946" s="18" t="s">
        <v>1293</v>
      </c>
      <c r="B946" s="19" t="s">
        <v>9756</v>
      </c>
      <c r="C946" s="20" t="s">
        <v>1294</v>
      </c>
      <c r="D946" s="19" t="s">
        <v>9757</v>
      </c>
      <c r="E946" s="19" t="s">
        <v>1149</v>
      </c>
      <c r="F946" s="19" t="s">
        <v>105</v>
      </c>
      <c r="G946" s="21">
        <v>9.780921809E9</v>
      </c>
    </row>
    <row r="947" ht="22.5" customHeight="1">
      <c r="A947" s="22" t="s">
        <v>1336</v>
      </c>
      <c r="B947" s="23" t="s">
        <v>9758</v>
      </c>
      <c r="C947" s="24" t="s">
        <v>1337</v>
      </c>
      <c r="D947" s="23" t="s">
        <v>9759</v>
      </c>
      <c r="E947" s="23" t="s">
        <v>1873</v>
      </c>
      <c r="F947" s="23" t="s">
        <v>105</v>
      </c>
      <c r="G947" s="25">
        <v>9.779395296E9</v>
      </c>
    </row>
    <row r="948" ht="22.5" customHeight="1">
      <c r="A948" s="18" t="s">
        <v>3187</v>
      </c>
      <c r="B948" s="19" t="s">
        <v>9760</v>
      </c>
      <c r="C948" s="20" t="s">
        <v>3188</v>
      </c>
      <c r="D948" s="19" t="s">
        <v>9761</v>
      </c>
      <c r="E948" s="19" t="s">
        <v>30</v>
      </c>
      <c r="F948" s="19" t="s">
        <v>105</v>
      </c>
      <c r="G948" s="21">
        <v>9.530527957E9</v>
      </c>
    </row>
    <row r="949" ht="22.5" customHeight="1">
      <c r="A949" s="22" t="s">
        <v>579</v>
      </c>
      <c r="B949" s="23" t="s">
        <v>9762</v>
      </c>
      <c r="C949" s="24" t="s">
        <v>581</v>
      </c>
      <c r="D949" s="23" t="s">
        <v>9763</v>
      </c>
      <c r="E949" s="23" t="s">
        <v>57</v>
      </c>
      <c r="F949" s="23" t="s">
        <v>105</v>
      </c>
      <c r="G949" s="25">
        <v>7.482862531E9</v>
      </c>
    </row>
    <row r="950" ht="22.5" customHeight="1">
      <c r="A950" s="18" t="s">
        <v>9765</v>
      </c>
      <c r="B950" s="19" t="s">
        <v>9766</v>
      </c>
      <c r="C950" s="20" t="s">
        <v>2150</v>
      </c>
      <c r="D950" s="19" t="s">
        <v>9767</v>
      </c>
      <c r="E950" s="19" t="s">
        <v>304</v>
      </c>
      <c r="F950" s="19" t="s">
        <v>105</v>
      </c>
      <c r="G950" s="21">
        <v>8.699493558E9</v>
      </c>
    </row>
    <row r="951" ht="22.5" customHeight="1">
      <c r="A951" s="22" t="s">
        <v>9768</v>
      </c>
      <c r="B951" s="23" t="s">
        <v>9769</v>
      </c>
      <c r="C951" s="24" t="s">
        <v>6786</v>
      </c>
      <c r="D951" s="23" t="s">
        <v>9770</v>
      </c>
      <c r="E951" s="23" t="s">
        <v>469</v>
      </c>
      <c r="F951" s="23" t="s">
        <v>105</v>
      </c>
      <c r="G951" s="25">
        <v>9.417641444E9</v>
      </c>
    </row>
    <row r="952" ht="22.5" customHeight="1">
      <c r="A952" s="18" t="s">
        <v>5292</v>
      </c>
      <c r="B952" s="19" t="s">
        <v>9771</v>
      </c>
      <c r="C952" s="20" t="s">
        <v>2643</v>
      </c>
      <c r="D952" s="19" t="s">
        <v>5292</v>
      </c>
      <c r="E952" s="19" t="s">
        <v>1071</v>
      </c>
      <c r="F952" s="19" t="s">
        <v>105</v>
      </c>
      <c r="G952" s="21">
        <v>8.685905E9</v>
      </c>
    </row>
    <row r="953" ht="22.5" customHeight="1">
      <c r="A953" s="22" t="s">
        <v>5484</v>
      </c>
      <c r="B953" s="23" t="s">
        <v>9772</v>
      </c>
      <c r="C953" s="24" t="s">
        <v>5485</v>
      </c>
      <c r="D953" s="23" t="s">
        <v>9773</v>
      </c>
      <c r="E953" s="23" t="s">
        <v>512</v>
      </c>
      <c r="F953" s="23" t="s">
        <v>105</v>
      </c>
      <c r="G953" s="25">
        <v>7.717608522E9</v>
      </c>
    </row>
    <row r="954" ht="22.5" customHeight="1">
      <c r="A954" s="18" t="s">
        <v>7901</v>
      </c>
      <c r="B954" s="19" t="s">
        <v>9774</v>
      </c>
      <c r="C954" s="20" t="s">
        <v>7902</v>
      </c>
      <c r="D954" s="19" t="s">
        <v>9775</v>
      </c>
      <c r="E954" s="19" t="s">
        <v>303</v>
      </c>
      <c r="F954" s="19" t="s">
        <v>105</v>
      </c>
      <c r="G954" s="21">
        <v>7.009267608E9</v>
      </c>
    </row>
    <row r="955" ht="22.5" customHeight="1">
      <c r="A955" s="30" t="s">
        <v>7134</v>
      </c>
      <c r="B955" s="23" t="s">
        <v>9777</v>
      </c>
      <c r="C955" s="24" t="s">
        <v>7135</v>
      </c>
      <c r="D955" s="23" t="s">
        <v>9778</v>
      </c>
      <c r="E955" s="23" t="s">
        <v>1326</v>
      </c>
      <c r="F955" s="23" t="s">
        <v>105</v>
      </c>
      <c r="G955" s="25">
        <v>8.30352681E9</v>
      </c>
    </row>
    <row r="956" ht="22.5" customHeight="1">
      <c r="A956" s="18" t="s">
        <v>9779</v>
      </c>
      <c r="B956" s="19" t="s">
        <v>9780</v>
      </c>
      <c r="C956" s="20" t="s">
        <v>2123</v>
      </c>
      <c r="D956" s="19" t="s">
        <v>2121</v>
      </c>
      <c r="E956" s="19" t="s">
        <v>304</v>
      </c>
      <c r="F956" s="19" t="s">
        <v>105</v>
      </c>
      <c r="G956" s="21">
        <v>8.437310512E9</v>
      </c>
    </row>
    <row r="957" ht="22.5" customHeight="1">
      <c r="A957" s="22" t="s">
        <v>1684</v>
      </c>
      <c r="B957" s="23" t="s">
        <v>9781</v>
      </c>
      <c r="C957" s="24" t="s">
        <v>9781</v>
      </c>
      <c r="D957" s="23" t="s">
        <v>9782</v>
      </c>
      <c r="E957" s="23" t="s">
        <v>1653</v>
      </c>
      <c r="F957" s="23" t="s">
        <v>105</v>
      </c>
      <c r="G957" s="25">
        <v>6.280989913E9</v>
      </c>
    </row>
    <row r="958" ht="22.5" customHeight="1">
      <c r="A958" s="18" t="s">
        <v>8620</v>
      </c>
      <c r="B958" s="19" t="s">
        <v>8618</v>
      </c>
      <c r="C958" s="20" t="s">
        <v>8621</v>
      </c>
      <c r="D958" s="19" t="s">
        <v>9783</v>
      </c>
      <c r="E958" s="19" t="s">
        <v>100</v>
      </c>
      <c r="F958" s="19" t="s">
        <v>105</v>
      </c>
      <c r="G958" s="21">
        <v>8.617846201E9</v>
      </c>
    </row>
    <row r="959" ht="22.5" customHeight="1">
      <c r="A959" s="22" t="s">
        <v>488</v>
      </c>
      <c r="B959" s="23" t="s">
        <v>486</v>
      </c>
      <c r="C959" s="24" t="s">
        <v>489</v>
      </c>
      <c r="D959" s="23" t="s">
        <v>9784</v>
      </c>
      <c r="E959" s="23" t="s">
        <v>63</v>
      </c>
      <c r="F959" s="23" t="s">
        <v>105</v>
      </c>
      <c r="G959" s="25">
        <v>9.829597777E9</v>
      </c>
    </row>
    <row r="960" ht="22.5" customHeight="1">
      <c r="A960" s="18" t="s">
        <v>8589</v>
      </c>
      <c r="B960" s="19" t="s">
        <v>8587</v>
      </c>
      <c r="C960" s="20" t="s">
        <v>8590</v>
      </c>
      <c r="D960" s="19" t="s">
        <v>9785</v>
      </c>
      <c r="E960" s="19" t="s">
        <v>100</v>
      </c>
      <c r="F960" s="19" t="s">
        <v>105</v>
      </c>
      <c r="G960" s="21">
        <v>9.877926545E9</v>
      </c>
    </row>
    <row r="961" ht="22.5" customHeight="1">
      <c r="A961" s="22" t="s">
        <v>7643</v>
      </c>
      <c r="B961" s="23" t="s">
        <v>9787</v>
      </c>
      <c r="C961" s="24" t="s">
        <v>7644</v>
      </c>
      <c r="D961" s="23" t="s">
        <v>9788</v>
      </c>
      <c r="E961" s="23" t="s">
        <v>1653</v>
      </c>
      <c r="F961" s="23" t="s">
        <v>105</v>
      </c>
      <c r="G961" s="25">
        <v>9.115553307E9</v>
      </c>
    </row>
    <row r="962" ht="22.5" customHeight="1">
      <c r="A962" s="65" t="s">
        <v>9789</v>
      </c>
      <c r="B962" s="19" t="s">
        <v>9790</v>
      </c>
      <c r="C962" s="20" t="s">
        <v>5532</v>
      </c>
      <c r="D962" s="19" t="s">
        <v>9791</v>
      </c>
      <c r="E962" s="19" t="s">
        <v>512</v>
      </c>
      <c r="F962" s="19" t="s">
        <v>105</v>
      </c>
      <c r="G962" s="21">
        <v>7.686000032E9</v>
      </c>
    </row>
    <row r="963" ht="22.5" customHeight="1">
      <c r="A963" s="22" t="s">
        <v>2128</v>
      </c>
      <c r="B963" s="23" t="s">
        <v>9792</v>
      </c>
      <c r="C963" s="24" t="s">
        <v>2129</v>
      </c>
      <c r="D963" s="23" t="s">
        <v>9793</v>
      </c>
      <c r="E963" s="23" t="s">
        <v>389</v>
      </c>
      <c r="F963" s="23" t="s">
        <v>105</v>
      </c>
      <c r="G963" s="25">
        <v>7.719587301E9</v>
      </c>
    </row>
    <row r="964" ht="22.5" customHeight="1">
      <c r="A964" s="18" t="s">
        <v>5388</v>
      </c>
      <c r="B964" s="19" t="s">
        <v>9794</v>
      </c>
      <c r="C964" s="20" t="s">
        <v>2927</v>
      </c>
      <c r="D964" s="19" t="s">
        <v>9795</v>
      </c>
      <c r="E964" s="19" t="s">
        <v>1622</v>
      </c>
      <c r="F964" s="19" t="s">
        <v>105</v>
      </c>
      <c r="G964" s="21">
        <v>7.973854663E9</v>
      </c>
    </row>
    <row r="965" ht="22.5" customHeight="1">
      <c r="A965" s="22" t="s">
        <v>3515</v>
      </c>
      <c r="B965" s="23" t="s">
        <v>9797</v>
      </c>
      <c r="C965" s="24" t="s">
        <v>3516</v>
      </c>
      <c r="D965" s="23" t="s">
        <v>9798</v>
      </c>
      <c r="E965" s="23" t="s">
        <v>68</v>
      </c>
      <c r="F965" s="23" t="s">
        <v>105</v>
      </c>
      <c r="G965" s="25">
        <v>9.548475895E9</v>
      </c>
    </row>
    <row r="966" ht="22.5" customHeight="1">
      <c r="A966" s="18" t="s">
        <v>4575</v>
      </c>
      <c r="B966" s="19" t="s">
        <v>4573</v>
      </c>
      <c r="C966" s="20" t="s">
        <v>4576</v>
      </c>
      <c r="D966" s="19" t="s">
        <v>9799</v>
      </c>
      <c r="E966" s="19" t="s">
        <v>238</v>
      </c>
      <c r="F966" s="19" t="s">
        <v>105</v>
      </c>
      <c r="G966" s="21">
        <v>9.660056783E9</v>
      </c>
    </row>
    <row r="967" ht="22.5" customHeight="1">
      <c r="A967" s="22" t="s">
        <v>4773</v>
      </c>
      <c r="B967" s="23" t="s">
        <v>9800</v>
      </c>
      <c r="C967" s="24" t="s">
        <v>4774</v>
      </c>
      <c r="D967" s="23" t="s">
        <v>9801</v>
      </c>
      <c r="E967" s="23" t="s">
        <v>506</v>
      </c>
      <c r="F967" s="23" t="s">
        <v>105</v>
      </c>
      <c r="G967" s="25">
        <v>8.571083808E9</v>
      </c>
    </row>
    <row r="968" ht="22.5" customHeight="1">
      <c r="A968" s="30" t="s">
        <v>8368</v>
      </c>
      <c r="B968" s="19" t="s">
        <v>8366</v>
      </c>
      <c r="C968" s="20" t="s">
        <v>8369</v>
      </c>
      <c r="D968" s="19" t="s">
        <v>9802</v>
      </c>
      <c r="E968" s="19" t="s">
        <v>57</v>
      </c>
      <c r="F968" s="19" t="s">
        <v>105</v>
      </c>
      <c r="G968" s="21">
        <v>9.920363151E9</v>
      </c>
    </row>
    <row r="969" ht="22.5" customHeight="1">
      <c r="A969" s="22" t="s">
        <v>9803</v>
      </c>
      <c r="B969" s="23" t="s">
        <v>9804</v>
      </c>
      <c r="C969" s="24" t="s">
        <v>7275</v>
      </c>
      <c r="D969" s="23" t="s">
        <v>9805</v>
      </c>
      <c r="E969" s="23" t="s">
        <v>1561</v>
      </c>
      <c r="F969" s="23" t="s">
        <v>105</v>
      </c>
      <c r="G969" s="25">
        <v>9.899541858E9</v>
      </c>
    </row>
    <row r="970" ht="22.5" customHeight="1">
      <c r="A970" s="18" t="s">
        <v>8037</v>
      </c>
      <c r="B970" s="19" t="s">
        <v>9807</v>
      </c>
      <c r="C970" s="20" t="s">
        <v>8038</v>
      </c>
      <c r="D970" s="19" t="s">
        <v>9808</v>
      </c>
      <c r="E970" s="19" t="s">
        <v>559</v>
      </c>
      <c r="F970" s="19" t="s">
        <v>105</v>
      </c>
      <c r="G970" s="21">
        <v>9.319382094E9</v>
      </c>
    </row>
    <row r="971" ht="22.5" customHeight="1">
      <c r="A971" s="22" t="s">
        <v>8410</v>
      </c>
      <c r="B971" s="23" t="s">
        <v>8408</v>
      </c>
      <c r="C971" s="24" t="s">
        <v>8411</v>
      </c>
      <c r="D971" s="23" t="s">
        <v>9809</v>
      </c>
      <c r="E971" s="23" t="s">
        <v>231</v>
      </c>
      <c r="F971" s="23" t="s">
        <v>105</v>
      </c>
      <c r="G971" s="25">
        <v>7.973383548E9</v>
      </c>
    </row>
    <row r="972" ht="22.5" customHeight="1">
      <c r="A972" s="18" t="s">
        <v>3836</v>
      </c>
      <c r="B972" s="19" t="s">
        <v>9810</v>
      </c>
      <c r="C972" s="20" t="s">
        <v>3837</v>
      </c>
      <c r="D972" s="19" t="s">
        <v>9811</v>
      </c>
      <c r="E972" s="19" t="s">
        <v>221</v>
      </c>
      <c r="F972" s="19" t="s">
        <v>105</v>
      </c>
      <c r="G972" s="21">
        <v>8.595566383E9</v>
      </c>
    </row>
    <row r="973" ht="22.5" customHeight="1">
      <c r="A973" s="22" t="s">
        <v>821</v>
      </c>
      <c r="B973" s="23" t="s">
        <v>9812</v>
      </c>
      <c r="C973" s="24" t="s">
        <v>822</v>
      </c>
      <c r="D973" s="23" t="s">
        <v>9813</v>
      </c>
      <c r="E973" s="23" t="s">
        <v>265</v>
      </c>
      <c r="F973" s="23" t="s">
        <v>105</v>
      </c>
      <c r="G973" s="25">
        <v>8.091336607E9</v>
      </c>
    </row>
    <row r="974" ht="22.5" customHeight="1">
      <c r="A974" s="18" t="s">
        <v>7342</v>
      </c>
      <c r="B974" s="19" t="s">
        <v>9815</v>
      </c>
      <c r="C974" s="20" t="s">
        <v>7343</v>
      </c>
      <c r="D974" s="19" t="s">
        <v>9816</v>
      </c>
      <c r="E974" s="19" t="s">
        <v>523</v>
      </c>
      <c r="F974" s="19" t="s">
        <v>105</v>
      </c>
      <c r="G974" s="21">
        <v>9.369486144E9</v>
      </c>
    </row>
    <row r="975" ht="22.5" customHeight="1">
      <c r="A975" s="22" t="s">
        <v>3591</v>
      </c>
      <c r="B975" s="23" t="s">
        <v>9817</v>
      </c>
      <c r="C975" s="24" t="s">
        <v>3592</v>
      </c>
      <c r="D975" s="23" t="s">
        <v>9818</v>
      </c>
      <c r="E975" s="23" t="s">
        <v>543</v>
      </c>
      <c r="F975" s="23" t="s">
        <v>105</v>
      </c>
      <c r="G975" s="25">
        <v>9.877526836E9</v>
      </c>
    </row>
    <row r="976" ht="22.5" customHeight="1">
      <c r="A976" s="18" t="s">
        <v>1959</v>
      </c>
      <c r="B976" s="19" t="s">
        <v>9819</v>
      </c>
      <c r="C976" s="20" t="s">
        <v>1961</v>
      </c>
      <c r="D976" s="19" t="s">
        <v>9820</v>
      </c>
      <c r="E976" s="19" t="s">
        <v>782</v>
      </c>
      <c r="F976" s="19" t="s">
        <v>105</v>
      </c>
      <c r="G976" s="21">
        <v>9.405409573E9</v>
      </c>
    </row>
    <row r="977" ht="22.5" customHeight="1">
      <c r="A977" s="22" t="s">
        <v>4782</v>
      </c>
      <c r="B977" s="23" t="s">
        <v>9821</v>
      </c>
      <c r="C977" s="24" t="s">
        <v>4783</v>
      </c>
      <c r="D977" s="23" t="s">
        <v>9822</v>
      </c>
      <c r="E977" s="23" t="s">
        <v>506</v>
      </c>
      <c r="F977" s="23" t="s">
        <v>105</v>
      </c>
      <c r="G977" s="25">
        <v>9.501707845E9</v>
      </c>
    </row>
    <row r="978" ht="22.5" customHeight="1">
      <c r="A978" s="18" t="s">
        <v>1633</v>
      </c>
      <c r="B978" s="19" t="s">
        <v>9824</v>
      </c>
      <c r="C978" s="20" t="s">
        <v>1634</v>
      </c>
      <c r="D978" s="19" t="s">
        <v>9825</v>
      </c>
      <c r="E978" s="19" t="s">
        <v>75</v>
      </c>
      <c r="F978" s="19" t="s">
        <v>105</v>
      </c>
      <c r="G978" s="21">
        <v>9.759792139E9</v>
      </c>
    </row>
    <row r="979" ht="22.5" customHeight="1">
      <c r="A979" s="22" t="s">
        <v>8132</v>
      </c>
      <c r="B979" s="23" t="s">
        <v>9826</v>
      </c>
      <c r="C979" s="24" t="s">
        <v>8133</v>
      </c>
      <c r="D979" s="23" t="s">
        <v>8132</v>
      </c>
      <c r="E979" s="23" t="s">
        <v>4200</v>
      </c>
      <c r="F979" s="23" t="s">
        <v>105</v>
      </c>
      <c r="G979" s="25">
        <v>8.288952994E9</v>
      </c>
    </row>
    <row r="980" ht="22.5" customHeight="1">
      <c r="A980" s="18" t="s">
        <v>9827</v>
      </c>
      <c r="B980" s="19" t="s">
        <v>309</v>
      </c>
      <c r="C980" s="20" t="s">
        <v>313</v>
      </c>
      <c r="D980" s="19" t="s">
        <v>9828</v>
      </c>
      <c r="E980" s="19" t="s">
        <v>314</v>
      </c>
      <c r="F980" s="19" t="s">
        <v>105</v>
      </c>
      <c r="G980" s="21">
        <v>7.696535002E9</v>
      </c>
    </row>
    <row r="981" ht="22.5" customHeight="1">
      <c r="A981" s="22" t="s">
        <v>3923</v>
      </c>
      <c r="B981" s="23" t="s">
        <v>9829</v>
      </c>
      <c r="C981" s="24" t="s">
        <v>3924</v>
      </c>
      <c r="D981" s="23" t="s">
        <v>9830</v>
      </c>
      <c r="E981" s="23" t="s">
        <v>282</v>
      </c>
      <c r="F981" s="23" t="s">
        <v>105</v>
      </c>
      <c r="G981" s="25">
        <v>6.284207087E9</v>
      </c>
    </row>
    <row r="982" ht="22.5" customHeight="1">
      <c r="A982" s="18" t="s">
        <v>4777</v>
      </c>
      <c r="B982" s="19" t="s">
        <v>9831</v>
      </c>
      <c r="C982" s="20" t="s">
        <v>4778</v>
      </c>
      <c r="D982" s="19" t="s">
        <v>9833</v>
      </c>
      <c r="E982" s="19" t="s">
        <v>506</v>
      </c>
      <c r="F982" s="19" t="s">
        <v>105</v>
      </c>
      <c r="G982" s="21">
        <v>7.888538109E9</v>
      </c>
    </row>
    <row r="983" ht="22.5" customHeight="1">
      <c r="A983" s="22" t="s">
        <v>795</v>
      </c>
      <c r="B983" s="23" t="s">
        <v>9834</v>
      </c>
      <c r="C983" s="24" t="s">
        <v>797</v>
      </c>
      <c r="D983" s="23" t="s">
        <v>9835</v>
      </c>
      <c r="E983" s="23" t="s">
        <v>52</v>
      </c>
      <c r="F983" s="23" t="s">
        <v>105</v>
      </c>
      <c r="G983" s="25">
        <v>9.781992299E9</v>
      </c>
    </row>
    <row r="984" ht="22.5" customHeight="1">
      <c r="A984" s="18" t="s">
        <v>9836</v>
      </c>
      <c r="B984" s="19" t="s">
        <v>9837</v>
      </c>
      <c r="C984" s="20" t="s">
        <v>7398</v>
      </c>
      <c r="D984" s="19" t="s">
        <v>9838</v>
      </c>
      <c r="E984" s="19" t="s">
        <v>523</v>
      </c>
      <c r="F984" s="19" t="s">
        <v>105</v>
      </c>
      <c r="G984" s="21">
        <v>9.9109846E9</v>
      </c>
    </row>
    <row r="985" ht="22.5" customHeight="1">
      <c r="A985" s="22" t="s">
        <v>4440</v>
      </c>
      <c r="B985" s="23" t="s">
        <v>9839</v>
      </c>
      <c r="C985" s="24" t="s">
        <v>4441</v>
      </c>
      <c r="D985" s="23" t="s">
        <v>9840</v>
      </c>
      <c r="E985" s="23" t="s">
        <v>617</v>
      </c>
      <c r="F985" s="23" t="s">
        <v>105</v>
      </c>
      <c r="G985" s="25">
        <v>9.650699922E9</v>
      </c>
    </row>
    <row r="986" ht="22.5" customHeight="1">
      <c r="A986" s="18" t="s">
        <v>8600</v>
      </c>
      <c r="B986" s="19" t="s">
        <v>8598</v>
      </c>
      <c r="C986" s="20" t="s">
        <v>8601</v>
      </c>
      <c r="D986" s="19" t="s">
        <v>9841</v>
      </c>
      <c r="E986" s="19" t="s">
        <v>100</v>
      </c>
      <c r="F986" s="19" t="s">
        <v>105</v>
      </c>
      <c r="G986" s="21">
        <v>9.871715288E9</v>
      </c>
    </row>
    <row r="987" ht="22.5" customHeight="1">
      <c r="A987" s="22" t="s">
        <v>349</v>
      </c>
      <c r="B987" s="23" t="s">
        <v>347</v>
      </c>
      <c r="C987" s="24" t="s">
        <v>350</v>
      </c>
      <c r="D987" s="23" t="s">
        <v>9843</v>
      </c>
      <c r="E987" s="23" t="s">
        <v>81</v>
      </c>
      <c r="F987" s="23" t="s">
        <v>105</v>
      </c>
      <c r="G987" s="25">
        <v>7.678331467E9</v>
      </c>
    </row>
    <row r="988" ht="22.5" customHeight="1">
      <c r="A988" s="18" t="s">
        <v>3751</v>
      </c>
      <c r="B988" s="19" t="s">
        <v>9844</v>
      </c>
      <c r="C988" s="20" t="s">
        <v>3744</v>
      </c>
      <c r="D988" s="19" t="s">
        <v>3751</v>
      </c>
      <c r="E988" s="19" t="s">
        <v>227</v>
      </c>
      <c r="F988" s="19" t="s">
        <v>105</v>
      </c>
      <c r="G988" s="21">
        <v>8.264955691E9</v>
      </c>
    </row>
    <row r="989" ht="22.5" customHeight="1">
      <c r="A989" s="22" t="s">
        <v>905</v>
      </c>
      <c r="B989" s="23" t="s">
        <v>9845</v>
      </c>
      <c r="C989" s="24" t="s">
        <v>906</v>
      </c>
      <c r="D989" s="23" t="s">
        <v>9846</v>
      </c>
      <c r="E989" s="23" t="s">
        <v>52</v>
      </c>
      <c r="F989" s="23" t="s">
        <v>105</v>
      </c>
      <c r="G989" s="25">
        <v>9.463544275E9</v>
      </c>
    </row>
    <row r="990" ht="22.5" customHeight="1">
      <c r="A990" s="18" t="s">
        <v>7471</v>
      </c>
      <c r="B990" s="19" t="s">
        <v>7468</v>
      </c>
      <c r="C990" s="20" t="s">
        <v>7472</v>
      </c>
      <c r="D990" s="19" t="s">
        <v>9847</v>
      </c>
      <c r="E990" s="19" t="s">
        <v>756</v>
      </c>
      <c r="F990" s="19" t="s">
        <v>105</v>
      </c>
      <c r="G990" s="29"/>
    </row>
    <row r="991" ht="22.5" customHeight="1">
      <c r="A991" s="22" t="s">
        <v>7528</v>
      </c>
      <c r="B991" s="23" t="s">
        <v>7526</v>
      </c>
      <c r="C991" s="24" t="s">
        <v>7530</v>
      </c>
      <c r="D991" s="23" t="s">
        <v>9848</v>
      </c>
      <c r="E991" s="23" t="s">
        <v>756</v>
      </c>
      <c r="F991" s="23" t="s">
        <v>105</v>
      </c>
      <c r="G991" s="25">
        <v>9.501319535E9</v>
      </c>
    </row>
    <row r="992" ht="22.5" customHeight="1">
      <c r="A992" s="18" t="s">
        <v>8701</v>
      </c>
      <c r="B992" s="19" t="s">
        <v>8699</v>
      </c>
      <c r="C992" s="20" t="s">
        <v>8702</v>
      </c>
      <c r="D992" s="19" t="s">
        <v>9850</v>
      </c>
      <c r="E992" s="19" t="s">
        <v>1303</v>
      </c>
      <c r="F992" s="19" t="s">
        <v>105</v>
      </c>
      <c r="G992" s="21">
        <v>7.013309517E9</v>
      </c>
    </row>
    <row r="993" ht="22.5" customHeight="1">
      <c r="A993" s="22" t="s">
        <v>5948</v>
      </c>
      <c r="B993" s="23" t="s">
        <v>9851</v>
      </c>
      <c r="C993" s="24" t="s">
        <v>5949</v>
      </c>
      <c r="D993" s="23" t="s">
        <v>9852</v>
      </c>
      <c r="E993" s="23" t="s">
        <v>277</v>
      </c>
      <c r="F993" s="23" t="s">
        <v>105</v>
      </c>
      <c r="G993" s="25">
        <v>8.968291923E9</v>
      </c>
    </row>
    <row r="994" ht="22.5" customHeight="1">
      <c r="A994" s="18" t="s">
        <v>9853</v>
      </c>
      <c r="B994" s="19" t="s">
        <v>9854</v>
      </c>
      <c r="C994" s="20" t="s">
        <v>1371</v>
      </c>
      <c r="D994" s="19" t="s">
        <v>9855</v>
      </c>
      <c r="E994" s="19" t="s">
        <v>389</v>
      </c>
      <c r="F994" s="19" t="s">
        <v>105</v>
      </c>
      <c r="G994" s="21">
        <v>7.59727351E9</v>
      </c>
    </row>
    <row r="995" ht="22.5" customHeight="1">
      <c r="A995" s="22" t="s">
        <v>3465</v>
      </c>
      <c r="B995" s="23" t="s">
        <v>9856</v>
      </c>
      <c r="C995" s="24" t="s">
        <v>3466</v>
      </c>
      <c r="D995" s="23" t="s">
        <v>9857</v>
      </c>
      <c r="E995" s="23" t="s">
        <v>37</v>
      </c>
      <c r="F995" s="23" t="s">
        <v>105</v>
      </c>
      <c r="G995" s="25">
        <v>9.8725678E9</v>
      </c>
    </row>
    <row r="996" ht="22.5" customHeight="1">
      <c r="A996" s="18" t="s">
        <v>4948</v>
      </c>
      <c r="B996" s="19" t="s">
        <v>9858</v>
      </c>
      <c r="C996" s="20" t="s">
        <v>4949</v>
      </c>
      <c r="D996" s="19" t="s">
        <v>9859</v>
      </c>
      <c r="E996" s="19" t="s">
        <v>346</v>
      </c>
      <c r="F996" s="19" t="s">
        <v>105</v>
      </c>
      <c r="G996" s="21">
        <v>9.646593416E9</v>
      </c>
    </row>
    <row r="997" ht="22.5" customHeight="1">
      <c r="A997" s="22" t="s">
        <v>649</v>
      </c>
      <c r="B997" s="23" t="s">
        <v>646</v>
      </c>
      <c r="C997" s="24" t="s">
        <v>650</v>
      </c>
      <c r="D997" s="23" t="s">
        <v>9861</v>
      </c>
      <c r="E997" s="23" t="s">
        <v>265</v>
      </c>
      <c r="F997" s="23" t="s">
        <v>105</v>
      </c>
      <c r="G997" s="25">
        <v>9.871221107E9</v>
      </c>
    </row>
    <row r="998" ht="22.5" customHeight="1">
      <c r="A998" s="18" t="s">
        <v>5550</v>
      </c>
      <c r="B998" s="19" t="s">
        <v>5548</v>
      </c>
      <c r="C998" s="20" t="s">
        <v>5551</v>
      </c>
      <c r="D998" s="19" t="s">
        <v>9862</v>
      </c>
      <c r="E998" s="19" t="s">
        <v>689</v>
      </c>
      <c r="F998" s="19" t="s">
        <v>105</v>
      </c>
      <c r="G998" s="21">
        <v>9.877716857E9</v>
      </c>
    </row>
    <row r="999" ht="22.5" customHeight="1">
      <c r="A999" s="22" t="s">
        <v>3505</v>
      </c>
      <c r="B999" s="23" t="s">
        <v>9863</v>
      </c>
      <c r="C999" s="24" t="s">
        <v>3506</v>
      </c>
      <c r="D999" s="23" t="s">
        <v>9864</v>
      </c>
      <c r="E999" s="23" t="s">
        <v>68</v>
      </c>
      <c r="F999" s="23" t="s">
        <v>105</v>
      </c>
      <c r="G999" s="25">
        <v>7.027646003E9</v>
      </c>
    </row>
    <row r="1000" ht="22.5" customHeight="1">
      <c r="A1000" s="18" t="s">
        <v>8194</v>
      </c>
      <c r="B1000" s="19" t="s">
        <v>9865</v>
      </c>
      <c r="C1000" s="20" t="s">
        <v>8195</v>
      </c>
      <c r="D1000" s="19" t="s">
        <v>9866</v>
      </c>
      <c r="E1000" s="19" t="s">
        <v>543</v>
      </c>
      <c r="F1000" s="19" t="s">
        <v>105</v>
      </c>
      <c r="G1000" s="21">
        <v>9.704251031E9</v>
      </c>
    </row>
    <row r="1001" ht="22.5" customHeight="1">
      <c r="A1001" s="22" t="s">
        <v>1138</v>
      </c>
      <c r="B1001" s="23" t="s">
        <v>9867</v>
      </c>
      <c r="C1001" s="24" t="s">
        <v>1139</v>
      </c>
      <c r="D1001" s="23" t="s">
        <v>9868</v>
      </c>
      <c r="E1001" s="23" t="s">
        <v>140</v>
      </c>
      <c r="F1001" s="23" t="s">
        <v>105</v>
      </c>
      <c r="G1001" s="25">
        <v>7.508128722E9</v>
      </c>
    </row>
    <row r="1002" ht="22.5" customHeight="1">
      <c r="A1002" s="18" t="s">
        <v>9870</v>
      </c>
      <c r="B1002" s="19" t="s">
        <v>9871</v>
      </c>
      <c r="C1002" s="20" t="s">
        <v>9872</v>
      </c>
      <c r="D1002" s="19" t="s">
        <v>9873</v>
      </c>
      <c r="E1002" s="19" t="s">
        <v>384</v>
      </c>
      <c r="F1002" s="19" t="s">
        <v>105</v>
      </c>
      <c r="G1002" s="21">
        <v>8.427105006E9</v>
      </c>
    </row>
    <row r="1003" ht="22.5" customHeight="1">
      <c r="A1003" s="22" t="s">
        <v>6847</v>
      </c>
      <c r="B1003" s="23" t="s">
        <v>9874</v>
      </c>
      <c r="C1003" s="24" t="s">
        <v>6848</v>
      </c>
      <c r="D1003" s="23" t="s">
        <v>9875</v>
      </c>
      <c r="E1003" s="23" t="s">
        <v>1946</v>
      </c>
      <c r="F1003" s="23" t="s">
        <v>105</v>
      </c>
      <c r="G1003" s="25">
        <v>9.115539127E9</v>
      </c>
    </row>
    <row r="1004" ht="22.5" customHeight="1">
      <c r="A1004" s="18" t="s">
        <v>3624</v>
      </c>
      <c r="B1004" s="19" t="s">
        <v>9876</v>
      </c>
      <c r="C1004" s="20" t="s">
        <v>3625</v>
      </c>
      <c r="D1004" s="19" t="s">
        <v>9877</v>
      </c>
      <c r="E1004" s="19" t="s">
        <v>543</v>
      </c>
      <c r="F1004" s="19" t="s">
        <v>105</v>
      </c>
      <c r="G1004" s="21">
        <v>8.146274699E9</v>
      </c>
    </row>
    <row r="1005" ht="22.5" customHeight="1">
      <c r="A1005" s="22" t="s">
        <v>4428</v>
      </c>
      <c r="B1005" s="23" t="s">
        <v>9878</v>
      </c>
      <c r="C1005" s="24" t="s">
        <v>4429</v>
      </c>
      <c r="D1005" s="23" t="s">
        <v>9879</v>
      </c>
      <c r="E1005" s="23" t="s">
        <v>1462</v>
      </c>
      <c r="F1005" s="23" t="s">
        <v>105</v>
      </c>
      <c r="G1005" s="25">
        <v>8.699604396E9</v>
      </c>
    </row>
    <row r="1006" ht="22.5" customHeight="1">
      <c r="A1006" s="18" t="s">
        <v>2143</v>
      </c>
      <c r="B1006" s="19" t="s">
        <v>9880</v>
      </c>
      <c r="C1006" s="20" t="s">
        <v>2144</v>
      </c>
      <c r="D1006" s="19" t="s">
        <v>9881</v>
      </c>
      <c r="E1006" s="19" t="s">
        <v>304</v>
      </c>
      <c r="F1006" s="19" t="s">
        <v>105</v>
      </c>
      <c r="G1006" s="21">
        <v>9.878048507E9</v>
      </c>
    </row>
    <row r="1007" ht="22.5" customHeight="1">
      <c r="A1007" s="22" t="s">
        <v>3351</v>
      </c>
      <c r="B1007" s="23" t="s">
        <v>9874</v>
      </c>
      <c r="C1007" s="24" t="s">
        <v>3353</v>
      </c>
      <c r="D1007" s="23" t="s">
        <v>9882</v>
      </c>
      <c r="E1007" s="23" t="s">
        <v>524</v>
      </c>
      <c r="F1007" s="23" t="s">
        <v>105</v>
      </c>
      <c r="G1007" s="25">
        <v>8.699104559E9</v>
      </c>
    </row>
    <row r="1008" ht="22.5" customHeight="1">
      <c r="A1008" s="18" t="s">
        <v>7737</v>
      </c>
      <c r="B1008" s="19" t="s">
        <v>9884</v>
      </c>
      <c r="C1008" s="20" t="s">
        <v>7738</v>
      </c>
      <c r="D1008" s="19" t="s">
        <v>9885</v>
      </c>
      <c r="E1008" s="19" t="s">
        <v>9886</v>
      </c>
      <c r="F1008" s="19" t="s">
        <v>105</v>
      </c>
      <c r="G1008" s="21">
        <v>7.011686714E9</v>
      </c>
    </row>
    <row r="1009" ht="22.5" customHeight="1">
      <c r="A1009" s="22" t="s">
        <v>2961</v>
      </c>
      <c r="B1009" s="23" t="s">
        <v>9887</v>
      </c>
      <c r="C1009" s="24" t="s">
        <v>2964</v>
      </c>
      <c r="D1009" s="23" t="s">
        <v>9888</v>
      </c>
      <c r="E1009" s="23" t="s">
        <v>604</v>
      </c>
      <c r="F1009" s="23" t="s">
        <v>105</v>
      </c>
      <c r="G1009" s="25">
        <v>7.80950009E9</v>
      </c>
    </row>
    <row r="1010" ht="22.5" customHeight="1">
      <c r="A1010" s="18" t="s">
        <v>6865</v>
      </c>
      <c r="B1010" s="19" t="s">
        <v>9889</v>
      </c>
      <c r="C1010" s="20" t="s">
        <v>6866</v>
      </c>
      <c r="D1010" s="19" t="s">
        <v>9890</v>
      </c>
      <c r="E1010" s="19" t="s">
        <v>1946</v>
      </c>
      <c r="F1010" s="19" t="s">
        <v>105</v>
      </c>
      <c r="G1010" s="21">
        <v>7.009291034E9</v>
      </c>
    </row>
    <row r="1011" ht="22.5" customHeight="1">
      <c r="A1011" s="22" t="s">
        <v>9891</v>
      </c>
      <c r="B1011" s="23" t="s">
        <v>9892</v>
      </c>
      <c r="C1011" s="24" t="s">
        <v>188</v>
      </c>
      <c r="D1011" s="23" t="s">
        <v>9893</v>
      </c>
      <c r="E1011" s="23" t="s">
        <v>81</v>
      </c>
      <c r="F1011" s="23" t="s">
        <v>105</v>
      </c>
      <c r="G1011" s="25">
        <v>9.971120664E9</v>
      </c>
    </row>
    <row r="1012" ht="22.5" customHeight="1">
      <c r="A1012" s="18" t="s">
        <v>4808</v>
      </c>
      <c r="B1012" s="19" t="s">
        <v>9894</v>
      </c>
      <c r="C1012" s="20" t="s">
        <v>4809</v>
      </c>
      <c r="D1012" s="19" t="s">
        <v>4808</v>
      </c>
      <c r="E1012" s="19" t="s">
        <v>889</v>
      </c>
      <c r="F1012" s="19" t="s">
        <v>105</v>
      </c>
      <c r="G1012" s="21">
        <v>9.136050099E9</v>
      </c>
    </row>
    <row r="1013" ht="22.5" customHeight="1">
      <c r="A1013" s="22" t="s">
        <v>1798</v>
      </c>
      <c r="B1013" s="23" t="s">
        <v>9896</v>
      </c>
      <c r="C1013" s="24" t="s">
        <v>1799</v>
      </c>
      <c r="D1013" s="23" t="s">
        <v>1798</v>
      </c>
      <c r="E1013" s="23" t="s">
        <v>1653</v>
      </c>
      <c r="F1013" s="23" t="s">
        <v>105</v>
      </c>
      <c r="G1013" s="25">
        <v>6.284824493E9</v>
      </c>
    </row>
    <row r="1014" ht="22.5" customHeight="1">
      <c r="A1014" s="18" t="s">
        <v>943</v>
      </c>
      <c r="B1014" s="19" t="s">
        <v>9897</v>
      </c>
      <c r="C1014" s="20" t="s">
        <v>944</v>
      </c>
      <c r="D1014" s="19" t="s">
        <v>9898</v>
      </c>
      <c r="E1014" s="19" t="s">
        <v>52</v>
      </c>
      <c r="F1014" s="19" t="s">
        <v>105</v>
      </c>
      <c r="G1014" s="21">
        <v>9.59291886E9</v>
      </c>
    </row>
    <row r="1015" ht="22.5" customHeight="1">
      <c r="A1015" s="22" t="s">
        <v>8710</v>
      </c>
      <c r="B1015" s="23" t="s">
        <v>8707</v>
      </c>
      <c r="C1015" s="24" t="s">
        <v>8711</v>
      </c>
      <c r="D1015" s="23" t="s">
        <v>9899</v>
      </c>
      <c r="E1015" s="23" t="s">
        <v>3118</v>
      </c>
      <c r="F1015" s="23" t="s">
        <v>105</v>
      </c>
      <c r="G1015" s="25">
        <v>9.877282249E9</v>
      </c>
    </row>
    <row r="1016" ht="22.5" customHeight="1">
      <c r="A1016" s="18" t="s">
        <v>6009</v>
      </c>
      <c r="B1016" s="19" t="s">
        <v>9900</v>
      </c>
      <c r="C1016" s="20" t="s">
        <v>6010</v>
      </c>
      <c r="D1016" s="19" t="s">
        <v>9901</v>
      </c>
      <c r="E1016" s="19" t="s">
        <v>287</v>
      </c>
      <c r="F1016" s="19" t="s">
        <v>105</v>
      </c>
      <c r="G1016" s="21">
        <v>9.915807903E9</v>
      </c>
    </row>
    <row r="1017" ht="22.5" customHeight="1">
      <c r="A1017" s="22" t="s">
        <v>9902</v>
      </c>
      <c r="B1017" s="23" t="s">
        <v>9903</v>
      </c>
      <c r="C1017" s="24" t="s">
        <v>1887</v>
      </c>
      <c r="D1017" s="23" t="s">
        <v>9905</v>
      </c>
      <c r="E1017" s="23" t="s">
        <v>782</v>
      </c>
      <c r="F1017" s="23" t="s">
        <v>105</v>
      </c>
      <c r="G1017" s="25">
        <v>8.968688506E9</v>
      </c>
    </row>
    <row r="1018" ht="22.5" customHeight="1">
      <c r="A1018" s="18" t="s">
        <v>7718</v>
      </c>
      <c r="B1018" s="19" t="s">
        <v>7715</v>
      </c>
      <c r="C1018" s="20" t="s">
        <v>7719</v>
      </c>
      <c r="D1018" s="19" t="s">
        <v>7718</v>
      </c>
      <c r="E1018" s="19" t="s">
        <v>57</v>
      </c>
      <c r="F1018" s="19" t="s">
        <v>105</v>
      </c>
      <c r="G1018" s="21">
        <v>8.360354602E9</v>
      </c>
    </row>
    <row r="1019" ht="22.5" customHeight="1">
      <c r="A1019" s="22" t="s">
        <v>8308</v>
      </c>
      <c r="B1019" s="23" t="s">
        <v>7522</v>
      </c>
      <c r="C1019" s="24" t="s">
        <v>8309</v>
      </c>
      <c r="D1019" s="23" t="s">
        <v>9906</v>
      </c>
      <c r="E1019" s="23" t="s">
        <v>106</v>
      </c>
      <c r="F1019" s="23" t="s">
        <v>105</v>
      </c>
      <c r="G1019" s="25">
        <v>7.678607652E9</v>
      </c>
    </row>
    <row r="1020" ht="22.5" customHeight="1">
      <c r="A1020" s="18" t="s">
        <v>7524</v>
      </c>
      <c r="B1020" s="19" t="s">
        <v>7522</v>
      </c>
      <c r="C1020" s="20" t="s">
        <v>7525</v>
      </c>
      <c r="D1020" s="19" t="s">
        <v>9907</v>
      </c>
      <c r="E1020" s="19" t="s">
        <v>384</v>
      </c>
      <c r="F1020" s="19" t="s">
        <v>105</v>
      </c>
      <c r="G1020" s="21">
        <v>6.284834987E9</v>
      </c>
    </row>
    <row r="1021" ht="22.5" customHeight="1">
      <c r="A1021" s="22" t="s">
        <v>7064</v>
      </c>
      <c r="B1021" s="23" t="s">
        <v>9908</v>
      </c>
      <c r="C1021" s="24" t="s">
        <v>7065</v>
      </c>
      <c r="D1021" s="23" t="s">
        <v>9909</v>
      </c>
      <c r="E1021" s="23" t="s">
        <v>3956</v>
      </c>
      <c r="F1021" s="23" t="s">
        <v>105</v>
      </c>
      <c r="G1021" s="63" t="s">
        <v>9911</v>
      </c>
    </row>
    <row r="1022" ht="22.5" customHeight="1">
      <c r="A1022" s="18" t="s">
        <v>8595</v>
      </c>
      <c r="B1022" s="19" t="s">
        <v>8593</v>
      </c>
      <c r="C1022" s="20" t="s">
        <v>8596</v>
      </c>
      <c r="D1022" s="19" t="s">
        <v>9912</v>
      </c>
      <c r="E1022" s="19" t="s">
        <v>100</v>
      </c>
      <c r="F1022" s="19" t="s">
        <v>105</v>
      </c>
      <c r="G1022" s="21">
        <v>9.13822501E9</v>
      </c>
    </row>
    <row r="1023" ht="22.5" customHeight="1">
      <c r="A1023" s="22" t="s">
        <v>6022</v>
      </c>
      <c r="B1023" s="23" t="s">
        <v>9913</v>
      </c>
      <c r="C1023" s="24" t="s">
        <v>6023</v>
      </c>
      <c r="D1023" s="23" t="s">
        <v>9914</v>
      </c>
      <c r="E1023" s="23" t="s">
        <v>287</v>
      </c>
      <c r="F1023" s="23" t="s">
        <v>105</v>
      </c>
      <c r="G1023" s="25">
        <v>8.360307375E9</v>
      </c>
    </row>
    <row r="1024" ht="22.5" customHeight="1">
      <c r="A1024" s="18" t="s">
        <v>3290</v>
      </c>
      <c r="B1024" s="19" t="s">
        <v>7468</v>
      </c>
      <c r="C1024" s="20" t="s">
        <v>3291</v>
      </c>
      <c r="D1024" s="19" t="s">
        <v>9915</v>
      </c>
      <c r="E1024" s="19" t="s">
        <v>524</v>
      </c>
      <c r="F1024" s="19" t="s">
        <v>105</v>
      </c>
      <c r="G1024" s="21">
        <v>9.876755578E9</v>
      </c>
    </row>
    <row r="1025" ht="22.5" customHeight="1">
      <c r="A1025" s="22" t="s">
        <v>4341</v>
      </c>
      <c r="B1025" s="23" t="s">
        <v>9916</v>
      </c>
      <c r="C1025" s="24" t="s">
        <v>9917</v>
      </c>
      <c r="D1025" s="23" t="s">
        <v>9918</v>
      </c>
      <c r="E1025" s="23" t="s">
        <v>1462</v>
      </c>
      <c r="F1025" s="23" t="s">
        <v>105</v>
      </c>
      <c r="G1025" s="25">
        <v>8.14609454E9</v>
      </c>
    </row>
    <row r="1026" ht="22.5" customHeight="1">
      <c r="A1026" s="18" t="s">
        <v>8559</v>
      </c>
      <c r="B1026" s="19" t="s">
        <v>8557</v>
      </c>
      <c r="C1026" s="20" t="s">
        <v>8560</v>
      </c>
      <c r="D1026" s="19" t="s">
        <v>9920</v>
      </c>
      <c r="E1026" s="19" t="s">
        <v>1607</v>
      </c>
      <c r="F1026" s="19" t="s">
        <v>105</v>
      </c>
      <c r="G1026" s="21">
        <v>8.929441521E9</v>
      </c>
    </row>
    <row r="1027" ht="22.5" customHeight="1">
      <c r="A1027" s="22" t="s">
        <v>6449</v>
      </c>
      <c r="B1027" s="23" t="s">
        <v>9921</v>
      </c>
      <c r="C1027" s="24" t="s">
        <v>6451</v>
      </c>
      <c r="D1027" s="23" t="s">
        <v>9922</v>
      </c>
      <c r="E1027" s="23" t="s">
        <v>2970</v>
      </c>
      <c r="F1027" s="23" t="s">
        <v>105</v>
      </c>
      <c r="G1027" s="25">
        <v>9.464444441E9</v>
      </c>
    </row>
    <row r="1028" ht="22.5" customHeight="1">
      <c r="A1028" s="18" t="s">
        <v>9923</v>
      </c>
      <c r="B1028" s="19" t="s">
        <v>9924</v>
      </c>
      <c r="C1028" s="20" t="s">
        <v>2155</v>
      </c>
      <c r="D1028" s="19" t="s">
        <v>9925</v>
      </c>
      <c r="E1028" s="19" t="s">
        <v>304</v>
      </c>
      <c r="F1028" s="19" t="s">
        <v>105</v>
      </c>
      <c r="G1028" s="21">
        <v>9.896428465E9</v>
      </c>
    </row>
    <row r="1029" ht="22.5" customHeight="1">
      <c r="A1029" s="22" t="s">
        <v>7265</v>
      </c>
      <c r="B1029" s="23" t="s">
        <v>9926</v>
      </c>
      <c r="C1029" s="24" t="s">
        <v>7266</v>
      </c>
      <c r="D1029" s="23" t="s">
        <v>9927</v>
      </c>
      <c r="E1029" s="23" t="s">
        <v>1561</v>
      </c>
      <c r="F1029" s="23" t="s">
        <v>105</v>
      </c>
      <c r="G1029" s="25">
        <v>7.645000057E9</v>
      </c>
    </row>
    <row r="1030" ht="22.5" customHeight="1">
      <c r="A1030" s="18" t="s">
        <v>7184</v>
      </c>
      <c r="B1030" s="19" t="s">
        <v>9928</v>
      </c>
      <c r="C1030" s="20" t="s">
        <v>7185</v>
      </c>
      <c r="D1030" s="19" t="s">
        <v>9929</v>
      </c>
      <c r="E1030" s="19" t="s">
        <v>1326</v>
      </c>
      <c r="F1030" s="19" t="s">
        <v>105</v>
      </c>
      <c r="G1030" s="21">
        <v>6.283928617E9</v>
      </c>
    </row>
    <row r="1031" ht="22.5" customHeight="1">
      <c r="A1031" s="22" t="s">
        <v>4046</v>
      </c>
      <c r="B1031" s="23" t="s">
        <v>9931</v>
      </c>
      <c r="C1031" s="24" t="s">
        <v>4047</v>
      </c>
      <c r="D1031" s="23" t="s">
        <v>9932</v>
      </c>
      <c r="E1031" s="23" t="s">
        <v>314</v>
      </c>
      <c r="F1031" s="23" t="s">
        <v>105</v>
      </c>
      <c r="G1031" s="25">
        <v>9.560972637E9</v>
      </c>
    </row>
    <row r="1032" ht="22.5" customHeight="1">
      <c r="A1032" s="18" t="s">
        <v>5230</v>
      </c>
      <c r="B1032" s="19" t="s">
        <v>9933</v>
      </c>
      <c r="C1032" s="20" t="s">
        <v>2468</v>
      </c>
      <c r="D1032" s="19" t="s">
        <v>9934</v>
      </c>
      <c r="E1032" s="19" t="s">
        <v>184</v>
      </c>
      <c r="F1032" s="19" t="s">
        <v>105</v>
      </c>
      <c r="G1032" s="21">
        <v>9.915016893E9</v>
      </c>
    </row>
    <row r="1033" ht="22.5" customHeight="1">
      <c r="A1033" s="22" t="s">
        <v>1012</v>
      </c>
      <c r="B1033" s="23" t="s">
        <v>9935</v>
      </c>
      <c r="C1033" s="24" t="s">
        <v>1013</v>
      </c>
      <c r="D1033" s="23" t="s">
        <v>9936</v>
      </c>
      <c r="E1033" s="23" t="s">
        <v>140</v>
      </c>
      <c r="F1033" s="23" t="s">
        <v>105</v>
      </c>
      <c r="G1033" s="25">
        <v>7.696912555E9</v>
      </c>
    </row>
    <row r="1034" ht="22.5" customHeight="1">
      <c r="A1034" s="18" t="s">
        <v>4674</v>
      </c>
      <c r="B1034" s="19" t="s">
        <v>9937</v>
      </c>
      <c r="C1034" s="20" t="s">
        <v>4675</v>
      </c>
      <c r="D1034" s="19" t="s">
        <v>9938</v>
      </c>
      <c r="E1034" s="19" t="s">
        <v>506</v>
      </c>
      <c r="F1034" s="19" t="s">
        <v>105</v>
      </c>
      <c r="G1034" s="21">
        <v>9.518809978E9</v>
      </c>
    </row>
    <row r="1035" ht="22.5" customHeight="1">
      <c r="A1035" s="22" t="s">
        <v>2655</v>
      </c>
      <c r="B1035" s="23" t="s">
        <v>9939</v>
      </c>
      <c r="C1035" s="24" t="s">
        <v>2656</v>
      </c>
      <c r="D1035" s="23" t="s">
        <v>9940</v>
      </c>
      <c r="E1035" s="23" t="s">
        <v>204</v>
      </c>
      <c r="F1035" s="23" t="s">
        <v>105</v>
      </c>
      <c r="G1035" s="25">
        <v>9.921671268E9</v>
      </c>
    </row>
    <row r="1036" ht="22.5" customHeight="1">
      <c r="A1036" s="18" t="s">
        <v>1154</v>
      </c>
      <c r="B1036" s="19" t="s">
        <v>9942</v>
      </c>
      <c r="C1036" s="20" t="s">
        <v>1156</v>
      </c>
      <c r="D1036" s="19" t="s">
        <v>9943</v>
      </c>
      <c r="E1036" s="19" t="s">
        <v>1149</v>
      </c>
      <c r="F1036" s="19" t="s">
        <v>105</v>
      </c>
      <c r="G1036" s="21">
        <v>7.056579677E9</v>
      </c>
    </row>
    <row r="1037" ht="22.5" customHeight="1">
      <c r="A1037" s="22" t="s">
        <v>9944</v>
      </c>
      <c r="B1037" s="23" t="s">
        <v>9945</v>
      </c>
      <c r="C1037" s="24" t="s">
        <v>4954</v>
      </c>
      <c r="D1037" s="23" t="s">
        <v>9946</v>
      </c>
      <c r="E1037" s="23" t="s">
        <v>346</v>
      </c>
      <c r="F1037" s="23" t="s">
        <v>105</v>
      </c>
      <c r="G1037" s="25">
        <v>9.289905021E9</v>
      </c>
    </row>
    <row r="1038" ht="22.5" customHeight="1">
      <c r="A1038" s="18" t="s">
        <v>3929</v>
      </c>
      <c r="B1038" s="19" t="s">
        <v>9947</v>
      </c>
      <c r="C1038" s="20" t="s">
        <v>3930</v>
      </c>
      <c r="D1038" s="19" t="s">
        <v>9948</v>
      </c>
      <c r="E1038" s="19" t="s">
        <v>282</v>
      </c>
      <c r="F1038" s="19" t="s">
        <v>105</v>
      </c>
      <c r="G1038" s="21">
        <v>9.017359017E9</v>
      </c>
    </row>
    <row r="1039" ht="22.5" customHeight="1">
      <c r="A1039" s="22" t="s">
        <v>8206</v>
      </c>
      <c r="B1039" s="23" t="s">
        <v>9949</v>
      </c>
      <c r="C1039" s="24" t="s">
        <v>8207</v>
      </c>
      <c r="D1039" s="23" t="s">
        <v>9950</v>
      </c>
      <c r="E1039" s="23" t="s">
        <v>227</v>
      </c>
      <c r="F1039" s="23" t="s">
        <v>105</v>
      </c>
      <c r="G1039" s="25">
        <v>9.253701656E9</v>
      </c>
    </row>
    <row r="1040" ht="22.5" customHeight="1">
      <c r="A1040" s="18" t="s">
        <v>8605</v>
      </c>
      <c r="B1040" s="19" t="s">
        <v>8603</v>
      </c>
      <c r="C1040" s="20" t="s">
        <v>8606</v>
      </c>
      <c r="D1040" s="19" t="s">
        <v>9951</v>
      </c>
      <c r="E1040" s="19" t="s">
        <v>100</v>
      </c>
      <c r="F1040" s="19" t="s">
        <v>105</v>
      </c>
      <c r="G1040" s="21">
        <v>9.992736391E9</v>
      </c>
    </row>
    <row r="1041" ht="22.5" customHeight="1">
      <c r="A1041" s="22" t="s">
        <v>4263</v>
      </c>
      <c r="B1041" s="23" t="s">
        <v>9953</v>
      </c>
      <c r="C1041" s="24" t="s">
        <v>4264</v>
      </c>
      <c r="D1041" s="23" t="s">
        <v>9954</v>
      </c>
      <c r="E1041" s="23" t="s">
        <v>1737</v>
      </c>
      <c r="F1041" s="23" t="s">
        <v>105</v>
      </c>
      <c r="G1041" s="25">
        <v>8.800241447E9</v>
      </c>
    </row>
    <row r="1042" ht="22.5" customHeight="1">
      <c r="A1042" s="18" t="s">
        <v>9955</v>
      </c>
      <c r="B1042" s="19" t="s">
        <v>9956</v>
      </c>
      <c r="C1042" s="20" t="s">
        <v>9957</v>
      </c>
      <c r="D1042" s="19" t="s">
        <v>9958</v>
      </c>
      <c r="E1042" s="19" t="s">
        <v>384</v>
      </c>
      <c r="F1042" s="19" t="s">
        <v>105</v>
      </c>
      <c r="G1042" s="21">
        <v>6.91362696E9</v>
      </c>
    </row>
    <row r="1043" ht="22.5" customHeight="1">
      <c r="A1043" s="22" t="s">
        <v>8670</v>
      </c>
      <c r="B1043" s="23" t="s">
        <v>8668</v>
      </c>
      <c r="C1043" s="24" t="s">
        <v>8671</v>
      </c>
      <c r="D1043" s="23" t="s">
        <v>9959</v>
      </c>
      <c r="E1043" s="23" t="s">
        <v>1303</v>
      </c>
      <c r="F1043" s="23" t="s">
        <v>105</v>
      </c>
      <c r="G1043" s="25">
        <v>7.060731963E9</v>
      </c>
    </row>
    <row r="1044" ht="22.5" customHeight="1">
      <c r="A1044" s="18" t="s">
        <v>5510</v>
      </c>
      <c r="B1044" s="19" t="s">
        <v>5508</v>
      </c>
      <c r="C1044" s="20" t="s">
        <v>5511</v>
      </c>
      <c r="D1044" s="19" t="s">
        <v>9960</v>
      </c>
      <c r="E1044" s="19" t="s">
        <v>512</v>
      </c>
      <c r="F1044" s="19" t="s">
        <v>105</v>
      </c>
      <c r="G1044" s="21">
        <v>9.520684181E9</v>
      </c>
    </row>
    <row r="1045" ht="22.5" customHeight="1">
      <c r="A1045" s="22" t="s">
        <v>5694</v>
      </c>
      <c r="B1045" s="23" t="s">
        <v>9962</v>
      </c>
      <c r="C1045" s="24" t="s">
        <v>5695</v>
      </c>
      <c r="D1045" s="23" t="s">
        <v>9963</v>
      </c>
      <c r="E1045" s="23" t="s">
        <v>1243</v>
      </c>
      <c r="F1045" s="23" t="s">
        <v>105</v>
      </c>
      <c r="G1045" s="25">
        <v>9.877273973E9</v>
      </c>
    </row>
    <row r="1046" ht="22.5" customHeight="1">
      <c r="A1046" s="30" t="s">
        <v>6516</v>
      </c>
      <c r="B1046" s="19" t="s">
        <v>9964</v>
      </c>
      <c r="C1046" s="20" t="s">
        <v>6517</v>
      </c>
      <c r="D1046" s="19" t="s">
        <v>9965</v>
      </c>
      <c r="E1046" s="19" t="s">
        <v>47</v>
      </c>
      <c r="F1046" s="19" t="s">
        <v>105</v>
      </c>
      <c r="G1046" s="21">
        <v>9.877691796E9</v>
      </c>
    </row>
    <row r="1047" ht="22.5" customHeight="1">
      <c r="A1047" s="22" t="s">
        <v>9966</v>
      </c>
      <c r="B1047" s="23" t="s">
        <v>5513</v>
      </c>
      <c r="C1047" s="24" t="s">
        <v>5517</v>
      </c>
      <c r="D1047" s="23" t="s">
        <v>9967</v>
      </c>
      <c r="E1047" s="23" t="s">
        <v>512</v>
      </c>
      <c r="F1047" s="23" t="s">
        <v>105</v>
      </c>
      <c r="G1047" s="25">
        <v>7.97324206E9</v>
      </c>
    </row>
    <row r="1048" ht="22.5" customHeight="1">
      <c r="A1048" s="18" t="s">
        <v>5417</v>
      </c>
      <c r="B1048" s="19" t="s">
        <v>9968</v>
      </c>
      <c r="C1048" s="20" t="s">
        <v>3020</v>
      </c>
      <c r="D1048" s="19" t="s">
        <v>9969</v>
      </c>
      <c r="E1048" s="19" t="s">
        <v>1622</v>
      </c>
      <c r="F1048" s="19" t="s">
        <v>105</v>
      </c>
      <c r="G1048" s="21">
        <v>9.88867782E9</v>
      </c>
    </row>
    <row r="1049" ht="22.5" customHeight="1">
      <c r="A1049" s="22" t="s">
        <v>8645</v>
      </c>
      <c r="B1049" s="23" t="s">
        <v>8643</v>
      </c>
      <c r="C1049" s="24" t="s">
        <v>8646</v>
      </c>
      <c r="D1049" s="23" t="s">
        <v>9970</v>
      </c>
      <c r="E1049" s="23" t="s">
        <v>100</v>
      </c>
      <c r="F1049" s="23" t="s">
        <v>105</v>
      </c>
      <c r="G1049" s="25">
        <v>9.817109265E9</v>
      </c>
    </row>
    <row r="1050" ht="22.5" customHeight="1">
      <c r="A1050" s="18" t="s">
        <v>2460</v>
      </c>
      <c r="B1050" s="19" t="s">
        <v>9972</v>
      </c>
      <c r="C1050" s="20" t="s">
        <v>9973</v>
      </c>
      <c r="D1050" s="19" t="s">
        <v>9974</v>
      </c>
      <c r="E1050" s="19" t="s">
        <v>63</v>
      </c>
      <c r="F1050" s="19" t="s">
        <v>105</v>
      </c>
      <c r="G1050" s="21">
        <v>8.83782967E9</v>
      </c>
    </row>
    <row r="1051" ht="22.5" customHeight="1">
      <c r="A1051" s="22" t="s">
        <v>3937</v>
      </c>
      <c r="B1051" s="23" t="s">
        <v>9975</v>
      </c>
      <c r="C1051" s="24" t="s">
        <v>3939</v>
      </c>
      <c r="D1051" s="23" t="s">
        <v>9976</v>
      </c>
      <c r="E1051" s="23" t="s">
        <v>282</v>
      </c>
      <c r="F1051" s="23" t="s">
        <v>105</v>
      </c>
      <c r="G1051" s="25">
        <v>9.760516156E9</v>
      </c>
    </row>
    <row r="1052" ht="22.5" customHeight="1">
      <c r="A1052" s="18" t="s">
        <v>8771</v>
      </c>
      <c r="B1052" s="19" t="s">
        <v>8769</v>
      </c>
      <c r="C1052" s="20" t="s">
        <v>8772</v>
      </c>
      <c r="D1052" s="19" t="s">
        <v>9977</v>
      </c>
      <c r="E1052" s="19" t="s">
        <v>3118</v>
      </c>
      <c r="F1052" s="19" t="s">
        <v>105</v>
      </c>
      <c r="G1052" s="21">
        <v>9.592141107E9</v>
      </c>
    </row>
    <row r="1053" ht="22.5" customHeight="1">
      <c r="A1053" s="22" t="s">
        <v>844</v>
      </c>
      <c r="B1053" s="23" t="s">
        <v>842</v>
      </c>
      <c r="C1053" s="24" t="s">
        <v>846</v>
      </c>
      <c r="D1053" s="23" t="s">
        <v>9978</v>
      </c>
      <c r="E1053" s="23" t="s">
        <v>52</v>
      </c>
      <c r="F1053" s="23" t="s">
        <v>105</v>
      </c>
      <c r="G1053" s="25">
        <v>7.986805059E9</v>
      </c>
    </row>
    <row r="1054" ht="22.5" customHeight="1">
      <c r="A1054" s="18" t="s">
        <v>7475</v>
      </c>
      <c r="B1054" s="19" t="s">
        <v>7473</v>
      </c>
      <c r="C1054" s="20" t="s">
        <v>7476</v>
      </c>
      <c r="D1054" s="19" t="s">
        <v>9979</v>
      </c>
      <c r="E1054" s="19" t="s">
        <v>756</v>
      </c>
      <c r="F1054" s="19" t="s">
        <v>105</v>
      </c>
      <c r="G1054" s="21">
        <v>9.41718454E9</v>
      </c>
    </row>
    <row r="1055" ht="22.5" customHeight="1">
      <c r="A1055" s="22" t="s">
        <v>3782</v>
      </c>
      <c r="B1055" s="23" t="s">
        <v>9980</v>
      </c>
      <c r="C1055" s="24" t="s">
        <v>3783</v>
      </c>
      <c r="D1055" s="23" t="s">
        <v>9982</v>
      </c>
      <c r="E1055" s="23" t="s">
        <v>221</v>
      </c>
      <c r="F1055" s="23" t="s">
        <v>105</v>
      </c>
      <c r="G1055" s="25">
        <v>8.949657716E9</v>
      </c>
    </row>
    <row r="1056" ht="22.5" customHeight="1">
      <c r="A1056" s="18" t="s">
        <v>2137</v>
      </c>
      <c r="B1056" s="19" t="s">
        <v>9983</v>
      </c>
      <c r="C1056" s="20" t="s">
        <v>2138</v>
      </c>
      <c r="D1056" s="19" t="s">
        <v>9984</v>
      </c>
      <c r="E1056" s="19" t="s">
        <v>304</v>
      </c>
      <c r="F1056" s="19" t="s">
        <v>105</v>
      </c>
      <c r="G1056" s="21">
        <v>9.056521628E9</v>
      </c>
    </row>
    <row r="1057" ht="22.5" customHeight="1">
      <c r="A1057" s="22" t="s">
        <v>8763</v>
      </c>
      <c r="B1057" s="23" t="s">
        <v>8761</v>
      </c>
      <c r="C1057" s="24" t="s">
        <v>8764</v>
      </c>
      <c r="D1057" s="23" t="s">
        <v>9985</v>
      </c>
      <c r="E1057" s="23" t="s">
        <v>3118</v>
      </c>
      <c r="F1057" s="23" t="s">
        <v>105</v>
      </c>
      <c r="G1057" s="25">
        <v>9.738940004E9</v>
      </c>
    </row>
    <row r="1058" ht="22.5" customHeight="1">
      <c r="A1058" s="18" t="s">
        <v>8419</v>
      </c>
      <c r="B1058" s="19" t="s">
        <v>8417</v>
      </c>
      <c r="C1058" s="20" t="s">
        <v>8420</v>
      </c>
      <c r="D1058" s="19" t="s">
        <v>9986</v>
      </c>
      <c r="E1058" s="19" t="s">
        <v>231</v>
      </c>
      <c r="F1058" s="19" t="s">
        <v>105</v>
      </c>
      <c r="G1058" s="21">
        <v>7.986338995E9</v>
      </c>
    </row>
    <row r="1059" ht="22.5" customHeight="1">
      <c r="A1059" s="22" t="s">
        <v>7798</v>
      </c>
      <c r="B1059" s="23" t="s">
        <v>9987</v>
      </c>
      <c r="C1059" s="24" t="s">
        <v>7799</v>
      </c>
      <c r="D1059" s="23" t="s">
        <v>9988</v>
      </c>
      <c r="E1059" s="23" t="s">
        <v>792</v>
      </c>
      <c r="F1059" s="23" t="s">
        <v>105</v>
      </c>
      <c r="G1059" s="25">
        <v>7.00943701E9</v>
      </c>
    </row>
    <row r="1060" ht="22.5" customHeight="1">
      <c r="A1060" s="18" t="s">
        <v>1222</v>
      </c>
      <c r="B1060" s="19" t="s">
        <v>9989</v>
      </c>
      <c r="C1060" s="20" t="s">
        <v>1223</v>
      </c>
      <c r="D1060" s="19" t="s">
        <v>9991</v>
      </c>
      <c r="E1060" s="19" t="s">
        <v>1149</v>
      </c>
      <c r="F1060" s="19" t="s">
        <v>105</v>
      </c>
      <c r="G1060" s="29"/>
    </row>
    <row r="1061" ht="22.5" customHeight="1">
      <c r="A1061" s="22" t="s">
        <v>6221</v>
      </c>
      <c r="B1061" s="23" t="s">
        <v>9992</v>
      </c>
      <c r="C1061" s="24" t="s">
        <v>6222</v>
      </c>
      <c r="D1061" s="23" t="s">
        <v>9993</v>
      </c>
      <c r="E1061" s="23" t="s">
        <v>1002</v>
      </c>
      <c r="F1061" s="23" t="s">
        <v>105</v>
      </c>
      <c r="G1061" s="25">
        <v>7.740001801E9</v>
      </c>
    </row>
    <row r="1062" ht="22.5" customHeight="1">
      <c r="A1062" s="18" t="s">
        <v>8536</v>
      </c>
      <c r="B1062" s="19" t="s">
        <v>8534</v>
      </c>
      <c r="C1062" s="20" t="s">
        <v>8537</v>
      </c>
      <c r="D1062" s="19" t="s">
        <v>9994</v>
      </c>
      <c r="E1062" s="19" t="s">
        <v>1607</v>
      </c>
      <c r="F1062" s="19" t="s">
        <v>105</v>
      </c>
      <c r="G1062" s="21">
        <v>8.968825243E9</v>
      </c>
    </row>
    <row r="1063" ht="22.5" customHeight="1">
      <c r="A1063" s="22" t="s">
        <v>4210</v>
      </c>
      <c r="B1063" s="23" t="s">
        <v>9995</v>
      </c>
      <c r="C1063" s="24" t="s">
        <v>4211</v>
      </c>
      <c r="D1063" s="23" t="s">
        <v>9996</v>
      </c>
      <c r="E1063" s="23" t="s">
        <v>1737</v>
      </c>
      <c r="F1063" s="23" t="s">
        <v>105</v>
      </c>
      <c r="G1063" s="25">
        <v>7.267896025E9</v>
      </c>
    </row>
    <row r="1064" ht="22.5" customHeight="1">
      <c r="A1064" s="18" t="s">
        <v>7975</v>
      </c>
      <c r="B1064" s="19" t="s">
        <v>9997</v>
      </c>
      <c r="C1064" s="20" t="s">
        <v>7976</v>
      </c>
      <c r="D1064" s="19" t="s">
        <v>9998</v>
      </c>
      <c r="E1064" s="19" t="s">
        <v>559</v>
      </c>
      <c r="F1064" s="19" t="s">
        <v>105</v>
      </c>
      <c r="G1064" s="21">
        <v>9.818339047E9</v>
      </c>
    </row>
    <row r="1065" ht="22.5" customHeight="1">
      <c r="A1065" s="22" t="s">
        <v>5131</v>
      </c>
      <c r="B1065" s="23" t="s">
        <v>9999</v>
      </c>
      <c r="C1065" s="24" t="s">
        <v>2272</v>
      </c>
      <c r="D1065" s="23" t="s">
        <v>10000</v>
      </c>
      <c r="E1065" s="23" t="s">
        <v>219</v>
      </c>
      <c r="F1065" s="23" t="s">
        <v>105</v>
      </c>
      <c r="G1065" s="25">
        <v>8.279472567E9</v>
      </c>
    </row>
    <row r="1066" ht="22.5" customHeight="1">
      <c r="A1066" s="18" t="s">
        <v>6257</v>
      </c>
      <c r="B1066" s="19" t="s">
        <v>10001</v>
      </c>
      <c r="C1066" s="20" t="s">
        <v>6258</v>
      </c>
      <c r="D1066" s="19" t="s">
        <v>10002</v>
      </c>
      <c r="E1066" s="19" t="s">
        <v>255</v>
      </c>
      <c r="F1066" s="19" t="s">
        <v>105</v>
      </c>
      <c r="G1066" s="21">
        <v>8.6992276E9</v>
      </c>
    </row>
    <row r="1067" ht="22.5" customHeight="1">
      <c r="A1067" s="30" t="s">
        <v>4230</v>
      </c>
      <c r="B1067" s="23" t="s">
        <v>10004</v>
      </c>
      <c r="C1067" s="24" t="s">
        <v>4231</v>
      </c>
      <c r="D1067" s="23" t="s">
        <v>4230</v>
      </c>
      <c r="E1067" s="23" t="s">
        <v>1737</v>
      </c>
      <c r="F1067" s="23" t="s">
        <v>105</v>
      </c>
      <c r="G1067" s="25">
        <v>9.205194115E9</v>
      </c>
    </row>
    <row r="1068" ht="22.5" customHeight="1">
      <c r="A1068" s="18" t="s">
        <v>10005</v>
      </c>
      <c r="B1068" s="19" t="s">
        <v>10006</v>
      </c>
      <c r="C1068" s="20" t="s">
        <v>10007</v>
      </c>
      <c r="D1068" s="19" t="s">
        <v>10008</v>
      </c>
      <c r="E1068" s="19" t="s">
        <v>10009</v>
      </c>
      <c r="F1068" s="19" t="s">
        <v>105</v>
      </c>
      <c r="G1068" s="21">
        <v>6.23077141E9</v>
      </c>
    </row>
    <row r="1069" ht="22.5" customHeight="1">
      <c r="A1069" s="22" t="s">
        <v>10010</v>
      </c>
      <c r="B1069" s="23" t="s">
        <v>10011</v>
      </c>
      <c r="C1069" s="24" t="s">
        <v>1120</v>
      </c>
      <c r="D1069" s="23" t="s">
        <v>10012</v>
      </c>
      <c r="E1069" s="23" t="s">
        <v>140</v>
      </c>
      <c r="F1069" s="23" t="s">
        <v>105</v>
      </c>
      <c r="G1069" s="25">
        <v>8.448570544E9</v>
      </c>
    </row>
    <row r="1070" ht="22.5" customHeight="1">
      <c r="A1070" s="18" t="s">
        <v>1751</v>
      </c>
      <c r="B1070" s="19" t="s">
        <v>10013</v>
      </c>
      <c r="C1070" s="20" t="s">
        <v>1752</v>
      </c>
      <c r="D1070" s="19" t="s">
        <v>1751</v>
      </c>
      <c r="E1070" s="19" t="s">
        <v>1653</v>
      </c>
      <c r="F1070" s="19" t="s">
        <v>105</v>
      </c>
      <c r="G1070" s="21">
        <v>8.8473139E9</v>
      </c>
    </row>
    <row r="1071" ht="22.5" customHeight="1">
      <c r="A1071" s="22" t="s">
        <v>7494</v>
      </c>
      <c r="B1071" s="23" t="s">
        <v>7491</v>
      </c>
      <c r="C1071" s="24" t="s">
        <v>7495</v>
      </c>
      <c r="D1071" s="23" t="s">
        <v>10015</v>
      </c>
      <c r="E1071" s="23" t="s">
        <v>756</v>
      </c>
      <c r="F1071" s="23" t="s">
        <v>105</v>
      </c>
      <c r="G1071" s="25">
        <v>9.041795441E9</v>
      </c>
    </row>
    <row r="1072" ht="22.5" customHeight="1">
      <c r="A1072" s="18" t="s">
        <v>6921</v>
      </c>
      <c r="B1072" s="19" t="s">
        <v>10016</v>
      </c>
      <c r="C1072" s="20" t="s">
        <v>6922</v>
      </c>
      <c r="D1072" s="19" t="s">
        <v>10017</v>
      </c>
      <c r="E1072" s="19" t="s">
        <v>1946</v>
      </c>
      <c r="F1072" s="19" t="s">
        <v>105</v>
      </c>
      <c r="G1072" s="21">
        <v>9.896313467E9</v>
      </c>
    </row>
    <row r="1073" ht="22.5" customHeight="1">
      <c r="A1073" s="22" t="s">
        <v>5540</v>
      </c>
      <c r="B1073" s="23" t="s">
        <v>5538</v>
      </c>
      <c r="C1073" s="24" t="s">
        <v>5541</v>
      </c>
      <c r="D1073" s="23" t="s">
        <v>10018</v>
      </c>
      <c r="E1073" s="23" t="s">
        <v>689</v>
      </c>
      <c r="F1073" s="23" t="s">
        <v>105</v>
      </c>
      <c r="G1073" s="25">
        <v>9.872787762E9</v>
      </c>
    </row>
    <row r="1074" ht="22.5" customHeight="1">
      <c r="A1074" s="18" t="s">
        <v>2242</v>
      </c>
      <c r="B1074" s="19" t="s">
        <v>10019</v>
      </c>
      <c r="C1074" s="20" t="s">
        <v>2244</v>
      </c>
      <c r="D1074" s="19" t="s">
        <v>10020</v>
      </c>
      <c r="E1074" s="19" t="s">
        <v>304</v>
      </c>
      <c r="F1074" s="19" t="s">
        <v>105</v>
      </c>
      <c r="G1074" s="21">
        <v>7.009135882E9</v>
      </c>
    </row>
    <row r="1075" ht="22.5" customHeight="1">
      <c r="A1075" s="22" t="s">
        <v>5295</v>
      </c>
      <c r="B1075" s="23" t="s">
        <v>10022</v>
      </c>
      <c r="C1075" s="24" t="s">
        <v>2650</v>
      </c>
      <c r="D1075" s="23" t="s">
        <v>10023</v>
      </c>
      <c r="E1075" s="23" t="s">
        <v>1462</v>
      </c>
      <c r="F1075" s="23" t="s">
        <v>105</v>
      </c>
      <c r="G1075" s="25">
        <v>9.71000725E9</v>
      </c>
    </row>
    <row r="1076" ht="22.5" customHeight="1">
      <c r="A1076" s="18" t="s">
        <v>5715</v>
      </c>
      <c r="B1076" s="19" t="s">
        <v>10024</v>
      </c>
      <c r="C1076" s="20" t="s">
        <v>5716</v>
      </c>
      <c r="D1076" s="19" t="s">
        <v>10025</v>
      </c>
      <c r="E1076" s="19" t="s">
        <v>1243</v>
      </c>
      <c r="F1076" s="19" t="s">
        <v>105</v>
      </c>
      <c r="G1076" s="21">
        <v>8.264763347E9</v>
      </c>
    </row>
    <row r="1077" ht="22.5" customHeight="1">
      <c r="A1077" s="22" t="s">
        <v>1281</v>
      </c>
      <c r="B1077" s="23" t="s">
        <v>10026</v>
      </c>
      <c r="C1077" s="24" t="s">
        <v>1282</v>
      </c>
      <c r="D1077" s="23" t="s">
        <v>10027</v>
      </c>
      <c r="E1077" s="23" t="s">
        <v>1149</v>
      </c>
      <c r="F1077" s="23" t="s">
        <v>105</v>
      </c>
      <c r="G1077" s="25">
        <v>8.288932986E9</v>
      </c>
    </row>
    <row r="1078" ht="22.5" customHeight="1">
      <c r="A1078" s="18" t="s">
        <v>1510</v>
      </c>
      <c r="B1078" s="19" t="s">
        <v>10028</v>
      </c>
      <c r="C1078" s="20" t="s">
        <v>1511</v>
      </c>
      <c r="D1078" s="19" t="s">
        <v>10029</v>
      </c>
      <c r="E1078" s="19" t="s">
        <v>75</v>
      </c>
      <c r="F1078" s="19" t="s">
        <v>105</v>
      </c>
      <c r="G1078" s="21">
        <v>8.360734105E9</v>
      </c>
    </row>
    <row r="1079" ht="22.5" customHeight="1">
      <c r="A1079" s="22" t="s">
        <v>5667</v>
      </c>
      <c r="B1079" s="23" t="s">
        <v>10030</v>
      </c>
      <c r="C1079" s="24" t="s">
        <v>5668</v>
      </c>
      <c r="D1079" s="23" t="s">
        <v>10032</v>
      </c>
      <c r="E1079" s="23" t="s">
        <v>1243</v>
      </c>
      <c r="F1079" s="23" t="s">
        <v>105</v>
      </c>
      <c r="G1079" s="25">
        <v>9.539317355E9</v>
      </c>
    </row>
    <row r="1080" ht="22.5" customHeight="1">
      <c r="A1080" s="18" t="s">
        <v>3301</v>
      </c>
      <c r="B1080" s="19" t="s">
        <v>10033</v>
      </c>
      <c r="C1080" s="20" t="s">
        <v>3303</v>
      </c>
      <c r="D1080" s="19" t="s">
        <v>10034</v>
      </c>
      <c r="E1080" s="19" t="s">
        <v>524</v>
      </c>
      <c r="F1080" s="19" t="s">
        <v>105</v>
      </c>
      <c r="G1080" s="21">
        <v>8.968369416E9</v>
      </c>
    </row>
    <row r="1081" ht="22.5" customHeight="1">
      <c r="A1081" s="22" t="s">
        <v>2473</v>
      </c>
      <c r="B1081" s="23" t="s">
        <v>10035</v>
      </c>
      <c r="C1081" s="24" t="s">
        <v>2474</v>
      </c>
      <c r="D1081" s="23" t="s">
        <v>10036</v>
      </c>
      <c r="E1081" s="23" t="s">
        <v>63</v>
      </c>
      <c r="F1081" s="23" t="s">
        <v>105</v>
      </c>
      <c r="G1081" s="25">
        <v>8.360747141E9</v>
      </c>
    </row>
    <row r="1082" ht="22.5" customHeight="1">
      <c r="A1082" s="18" t="s">
        <v>5325</v>
      </c>
      <c r="B1082" s="19" t="s">
        <v>10037</v>
      </c>
      <c r="C1082" s="20" t="s">
        <v>2743</v>
      </c>
      <c r="D1082" s="19" t="s">
        <v>10038</v>
      </c>
      <c r="E1082" s="19" t="s">
        <v>1379</v>
      </c>
      <c r="F1082" s="19" t="s">
        <v>105</v>
      </c>
      <c r="G1082" s="21">
        <v>9.873390894E9</v>
      </c>
    </row>
    <row r="1083" ht="22.5" customHeight="1">
      <c r="A1083" s="22" t="s">
        <v>5866</v>
      </c>
      <c r="B1083" s="23" t="s">
        <v>10039</v>
      </c>
      <c r="C1083" s="24" t="s">
        <v>5867</v>
      </c>
      <c r="D1083" s="23" t="s">
        <v>10040</v>
      </c>
      <c r="E1083" s="23" t="s">
        <v>277</v>
      </c>
      <c r="F1083" s="23" t="s">
        <v>105</v>
      </c>
      <c r="G1083" s="25">
        <v>8.527890645E9</v>
      </c>
    </row>
    <row r="1084" ht="22.5" customHeight="1">
      <c r="A1084" s="18" t="s">
        <v>7929</v>
      </c>
      <c r="B1084" s="19" t="s">
        <v>10042</v>
      </c>
      <c r="C1084" s="20" t="s">
        <v>7930</v>
      </c>
      <c r="D1084" s="19" t="s">
        <v>10043</v>
      </c>
      <c r="E1084" s="19" t="s">
        <v>303</v>
      </c>
      <c r="F1084" s="19" t="s">
        <v>105</v>
      </c>
      <c r="G1084" s="21">
        <v>8.050017676E9</v>
      </c>
    </row>
    <row r="1085" ht="22.5" customHeight="1">
      <c r="A1085" s="22" t="s">
        <v>6379</v>
      </c>
      <c r="B1085" s="23" t="s">
        <v>10042</v>
      </c>
      <c r="C1085" s="24" t="s">
        <v>6380</v>
      </c>
      <c r="D1085" s="23" t="s">
        <v>10044</v>
      </c>
      <c r="E1085" s="23" t="s">
        <v>2970</v>
      </c>
      <c r="F1085" s="23" t="s">
        <v>105</v>
      </c>
      <c r="G1085" s="25">
        <v>8.427772107E9</v>
      </c>
    </row>
    <row r="1086" ht="22.5" customHeight="1">
      <c r="A1086" s="18" t="s">
        <v>1195</v>
      </c>
      <c r="B1086" s="19" t="s">
        <v>10045</v>
      </c>
      <c r="C1086" s="20" t="s">
        <v>1197</v>
      </c>
      <c r="D1086" s="19" t="s">
        <v>10046</v>
      </c>
      <c r="E1086" s="19" t="s">
        <v>1149</v>
      </c>
      <c r="F1086" s="19" t="s">
        <v>105</v>
      </c>
      <c r="G1086" s="21">
        <v>9.88822245E9</v>
      </c>
    </row>
    <row r="1087" ht="22.5" customHeight="1">
      <c r="A1087" s="30" t="s">
        <v>10047</v>
      </c>
      <c r="B1087" s="23" t="s">
        <v>10048</v>
      </c>
      <c r="C1087" s="24" t="s">
        <v>3540</v>
      </c>
      <c r="D1087" s="23" t="s">
        <v>10049</v>
      </c>
      <c r="E1087" s="23" t="s">
        <v>68</v>
      </c>
      <c r="F1087" s="23" t="s">
        <v>105</v>
      </c>
      <c r="G1087" s="25">
        <v>9.041038026E9</v>
      </c>
    </row>
    <row r="1088" ht="22.5" customHeight="1">
      <c r="A1088" s="18" t="s">
        <v>10050</v>
      </c>
      <c r="B1088" s="19" t="s">
        <v>10052</v>
      </c>
      <c r="C1088" s="20" t="s">
        <v>7786</v>
      </c>
      <c r="D1088" s="19" t="s">
        <v>10053</v>
      </c>
      <c r="E1088" s="19" t="s">
        <v>792</v>
      </c>
      <c r="F1088" s="19" t="s">
        <v>105</v>
      </c>
      <c r="G1088" s="21">
        <v>7.719429943E9</v>
      </c>
    </row>
    <row r="1089" ht="22.5" customHeight="1">
      <c r="A1089" s="22" t="s">
        <v>10054</v>
      </c>
      <c r="B1089" s="23" t="s">
        <v>6591</v>
      </c>
      <c r="C1089" s="24" t="s">
        <v>6594</v>
      </c>
      <c r="D1089" s="23" t="s">
        <v>10055</v>
      </c>
      <c r="E1089" s="23" t="s">
        <v>47</v>
      </c>
      <c r="F1089" s="23" t="s">
        <v>105</v>
      </c>
      <c r="G1089" s="25">
        <v>8.882681493E9</v>
      </c>
    </row>
    <row r="1090" ht="22.5" customHeight="1">
      <c r="A1090" s="18" t="s">
        <v>10056</v>
      </c>
      <c r="B1090" s="19" t="s">
        <v>10057</v>
      </c>
      <c r="C1090" s="20" t="s">
        <v>3246</v>
      </c>
      <c r="D1090" s="19" t="s">
        <v>10056</v>
      </c>
      <c r="E1090" s="19" t="s">
        <v>30</v>
      </c>
      <c r="F1090" s="19" t="s">
        <v>105</v>
      </c>
      <c r="G1090" s="21">
        <v>7.986527972E9</v>
      </c>
    </row>
    <row r="1091" ht="22.5" customHeight="1">
      <c r="A1091" s="22" t="s">
        <v>8814</v>
      </c>
      <c r="B1091" s="23" t="s">
        <v>8812</v>
      </c>
      <c r="C1091" s="24" t="s">
        <v>8815</v>
      </c>
      <c r="D1091" s="23" t="s">
        <v>10058</v>
      </c>
      <c r="E1091" s="23" t="s">
        <v>1607</v>
      </c>
      <c r="F1091" s="23" t="s">
        <v>105</v>
      </c>
      <c r="G1091" s="25">
        <v>7.357167516E9</v>
      </c>
    </row>
    <row r="1092" ht="22.5" customHeight="1">
      <c r="A1092" s="18" t="s">
        <v>5603</v>
      </c>
      <c r="B1092" s="19" t="s">
        <v>5601</v>
      </c>
      <c r="C1092" s="20" t="s">
        <v>5604</v>
      </c>
      <c r="D1092" s="19" t="s">
        <v>10060</v>
      </c>
      <c r="E1092" s="19" t="s">
        <v>689</v>
      </c>
      <c r="F1092" s="19" t="s">
        <v>105</v>
      </c>
      <c r="G1092" s="21">
        <v>9.465770231E9</v>
      </c>
    </row>
    <row r="1093" ht="22.5" customHeight="1">
      <c r="A1093" s="22" t="s">
        <v>7989</v>
      </c>
      <c r="B1093" s="23" t="s">
        <v>10061</v>
      </c>
      <c r="C1093" s="24" t="s">
        <v>7990</v>
      </c>
      <c r="D1093" s="23" t="s">
        <v>10062</v>
      </c>
      <c r="E1093" s="23" t="s">
        <v>559</v>
      </c>
      <c r="F1093" s="23" t="s">
        <v>105</v>
      </c>
      <c r="G1093" s="25">
        <v>9.971867171E9</v>
      </c>
    </row>
    <row r="1094" ht="22.5" customHeight="1">
      <c r="A1094" s="18" t="s">
        <v>7502</v>
      </c>
      <c r="B1094" s="19" t="s">
        <v>7500</v>
      </c>
      <c r="C1094" s="20" t="s">
        <v>7503</v>
      </c>
      <c r="D1094" s="19" t="s">
        <v>10063</v>
      </c>
      <c r="E1094" s="19" t="s">
        <v>756</v>
      </c>
      <c r="F1094" s="19" t="s">
        <v>105</v>
      </c>
      <c r="G1094" s="21">
        <v>9.815701275E9</v>
      </c>
    </row>
    <row r="1095" ht="22.5" customHeight="1">
      <c r="A1095" s="22" t="s">
        <v>6597</v>
      </c>
      <c r="B1095" s="23" t="s">
        <v>10065</v>
      </c>
      <c r="C1095" s="24" t="s">
        <v>6598</v>
      </c>
      <c r="D1095" s="23" t="s">
        <v>10066</v>
      </c>
      <c r="E1095" s="23" t="s">
        <v>47</v>
      </c>
      <c r="F1095" s="23" t="s">
        <v>105</v>
      </c>
      <c r="G1095" s="25">
        <v>8.84721501E9</v>
      </c>
    </row>
    <row r="1096" ht="22.5" customHeight="1">
      <c r="A1096" s="18" t="s">
        <v>2396</v>
      </c>
      <c r="B1096" s="19" t="s">
        <v>10067</v>
      </c>
      <c r="C1096" s="20" t="s">
        <v>2398</v>
      </c>
      <c r="D1096" s="19" t="s">
        <v>10068</v>
      </c>
      <c r="E1096" s="19" t="s">
        <v>1873</v>
      </c>
      <c r="F1096" s="19" t="s">
        <v>105</v>
      </c>
      <c r="G1096" s="21">
        <v>7.009315301E9</v>
      </c>
    </row>
    <row r="1097" ht="22.5" customHeight="1">
      <c r="A1097" s="22" t="s">
        <v>10069</v>
      </c>
      <c r="B1097" s="23" t="s">
        <v>10070</v>
      </c>
      <c r="C1097" s="24" t="s">
        <v>2487</v>
      </c>
      <c r="D1097" s="23" t="s">
        <v>10071</v>
      </c>
      <c r="E1097" s="23" t="s">
        <v>184</v>
      </c>
      <c r="F1097" s="23" t="s">
        <v>105</v>
      </c>
      <c r="G1097" s="25">
        <v>7.878006095E9</v>
      </c>
    </row>
    <row r="1098" ht="22.5" customHeight="1">
      <c r="A1098" s="18" t="s">
        <v>5239</v>
      </c>
      <c r="B1098" s="19" t="s">
        <v>10070</v>
      </c>
      <c r="C1098" s="20" t="s">
        <v>10070</v>
      </c>
      <c r="D1098" s="19" t="s">
        <v>10071</v>
      </c>
      <c r="E1098" s="19" t="s">
        <v>184</v>
      </c>
      <c r="F1098" s="19" t="s">
        <v>105</v>
      </c>
      <c r="G1098" s="21">
        <v>7.878006095E9</v>
      </c>
    </row>
    <row r="1099" ht="22.5" customHeight="1">
      <c r="A1099" s="22" t="s">
        <v>1576</v>
      </c>
      <c r="B1099" s="23" t="s">
        <v>10073</v>
      </c>
      <c r="C1099" s="24" t="s">
        <v>1577</v>
      </c>
      <c r="D1099" s="23" t="s">
        <v>10074</v>
      </c>
      <c r="E1099" s="23" t="s">
        <v>75</v>
      </c>
      <c r="F1099" s="23" t="s">
        <v>105</v>
      </c>
      <c r="G1099" s="25">
        <v>9.810792509E9</v>
      </c>
    </row>
    <row r="1100" ht="22.5" customHeight="1">
      <c r="A1100" s="18" t="s">
        <v>191</v>
      </c>
      <c r="B1100" s="19" t="s">
        <v>189</v>
      </c>
      <c r="C1100" s="20" t="s">
        <v>192</v>
      </c>
      <c r="D1100" s="19" t="s">
        <v>10075</v>
      </c>
      <c r="E1100" s="19" t="s">
        <v>81</v>
      </c>
      <c r="F1100" s="19" t="s">
        <v>105</v>
      </c>
      <c r="G1100" s="21">
        <v>9.056495137E9</v>
      </c>
    </row>
    <row r="1101" ht="22.5" customHeight="1">
      <c r="A1101" s="22" t="s">
        <v>5278</v>
      </c>
      <c r="B1101" s="23" t="s">
        <v>10076</v>
      </c>
      <c r="C1101" s="24" t="s">
        <v>2604</v>
      </c>
      <c r="D1101" s="23" t="s">
        <v>10077</v>
      </c>
      <c r="E1101" s="23" t="s">
        <v>1071</v>
      </c>
      <c r="F1101" s="23" t="s">
        <v>105</v>
      </c>
      <c r="G1101" s="25">
        <v>8.16826541E9</v>
      </c>
    </row>
    <row r="1102" ht="22.5" customHeight="1">
      <c r="A1102" s="18" t="s">
        <v>3910</v>
      </c>
      <c r="B1102" s="19" t="s">
        <v>10078</v>
      </c>
      <c r="C1102" s="20" t="s">
        <v>3911</v>
      </c>
      <c r="D1102" s="19" t="s">
        <v>10079</v>
      </c>
      <c r="E1102" s="19" t="s">
        <v>282</v>
      </c>
      <c r="F1102" s="19" t="s">
        <v>105</v>
      </c>
      <c r="G1102" s="21">
        <v>8.950347236E9</v>
      </c>
    </row>
    <row r="1103" ht="22.5" customHeight="1">
      <c r="A1103" s="22" t="s">
        <v>4418</v>
      </c>
      <c r="B1103" s="23" t="s">
        <v>10080</v>
      </c>
      <c r="C1103" s="24" t="s">
        <v>4419</v>
      </c>
      <c r="D1103" s="23" t="s">
        <v>10082</v>
      </c>
      <c r="E1103" s="23" t="s">
        <v>1462</v>
      </c>
      <c r="F1103" s="23" t="s">
        <v>105</v>
      </c>
      <c r="G1103" s="25">
        <v>7.707881184E9</v>
      </c>
    </row>
    <row r="1104" ht="22.5" customHeight="1">
      <c r="A1104" s="18" t="s">
        <v>551</v>
      </c>
      <c r="B1104" s="19" t="s">
        <v>549</v>
      </c>
      <c r="C1104" s="20" t="s">
        <v>552</v>
      </c>
      <c r="D1104" s="19" t="s">
        <v>10083</v>
      </c>
      <c r="E1104" s="19" t="s">
        <v>37</v>
      </c>
      <c r="F1104" s="19" t="s">
        <v>105</v>
      </c>
      <c r="G1104" s="21">
        <v>8.307746657E9</v>
      </c>
    </row>
    <row r="1105" ht="22.5" customHeight="1">
      <c r="A1105" s="22" t="s">
        <v>4459</v>
      </c>
      <c r="B1105" s="23" t="s">
        <v>10084</v>
      </c>
      <c r="C1105" s="24" t="s">
        <v>4460</v>
      </c>
      <c r="D1105" s="23" t="s">
        <v>10085</v>
      </c>
      <c r="E1105" s="23" t="s">
        <v>617</v>
      </c>
      <c r="F1105" s="23" t="s">
        <v>105</v>
      </c>
      <c r="G1105" s="25">
        <v>9.877166301E9</v>
      </c>
    </row>
    <row r="1106" ht="22.5" customHeight="1">
      <c r="A1106" s="18" t="s">
        <v>4742</v>
      </c>
      <c r="B1106" s="19" t="s">
        <v>10086</v>
      </c>
      <c r="C1106" s="20" t="s">
        <v>4743</v>
      </c>
      <c r="D1106" s="19" t="s">
        <v>4742</v>
      </c>
      <c r="E1106" s="19" t="s">
        <v>506</v>
      </c>
      <c r="F1106" s="19" t="s">
        <v>105</v>
      </c>
      <c r="G1106" s="21">
        <v>9.053431714E9</v>
      </c>
    </row>
    <row r="1107" ht="22.5" customHeight="1">
      <c r="A1107" s="22" t="s">
        <v>8339</v>
      </c>
      <c r="B1107" s="23" t="s">
        <v>10087</v>
      </c>
      <c r="C1107" s="24" t="s">
        <v>8340</v>
      </c>
      <c r="D1107" s="23" t="s">
        <v>10088</v>
      </c>
      <c r="E1107" s="23" t="s">
        <v>1607</v>
      </c>
      <c r="F1107" s="23" t="s">
        <v>105</v>
      </c>
      <c r="G1107" s="25">
        <v>9.518695973E9</v>
      </c>
    </row>
    <row r="1108" ht="22.5" customHeight="1">
      <c r="A1108" s="18" t="s">
        <v>3420</v>
      </c>
      <c r="B1108" s="19" t="s">
        <v>10090</v>
      </c>
      <c r="C1108" s="20" t="s">
        <v>3421</v>
      </c>
      <c r="D1108" s="19" t="s">
        <v>10091</v>
      </c>
      <c r="E1108" s="19" t="s">
        <v>37</v>
      </c>
      <c r="F1108" s="19" t="s">
        <v>105</v>
      </c>
      <c r="G1108" s="21">
        <v>9.259672633E9</v>
      </c>
    </row>
    <row r="1109" ht="22.5" customHeight="1">
      <c r="A1109" s="22" t="s">
        <v>3456</v>
      </c>
      <c r="B1109" s="23" t="s">
        <v>10092</v>
      </c>
      <c r="C1109" s="24" t="s">
        <v>3457</v>
      </c>
      <c r="D1109" s="23" t="s">
        <v>10093</v>
      </c>
      <c r="E1109" s="23" t="s">
        <v>37</v>
      </c>
      <c r="F1109" s="23" t="s">
        <v>105</v>
      </c>
      <c r="G1109" s="25">
        <v>9.8724673E9</v>
      </c>
    </row>
    <row r="1110" ht="22.5" customHeight="1">
      <c r="A1110" s="18" t="s">
        <v>8574</v>
      </c>
      <c r="B1110" s="19" t="s">
        <v>8572</v>
      </c>
      <c r="C1110" s="20" t="s">
        <v>8575</v>
      </c>
      <c r="D1110" s="19" t="s">
        <v>10094</v>
      </c>
      <c r="E1110" s="19" t="s">
        <v>1607</v>
      </c>
      <c r="F1110" s="19" t="s">
        <v>105</v>
      </c>
      <c r="G1110" s="21">
        <v>9.64374792E9</v>
      </c>
    </row>
    <row r="1111" ht="22.5" customHeight="1">
      <c r="A1111" s="22" t="s">
        <v>6169</v>
      </c>
      <c r="B1111" s="23" t="s">
        <v>10095</v>
      </c>
      <c r="C1111" s="24" t="s">
        <v>6170</v>
      </c>
      <c r="D1111" s="23" t="s">
        <v>10096</v>
      </c>
      <c r="E1111" s="23" t="s">
        <v>1002</v>
      </c>
      <c r="F1111" s="23" t="s">
        <v>105</v>
      </c>
      <c r="G1111" s="25">
        <v>7.696352527E9</v>
      </c>
    </row>
    <row r="1112" ht="22.5" customHeight="1">
      <c r="A1112" s="18" t="s">
        <v>5497</v>
      </c>
      <c r="B1112" s="19" t="s">
        <v>5495</v>
      </c>
      <c r="C1112" s="20" t="s">
        <v>5498</v>
      </c>
      <c r="D1112" s="19" t="s">
        <v>10098</v>
      </c>
      <c r="E1112" s="19" t="s">
        <v>512</v>
      </c>
      <c r="F1112" s="19" t="s">
        <v>105</v>
      </c>
      <c r="G1112" s="21">
        <v>9.46538368E9</v>
      </c>
    </row>
    <row r="1113" ht="22.5" customHeight="1">
      <c r="A1113" s="22" t="s">
        <v>7149</v>
      </c>
      <c r="B1113" s="23" t="s">
        <v>10099</v>
      </c>
      <c r="C1113" s="24" t="s">
        <v>7150</v>
      </c>
      <c r="D1113" s="23" t="s">
        <v>10100</v>
      </c>
      <c r="E1113" s="23" t="s">
        <v>1326</v>
      </c>
      <c r="F1113" s="23" t="s">
        <v>105</v>
      </c>
      <c r="G1113" s="25">
        <v>9.253065715E9</v>
      </c>
    </row>
    <row r="1114" ht="22.5" customHeight="1">
      <c r="A1114" s="18" t="s">
        <v>3336</v>
      </c>
      <c r="B1114" s="19" t="s">
        <v>10101</v>
      </c>
      <c r="C1114" s="20" t="s">
        <v>3337</v>
      </c>
      <c r="D1114" s="19" t="s">
        <v>10102</v>
      </c>
      <c r="E1114" s="19" t="s">
        <v>524</v>
      </c>
      <c r="F1114" s="19" t="s">
        <v>105</v>
      </c>
      <c r="G1114" s="21">
        <v>6.28327015E9</v>
      </c>
    </row>
    <row r="1115" ht="22.5" customHeight="1">
      <c r="A1115" s="22" t="s">
        <v>4712</v>
      </c>
      <c r="B1115" s="23" t="s">
        <v>10103</v>
      </c>
      <c r="C1115" s="24" t="s">
        <v>4713</v>
      </c>
      <c r="D1115" s="23" t="s">
        <v>10104</v>
      </c>
      <c r="E1115" s="23" t="s">
        <v>506</v>
      </c>
      <c r="F1115" s="23" t="s">
        <v>105</v>
      </c>
      <c r="G1115" s="25">
        <v>8.837825593E9</v>
      </c>
    </row>
    <row r="1116" ht="22.5" customHeight="1">
      <c r="A1116" s="18" t="s">
        <v>1664</v>
      </c>
      <c r="B1116" s="19" t="s">
        <v>10106</v>
      </c>
      <c r="C1116" s="20" t="s">
        <v>1666</v>
      </c>
      <c r="D1116" s="19" t="s">
        <v>10107</v>
      </c>
      <c r="E1116" s="19" t="s">
        <v>1653</v>
      </c>
      <c r="F1116" s="19" t="s">
        <v>105</v>
      </c>
      <c r="G1116" s="21">
        <v>7.889286079E9</v>
      </c>
    </row>
    <row r="1117" ht="22.5" customHeight="1">
      <c r="A1117" s="22" t="s">
        <v>8223</v>
      </c>
      <c r="B1117" s="23" t="s">
        <v>10108</v>
      </c>
      <c r="C1117" s="24" t="s">
        <v>8224</v>
      </c>
      <c r="D1117" s="23" t="s">
        <v>10109</v>
      </c>
      <c r="E1117" s="23" t="s">
        <v>5193</v>
      </c>
      <c r="F1117" s="23" t="s">
        <v>105</v>
      </c>
      <c r="G1117" s="25">
        <v>9.650522525E9</v>
      </c>
    </row>
    <row r="1118" ht="22.5" customHeight="1">
      <c r="A1118" s="18" t="s">
        <v>3227</v>
      </c>
      <c r="B1118" s="19" t="s">
        <v>10110</v>
      </c>
      <c r="C1118" s="20" t="s">
        <v>3229</v>
      </c>
      <c r="D1118" s="19" t="s">
        <v>10111</v>
      </c>
      <c r="E1118" s="19" t="s">
        <v>30</v>
      </c>
      <c r="F1118" s="19" t="s">
        <v>105</v>
      </c>
      <c r="G1118" s="21">
        <v>6.283200198E9</v>
      </c>
    </row>
    <row r="1119" ht="22.5" customHeight="1">
      <c r="A1119" s="22" t="s">
        <v>232</v>
      </c>
      <c r="B1119" s="23" t="s">
        <v>229</v>
      </c>
      <c r="C1119" s="24" t="s">
        <v>233</v>
      </c>
      <c r="D1119" s="23" t="s">
        <v>10112</v>
      </c>
      <c r="E1119" s="23" t="s">
        <v>219</v>
      </c>
      <c r="F1119" s="23" t="s">
        <v>105</v>
      </c>
      <c r="G1119" s="25">
        <v>9.872423375E9</v>
      </c>
    </row>
    <row r="1120" ht="22.5" customHeight="1">
      <c r="A1120" s="18" t="s">
        <v>10114</v>
      </c>
      <c r="B1120" s="19" t="s">
        <v>10115</v>
      </c>
      <c r="C1120" s="20" t="s">
        <v>10116</v>
      </c>
      <c r="D1120" s="19" t="s">
        <v>10117</v>
      </c>
      <c r="E1120" s="19" t="s">
        <v>7725</v>
      </c>
      <c r="F1120" s="19" t="s">
        <v>105</v>
      </c>
      <c r="G1120" s="21">
        <v>9.870486879E9</v>
      </c>
    </row>
    <row r="1121" ht="22.5" customHeight="1">
      <c r="A1121" s="22" t="s">
        <v>8616</v>
      </c>
      <c r="B1121" s="23" t="s">
        <v>8614</v>
      </c>
      <c r="C1121" s="24" t="s">
        <v>8617</v>
      </c>
      <c r="D1121" s="23" t="s">
        <v>10118</v>
      </c>
      <c r="E1121" s="23" t="s">
        <v>100</v>
      </c>
      <c r="F1121" s="23" t="s">
        <v>105</v>
      </c>
      <c r="G1121" s="25">
        <v>8.929556633E9</v>
      </c>
    </row>
    <row r="1122" ht="22.5" customHeight="1">
      <c r="A1122" s="18" t="s">
        <v>5545</v>
      </c>
      <c r="B1122" s="19" t="s">
        <v>5543</v>
      </c>
      <c r="C1122" s="20" t="s">
        <v>5546</v>
      </c>
      <c r="D1122" s="19" t="s">
        <v>10119</v>
      </c>
      <c r="E1122" s="19" t="s">
        <v>689</v>
      </c>
      <c r="F1122" s="19" t="s">
        <v>105</v>
      </c>
      <c r="G1122" s="21">
        <v>8.847397023E9</v>
      </c>
    </row>
    <row r="1123" ht="22.5" customHeight="1">
      <c r="A1123" s="22" t="s">
        <v>2956</v>
      </c>
      <c r="B1123" s="23" t="s">
        <v>10120</v>
      </c>
      <c r="C1123" s="24" t="s">
        <v>2957</v>
      </c>
      <c r="D1123" s="23" t="s">
        <v>10121</v>
      </c>
      <c r="E1123" s="23" t="s">
        <v>604</v>
      </c>
      <c r="F1123" s="23" t="s">
        <v>105</v>
      </c>
      <c r="G1123" s="25">
        <v>9.311821919E9</v>
      </c>
    </row>
    <row r="1124" ht="22.5" customHeight="1">
      <c r="A1124" s="18" t="s">
        <v>5906</v>
      </c>
      <c r="B1124" s="19" t="s">
        <v>5543</v>
      </c>
      <c r="C1124" s="20" t="s">
        <v>5907</v>
      </c>
      <c r="D1124" s="19" t="s">
        <v>10123</v>
      </c>
      <c r="E1124" s="19" t="s">
        <v>277</v>
      </c>
      <c r="F1124" s="19" t="s">
        <v>105</v>
      </c>
      <c r="G1124" s="21">
        <v>9.87281104E9</v>
      </c>
    </row>
    <row r="1125" ht="22.5" customHeight="1">
      <c r="A1125" s="22" t="s">
        <v>5181</v>
      </c>
      <c r="B1125" s="23" t="s">
        <v>10124</v>
      </c>
      <c r="C1125" s="24" t="s">
        <v>2373</v>
      </c>
      <c r="D1125" s="23" t="s">
        <v>10125</v>
      </c>
      <c r="E1125" s="23" t="s">
        <v>184</v>
      </c>
      <c r="F1125" s="23" t="s">
        <v>105</v>
      </c>
      <c r="G1125" s="25">
        <v>9.653762E9</v>
      </c>
    </row>
    <row r="1126" ht="22.5" customHeight="1">
      <c r="A1126" s="18" t="s">
        <v>3914</v>
      </c>
      <c r="B1126" s="19" t="s">
        <v>10126</v>
      </c>
      <c r="C1126" s="20" t="s">
        <v>3915</v>
      </c>
      <c r="D1126" s="19" t="s">
        <v>10127</v>
      </c>
      <c r="E1126" s="19" t="s">
        <v>282</v>
      </c>
      <c r="F1126" s="19" t="s">
        <v>105</v>
      </c>
      <c r="G1126" s="21">
        <v>8.36062011E9</v>
      </c>
    </row>
    <row r="1127" ht="22.5" customHeight="1">
      <c r="A1127" s="22" t="s">
        <v>10128</v>
      </c>
      <c r="B1127" s="23" t="s">
        <v>10129</v>
      </c>
      <c r="C1127" s="24" t="s">
        <v>10130</v>
      </c>
      <c r="D1127" s="23" t="s">
        <v>10131</v>
      </c>
      <c r="E1127" s="23" t="s">
        <v>384</v>
      </c>
      <c r="F1127" s="23" t="s">
        <v>105</v>
      </c>
      <c r="G1127" s="25">
        <v>9.811957638E9</v>
      </c>
    </row>
    <row r="1128" ht="22.5" customHeight="1">
      <c r="A1128" s="18" t="s">
        <v>5672</v>
      </c>
      <c r="B1128" s="19" t="s">
        <v>10133</v>
      </c>
      <c r="C1128" s="20" t="s">
        <v>5673</v>
      </c>
      <c r="D1128" s="19" t="s">
        <v>10134</v>
      </c>
      <c r="E1128" s="19" t="s">
        <v>1243</v>
      </c>
      <c r="F1128" s="19" t="s">
        <v>105</v>
      </c>
      <c r="G1128" s="21">
        <v>8.559083125E9</v>
      </c>
    </row>
    <row r="1129" ht="22.5" customHeight="1">
      <c r="A1129" s="22" t="s">
        <v>2852</v>
      </c>
      <c r="B1129" s="23" t="s">
        <v>10135</v>
      </c>
      <c r="C1129" s="24" t="s">
        <v>2853</v>
      </c>
      <c r="D1129" s="23" t="s">
        <v>10136</v>
      </c>
      <c r="E1129" s="23" t="s">
        <v>265</v>
      </c>
      <c r="F1129" s="23" t="s">
        <v>105</v>
      </c>
      <c r="G1129" s="57"/>
    </row>
    <row r="1130" ht="22.5" customHeight="1">
      <c r="A1130" s="18" t="s">
        <v>2333</v>
      </c>
      <c r="B1130" s="19" t="s">
        <v>10137</v>
      </c>
      <c r="C1130" s="20" t="s">
        <v>2335</v>
      </c>
      <c r="D1130" s="19" t="s">
        <v>10138</v>
      </c>
      <c r="E1130" s="19" t="s">
        <v>1873</v>
      </c>
      <c r="F1130" s="19" t="s">
        <v>105</v>
      </c>
      <c r="G1130" s="21">
        <v>7.018545461E9</v>
      </c>
    </row>
    <row r="1131" ht="22.5" customHeight="1">
      <c r="A1131" s="22" t="s">
        <v>6373</v>
      </c>
      <c r="B1131" s="23" t="s">
        <v>10139</v>
      </c>
      <c r="C1131" s="24" t="s">
        <v>6374</v>
      </c>
      <c r="D1131" s="23" t="s">
        <v>10140</v>
      </c>
      <c r="E1131" s="23" t="s">
        <v>2970</v>
      </c>
      <c r="F1131" s="23" t="s">
        <v>105</v>
      </c>
      <c r="G1131" s="25">
        <v>9.478600729E9</v>
      </c>
    </row>
    <row r="1132" ht="22.5" customHeight="1">
      <c r="A1132" s="18" t="s">
        <v>7544</v>
      </c>
      <c r="B1132" s="19" t="s">
        <v>7542</v>
      </c>
      <c r="C1132" s="20" t="s">
        <v>7545</v>
      </c>
      <c r="D1132" s="19" t="s">
        <v>10142</v>
      </c>
      <c r="E1132" s="19" t="s">
        <v>756</v>
      </c>
      <c r="F1132" s="19" t="s">
        <v>105</v>
      </c>
      <c r="G1132" s="21">
        <v>9.876143992E9</v>
      </c>
    </row>
    <row r="1133" ht="22.5" customHeight="1">
      <c r="A1133" s="22" t="s">
        <v>761</v>
      </c>
      <c r="B1133" s="23" t="s">
        <v>10143</v>
      </c>
      <c r="C1133" s="24" t="s">
        <v>762</v>
      </c>
      <c r="D1133" s="23" t="s">
        <v>10144</v>
      </c>
      <c r="E1133" s="23" t="s">
        <v>42</v>
      </c>
      <c r="F1133" s="23" t="s">
        <v>105</v>
      </c>
      <c r="G1133" s="25">
        <v>6.283118477E9</v>
      </c>
    </row>
    <row r="1134" ht="22.5" customHeight="1">
      <c r="A1134" s="18" t="s">
        <v>10145</v>
      </c>
      <c r="B1134" s="19" t="s">
        <v>10146</v>
      </c>
      <c r="C1134" s="20" t="s">
        <v>7815</v>
      </c>
      <c r="D1134" s="19" t="s">
        <v>10147</v>
      </c>
      <c r="E1134" s="19" t="s">
        <v>792</v>
      </c>
      <c r="F1134" s="19" t="s">
        <v>105</v>
      </c>
      <c r="G1134" s="21">
        <v>9.89719036E9</v>
      </c>
    </row>
    <row r="1135" ht="22.5" customHeight="1">
      <c r="A1135" s="22" t="s">
        <v>1678</v>
      </c>
      <c r="B1135" s="23" t="s">
        <v>10148</v>
      </c>
      <c r="C1135" s="24" t="s">
        <v>1679</v>
      </c>
      <c r="D1135" s="23" t="s">
        <v>10149</v>
      </c>
      <c r="E1135" s="23" t="s">
        <v>1653</v>
      </c>
      <c r="F1135" s="23" t="s">
        <v>105</v>
      </c>
      <c r="G1135" s="57"/>
    </row>
    <row r="1136" ht="22.5" customHeight="1">
      <c r="A1136" s="18" t="s">
        <v>8799</v>
      </c>
      <c r="B1136" s="19" t="s">
        <v>8797</v>
      </c>
      <c r="C1136" s="20" t="s">
        <v>8800</v>
      </c>
      <c r="D1136" s="19" t="s">
        <v>10151</v>
      </c>
      <c r="E1136" s="19" t="s">
        <v>1607</v>
      </c>
      <c r="F1136" s="19" t="s">
        <v>105</v>
      </c>
      <c r="G1136" s="21">
        <v>9.814188333E9</v>
      </c>
    </row>
    <row r="1137" ht="22.5" customHeight="1">
      <c r="A1137" s="22" t="s">
        <v>10152</v>
      </c>
      <c r="B1137" s="23" t="s">
        <v>10153</v>
      </c>
      <c r="C1137" s="24" t="s">
        <v>603</v>
      </c>
      <c r="D1137" s="23" t="s">
        <v>10154</v>
      </c>
      <c r="E1137" s="23" t="s">
        <v>604</v>
      </c>
      <c r="F1137" s="23" t="s">
        <v>105</v>
      </c>
      <c r="G1137" s="25">
        <v>9.115707294E9</v>
      </c>
    </row>
    <row r="1138" ht="22.5" customHeight="1">
      <c r="A1138" s="18" t="s">
        <v>6758</v>
      </c>
      <c r="B1138" s="19" t="s">
        <v>10155</v>
      </c>
      <c r="C1138" s="20" t="s">
        <v>6759</v>
      </c>
      <c r="D1138" s="19" t="s">
        <v>10156</v>
      </c>
      <c r="E1138" s="19" t="s">
        <v>469</v>
      </c>
      <c r="F1138" s="19" t="s">
        <v>105</v>
      </c>
      <c r="G1138" s="21">
        <v>9.41594784E9</v>
      </c>
    </row>
    <row r="1139" ht="22.5" customHeight="1">
      <c r="A1139" s="22" t="s">
        <v>10157</v>
      </c>
      <c r="B1139" s="23" t="s">
        <v>8301</v>
      </c>
      <c r="C1139" s="24" t="s">
        <v>8305</v>
      </c>
      <c r="D1139" s="23" t="s">
        <v>10158</v>
      </c>
      <c r="E1139" s="23" t="s">
        <v>231</v>
      </c>
      <c r="F1139" s="23" t="s">
        <v>105</v>
      </c>
      <c r="G1139" s="25">
        <v>9.667792671E9</v>
      </c>
    </row>
    <row r="1140" ht="22.5" customHeight="1">
      <c r="A1140" s="18" t="s">
        <v>4585</v>
      </c>
      <c r="B1140" s="19" t="s">
        <v>10160</v>
      </c>
      <c r="C1140" s="20" t="s">
        <v>4586</v>
      </c>
      <c r="D1140" s="19" t="s">
        <v>10161</v>
      </c>
      <c r="E1140" s="19" t="s">
        <v>238</v>
      </c>
      <c r="F1140" s="19" t="s">
        <v>105</v>
      </c>
      <c r="G1140" s="21">
        <v>8.708251317E9</v>
      </c>
    </row>
    <row r="1141" ht="22.5" customHeight="1">
      <c r="A1141" s="22" t="s">
        <v>5996</v>
      </c>
      <c r="B1141" s="23" t="s">
        <v>10162</v>
      </c>
      <c r="C1141" s="24" t="s">
        <v>5997</v>
      </c>
      <c r="D1141" s="23" t="s">
        <v>10163</v>
      </c>
      <c r="E1141" s="23" t="s">
        <v>287</v>
      </c>
      <c r="F1141" s="23" t="s">
        <v>105</v>
      </c>
      <c r="G1141" s="25">
        <v>7.352469548E9</v>
      </c>
    </row>
    <row r="1142" ht="22.5" customHeight="1">
      <c r="A1142" s="18" t="s">
        <v>10164</v>
      </c>
      <c r="B1142" s="19" t="s">
        <v>10165</v>
      </c>
      <c r="C1142" s="20" t="s">
        <v>7203</v>
      </c>
      <c r="D1142" s="19" t="s">
        <v>10166</v>
      </c>
      <c r="E1142" s="19" t="s">
        <v>1326</v>
      </c>
      <c r="F1142" s="19" t="s">
        <v>105</v>
      </c>
      <c r="G1142" s="21">
        <v>9.350396993E9</v>
      </c>
    </row>
    <row r="1143" ht="22.5" customHeight="1">
      <c r="A1143" s="22" t="s">
        <v>4723</v>
      </c>
      <c r="B1143" s="23" t="s">
        <v>10167</v>
      </c>
      <c r="C1143" s="24" t="s">
        <v>4724</v>
      </c>
      <c r="D1143" s="23" t="s">
        <v>10168</v>
      </c>
      <c r="E1143" s="23" t="s">
        <v>506</v>
      </c>
      <c r="F1143" s="23" t="s">
        <v>105</v>
      </c>
      <c r="G1143" s="25">
        <v>8.968241044E9</v>
      </c>
    </row>
    <row r="1144" ht="22.5" customHeight="1">
      <c r="A1144" s="18" t="s">
        <v>5049</v>
      </c>
      <c r="B1144" s="19" t="s">
        <v>10169</v>
      </c>
      <c r="C1144" s="20" t="s">
        <v>5051</v>
      </c>
      <c r="D1144" s="19" t="s">
        <v>10170</v>
      </c>
      <c r="E1144" s="19" t="s">
        <v>1064</v>
      </c>
      <c r="F1144" s="19" t="s">
        <v>105</v>
      </c>
      <c r="G1144" s="21">
        <v>9.031277334E9</v>
      </c>
    </row>
    <row r="1145" ht="22.5" customHeight="1">
      <c r="A1145" s="22" t="s">
        <v>2102</v>
      </c>
      <c r="B1145" s="23" t="s">
        <v>10171</v>
      </c>
      <c r="C1145" s="24" t="s">
        <v>2104</v>
      </c>
      <c r="D1145" s="23" t="s">
        <v>10172</v>
      </c>
      <c r="E1145" s="23" t="s">
        <v>17</v>
      </c>
      <c r="F1145" s="23" t="s">
        <v>105</v>
      </c>
      <c r="G1145" s="25">
        <v>8.146286323E9</v>
      </c>
    </row>
    <row r="1146" ht="22.5" customHeight="1">
      <c r="A1146" s="18" t="s">
        <v>694</v>
      </c>
      <c r="B1146" s="19" t="s">
        <v>692</v>
      </c>
      <c r="C1146" s="20" t="s">
        <v>695</v>
      </c>
      <c r="D1146" s="19" t="s">
        <v>10173</v>
      </c>
      <c r="E1146" s="19" t="s">
        <v>231</v>
      </c>
      <c r="F1146" s="19" t="s">
        <v>105</v>
      </c>
      <c r="G1146" s="21">
        <v>9.7174013E9</v>
      </c>
    </row>
    <row r="1147" ht="22.5" customHeight="1">
      <c r="A1147" s="22" t="s">
        <v>10175</v>
      </c>
      <c r="B1147" s="23" t="s">
        <v>10176</v>
      </c>
      <c r="C1147" s="24" t="s">
        <v>4250</v>
      </c>
      <c r="D1147" s="23" t="s">
        <v>10175</v>
      </c>
      <c r="E1147" s="23" t="s">
        <v>1737</v>
      </c>
      <c r="F1147" s="23" t="s">
        <v>105</v>
      </c>
      <c r="G1147" s="25">
        <v>6.28316566E9</v>
      </c>
    </row>
    <row r="1148" ht="22.5" customHeight="1">
      <c r="A1148" s="18" t="s">
        <v>10177</v>
      </c>
      <c r="B1148" s="19" t="s">
        <v>10178</v>
      </c>
      <c r="C1148" s="20" t="s">
        <v>10179</v>
      </c>
      <c r="D1148" s="19" t="s">
        <v>10180</v>
      </c>
      <c r="E1148" s="19" t="s">
        <v>384</v>
      </c>
      <c r="F1148" s="19" t="s">
        <v>105</v>
      </c>
      <c r="G1148" s="21">
        <v>8.459460207E9</v>
      </c>
    </row>
    <row r="1149" ht="22.5" customHeight="1">
      <c r="A1149" s="22" t="s">
        <v>6261</v>
      </c>
      <c r="B1149" s="23" t="s">
        <v>10181</v>
      </c>
      <c r="C1149" s="24" t="s">
        <v>6262</v>
      </c>
      <c r="D1149" s="23" t="s">
        <v>10182</v>
      </c>
      <c r="E1149" s="23" t="s">
        <v>255</v>
      </c>
      <c r="F1149" s="23" t="s">
        <v>105</v>
      </c>
      <c r="G1149" s="25">
        <v>6.284080096E9</v>
      </c>
    </row>
    <row r="1150" ht="22.5" customHeight="1">
      <c r="A1150" s="18" t="s">
        <v>4505</v>
      </c>
      <c r="B1150" s="19" t="s">
        <v>10183</v>
      </c>
      <c r="C1150" s="20" t="s">
        <v>4506</v>
      </c>
      <c r="D1150" s="19" t="s">
        <v>10184</v>
      </c>
      <c r="E1150" s="19" t="s">
        <v>617</v>
      </c>
      <c r="F1150" s="19" t="s">
        <v>105</v>
      </c>
      <c r="G1150" s="21">
        <v>7.530994642E9</v>
      </c>
    </row>
    <row r="1151" ht="22.5" customHeight="1">
      <c r="A1151" s="22" t="s">
        <v>10185</v>
      </c>
      <c r="B1151" s="23" t="s">
        <v>10186</v>
      </c>
      <c r="C1151" s="24" t="s">
        <v>934</v>
      </c>
      <c r="D1151" s="23" t="s">
        <v>10187</v>
      </c>
      <c r="E1151" s="23" t="s">
        <v>52</v>
      </c>
      <c r="F1151" s="23" t="s">
        <v>105</v>
      </c>
      <c r="G1151" s="25">
        <v>9.186092006E9</v>
      </c>
    </row>
    <row r="1152" ht="22.5" customHeight="1">
      <c r="A1152" s="18" t="s">
        <v>5445</v>
      </c>
      <c r="B1152" s="19" t="s">
        <v>10188</v>
      </c>
      <c r="C1152" s="20" t="s">
        <v>3076</v>
      </c>
      <c r="D1152" s="19" t="s">
        <v>10189</v>
      </c>
      <c r="E1152" s="19" t="s">
        <v>1622</v>
      </c>
      <c r="F1152" s="19" t="s">
        <v>105</v>
      </c>
      <c r="G1152" s="21">
        <v>9.896404887E9</v>
      </c>
    </row>
    <row r="1153" ht="22.5" customHeight="1">
      <c r="A1153" s="22" t="s">
        <v>4296</v>
      </c>
      <c r="B1153" s="23" t="s">
        <v>10190</v>
      </c>
      <c r="C1153" s="24" t="s">
        <v>4297</v>
      </c>
      <c r="D1153" s="23" t="s">
        <v>10191</v>
      </c>
      <c r="E1153" s="23" t="s">
        <v>1737</v>
      </c>
      <c r="F1153" s="23" t="s">
        <v>105</v>
      </c>
      <c r="G1153" s="25">
        <v>9.463112378E9</v>
      </c>
    </row>
    <row r="1154" ht="22.5" customHeight="1">
      <c r="A1154" s="18" t="s">
        <v>8150</v>
      </c>
      <c r="B1154" s="19" t="s">
        <v>10192</v>
      </c>
      <c r="C1154" s="20" t="s">
        <v>8151</v>
      </c>
      <c r="D1154" s="19" t="s">
        <v>10194</v>
      </c>
      <c r="E1154" s="19" t="s">
        <v>4200</v>
      </c>
      <c r="F1154" s="19" t="s">
        <v>105</v>
      </c>
      <c r="G1154" s="21">
        <v>9.041889215E9</v>
      </c>
    </row>
    <row r="1155" ht="22.5" customHeight="1">
      <c r="A1155" s="22" t="s">
        <v>10195</v>
      </c>
      <c r="B1155" s="23" t="s">
        <v>10196</v>
      </c>
      <c r="C1155" s="24" t="s">
        <v>7226</v>
      </c>
      <c r="D1155" s="23" t="s">
        <v>10197</v>
      </c>
      <c r="E1155" s="23" t="s">
        <v>1561</v>
      </c>
      <c r="F1155" s="23" t="s">
        <v>105</v>
      </c>
      <c r="G1155" s="25">
        <v>9.646332836E9</v>
      </c>
    </row>
    <row r="1156" ht="22.5" customHeight="1">
      <c r="A1156" s="18" t="s">
        <v>8315</v>
      </c>
      <c r="B1156" s="19" t="s">
        <v>8313</v>
      </c>
      <c r="C1156" s="20" t="s">
        <v>8316</v>
      </c>
      <c r="D1156" s="19" t="s">
        <v>10198</v>
      </c>
      <c r="E1156" s="19" t="s">
        <v>81</v>
      </c>
      <c r="F1156" s="19" t="s">
        <v>105</v>
      </c>
      <c r="G1156" s="21">
        <v>6.367833525E9</v>
      </c>
    </row>
    <row r="1157" ht="22.5" customHeight="1">
      <c r="A1157" s="22" t="s">
        <v>8004</v>
      </c>
      <c r="B1157" s="23" t="s">
        <v>10199</v>
      </c>
      <c r="C1157" s="24" t="s">
        <v>8005</v>
      </c>
      <c r="D1157" s="23" t="s">
        <v>10200</v>
      </c>
      <c r="E1157" s="23" t="s">
        <v>559</v>
      </c>
      <c r="F1157" s="23" t="s">
        <v>105</v>
      </c>
      <c r="G1157" s="25">
        <v>8.571031022E9</v>
      </c>
    </row>
    <row r="1158" ht="22.5" customHeight="1">
      <c r="A1158" s="18" t="s">
        <v>8142</v>
      </c>
      <c r="B1158" s="19" t="s">
        <v>10201</v>
      </c>
      <c r="C1158" s="20" t="s">
        <v>8143</v>
      </c>
      <c r="D1158" s="19" t="s">
        <v>10202</v>
      </c>
      <c r="E1158" s="19" t="s">
        <v>4200</v>
      </c>
      <c r="F1158" s="19" t="s">
        <v>105</v>
      </c>
      <c r="G1158" s="21">
        <v>9.872173553E9</v>
      </c>
    </row>
    <row r="1159" ht="22.5" customHeight="1">
      <c r="A1159" s="22" t="s">
        <v>8785</v>
      </c>
      <c r="B1159" s="23" t="s">
        <v>8783</v>
      </c>
      <c r="C1159" s="24" t="s">
        <v>8786</v>
      </c>
      <c r="D1159" s="23" t="s">
        <v>10203</v>
      </c>
      <c r="E1159" s="23" t="s">
        <v>1303</v>
      </c>
      <c r="F1159" s="23" t="s">
        <v>105</v>
      </c>
      <c r="G1159" s="25">
        <v>9.872317335E9</v>
      </c>
    </row>
    <row r="1160" ht="22.5" customHeight="1">
      <c r="A1160" s="18" t="s">
        <v>8284</v>
      </c>
      <c r="B1160" s="19" t="s">
        <v>10205</v>
      </c>
      <c r="C1160" s="20" t="s">
        <v>8285</v>
      </c>
      <c r="D1160" s="19" t="s">
        <v>10206</v>
      </c>
      <c r="E1160" s="19" t="s">
        <v>204</v>
      </c>
      <c r="F1160" s="19" t="s">
        <v>105</v>
      </c>
      <c r="G1160" s="21">
        <v>8.555089219E9</v>
      </c>
    </row>
    <row r="1161" ht="22.5" customHeight="1">
      <c r="A1161" s="22" t="s">
        <v>4883</v>
      </c>
      <c r="B1161" s="23" t="s">
        <v>10207</v>
      </c>
      <c r="C1161" s="24" t="s">
        <v>4884</v>
      </c>
      <c r="D1161" s="23" t="s">
        <v>10208</v>
      </c>
      <c r="E1161" s="23" t="s">
        <v>889</v>
      </c>
      <c r="F1161" s="23" t="s">
        <v>105</v>
      </c>
      <c r="G1161" s="25">
        <v>9.667054222E9</v>
      </c>
    </row>
    <row r="1162" ht="22.5" customHeight="1">
      <c r="A1162" s="18" t="s">
        <v>2666</v>
      </c>
      <c r="B1162" s="19" t="s">
        <v>10209</v>
      </c>
      <c r="C1162" s="20" t="s">
        <v>2667</v>
      </c>
      <c r="D1162" s="19" t="s">
        <v>10210</v>
      </c>
      <c r="E1162" s="19" t="s">
        <v>219</v>
      </c>
      <c r="F1162" s="19" t="s">
        <v>105</v>
      </c>
      <c r="G1162" s="21">
        <v>9.389342209E9</v>
      </c>
    </row>
    <row r="1163" ht="22.5" customHeight="1">
      <c r="A1163" s="22" t="s">
        <v>7581</v>
      </c>
      <c r="B1163" s="23" t="s">
        <v>7579</v>
      </c>
      <c r="C1163" s="24" t="s">
        <v>10211</v>
      </c>
      <c r="D1163" s="23" t="s">
        <v>10212</v>
      </c>
      <c r="E1163" s="23" t="s">
        <v>123</v>
      </c>
      <c r="F1163" s="23" t="s">
        <v>105</v>
      </c>
      <c r="G1163" s="25">
        <v>9.478469523E9</v>
      </c>
    </row>
    <row r="1164" ht="22.5" customHeight="1">
      <c r="A1164" s="18" t="s">
        <v>2985</v>
      </c>
      <c r="B1164" s="19" t="s">
        <v>10213</v>
      </c>
      <c r="C1164" s="20" t="s">
        <v>2986</v>
      </c>
      <c r="D1164" s="19" t="s">
        <v>10215</v>
      </c>
      <c r="E1164" s="19" t="s">
        <v>604</v>
      </c>
      <c r="F1164" s="19" t="s">
        <v>105</v>
      </c>
      <c r="G1164" s="21">
        <v>8.728051432E9</v>
      </c>
    </row>
    <row r="1165" ht="22.5" customHeight="1">
      <c r="A1165" s="22" t="s">
        <v>10216</v>
      </c>
      <c r="B1165" s="23" t="s">
        <v>5592</v>
      </c>
      <c r="C1165" s="24" t="s">
        <v>5595</v>
      </c>
      <c r="D1165" s="23" t="s">
        <v>10217</v>
      </c>
      <c r="E1165" s="23" t="s">
        <v>689</v>
      </c>
      <c r="F1165" s="23" t="s">
        <v>105</v>
      </c>
      <c r="G1165" s="25">
        <v>9.216366E9</v>
      </c>
    </row>
    <row r="1166" ht="22.5" customHeight="1">
      <c r="A1166" s="18" t="s">
        <v>3743</v>
      </c>
      <c r="B1166" s="19" t="s">
        <v>10218</v>
      </c>
      <c r="C1166" s="20" t="s">
        <v>3745</v>
      </c>
      <c r="D1166" s="19" t="s">
        <v>10219</v>
      </c>
      <c r="E1166" s="19" t="s">
        <v>227</v>
      </c>
      <c r="F1166" s="19" t="s">
        <v>105</v>
      </c>
      <c r="G1166" s="21">
        <v>7.71721995E9</v>
      </c>
    </row>
    <row r="1167" ht="22.5" customHeight="1">
      <c r="A1167" s="22" t="s">
        <v>7177</v>
      </c>
      <c r="B1167" s="23" t="s">
        <v>10220</v>
      </c>
      <c r="C1167" s="24" t="s">
        <v>7178</v>
      </c>
      <c r="D1167" s="23" t="s">
        <v>10221</v>
      </c>
      <c r="E1167" s="23" t="s">
        <v>1326</v>
      </c>
      <c r="F1167" s="23" t="s">
        <v>105</v>
      </c>
      <c r="G1167" s="25">
        <v>6.280940013E9</v>
      </c>
    </row>
    <row r="1168" ht="22.5" customHeight="1">
      <c r="A1168" s="18" t="s">
        <v>7710</v>
      </c>
      <c r="B1168" s="19" t="s">
        <v>7708</v>
      </c>
      <c r="C1168" s="20" t="s">
        <v>7712</v>
      </c>
      <c r="D1168" s="19" t="s">
        <v>10222</v>
      </c>
      <c r="E1168" s="19" t="s">
        <v>106</v>
      </c>
      <c r="F1168" s="19" t="s">
        <v>105</v>
      </c>
      <c r="G1168" s="21">
        <v>9.815351242E9</v>
      </c>
    </row>
    <row r="1169" ht="22.5" customHeight="1">
      <c r="A1169" s="22" t="s">
        <v>1287</v>
      </c>
      <c r="B1169" s="23" t="s">
        <v>10224</v>
      </c>
      <c r="C1169" s="24" t="s">
        <v>1288</v>
      </c>
      <c r="D1169" s="23" t="s">
        <v>10225</v>
      </c>
      <c r="E1169" s="23" t="s">
        <v>1149</v>
      </c>
      <c r="F1169" s="23" t="s">
        <v>105</v>
      </c>
      <c r="G1169" s="25">
        <v>8.146024965E9</v>
      </c>
    </row>
    <row r="1170" ht="22.5" customHeight="1">
      <c r="A1170" s="18" t="s">
        <v>3954</v>
      </c>
      <c r="B1170" s="19" t="s">
        <v>7708</v>
      </c>
      <c r="C1170" s="20" t="s">
        <v>3955</v>
      </c>
      <c r="D1170" s="19" t="s">
        <v>10226</v>
      </c>
      <c r="E1170" s="19" t="s">
        <v>314</v>
      </c>
      <c r="F1170" s="19" t="s">
        <v>105</v>
      </c>
      <c r="G1170" s="21">
        <v>7.973762038E9</v>
      </c>
    </row>
    <row r="1171" ht="22.5" customHeight="1">
      <c r="A1171" s="22" t="s">
        <v>10227</v>
      </c>
      <c r="B1171" s="23" t="s">
        <v>10228</v>
      </c>
      <c r="C1171" s="24" t="s">
        <v>3600</v>
      </c>
      <c r="D1171" s="23" t="s">
        <v>10229</v>
      </c>
      <c r="E1171" s="23" t="s">
        <v>543</v>
      </c>
      <c r="F1171" s="23" t="s">
        <v>105</v>
      </c>
      <c r="G1171" s="25">
        <v>9.817523899E9</v>
      </c>
    </row>
    <row r="1172" ht="22.5" customHeight="1">
      <c r="A1172" s="18" t="s">
        <v>436</v>
      </c>
      <c r="B1172" s="19" t="s">
        <v>434</v>
      </c>
      <c r="C1172" s="20" t="s">
        <v>437</v>
      </c>
      <c r="D1172" s="19" t="s">
        <v>10230</v>
      </c>
      <c r="E1172" s="19" t="s">
        <v>140</v>
      </c>
      <c r="F1172" s="19" t="s">
        <v>105</v>
      </c>
      <c r="G1172" s="21">
        <v>9.559103503E9</v>
      </c>
    </row>
    <row r="1173" ht="22.5" customHeight="1">
      <c r="A1173" s="22" t="s">
        <v>7464</v>
      </c>
      <c r="B1173" s="23" t="s">
        <v>10232</v>
      </c>
      <c r="C1173" s="24" t="s">
        <v>7465</v>
      </c>
      <c r="D1173" s="23" t="s">
        <v>10233</v>
      </c>
      <c r="E1173" s="23" t="s">
        <v>523</v>
      </c>
      <c r="F1173" s="23" t="s">
        <v>105</v>
      </c>
      <c r="G1173" s="25">
        <v>7.973373988E9</v>
      </c>
    </row>
    <row r="1174" ht="22.5" customHeight="1">
      <c r="A1174" s="18" t="s">
        <v>10234</v>
      </c>
      <c r="B1174" s="19" t="s">
        <v>10235</v>
      </c>
      <c r="C1174" s="20" t="s">
        <v>5930</v>
      </c>
      <c r="D1174" s="19" t="s">
        <v>10234</v>
      </c>
      <c r="E1174" s="19" t="s">
        <v>277</v>
      </c>
      <c r="F1174" s="19" t="s">
        <v>105</v>
      </c>
      <c r="G1174" s="21">
        <v>8.295705968E9</v>
      </c>
    </row>
    <row r="1175" ht="22.5" customHeight="1">
      <c r="A1175" s="22" t="s">
        <v>3485</v>
      </c>
      <c r="B1175" s="23" t="s">
        <v>10236</v>
      </c>
      <c r="C1175" s="24" t="s">
        <v>3486</v>
      </c>
      <c r="D1175" s="23" t="s">
        <v>10237</v>
      </c>
      <c r="E1175" s="23" t="s">
        <v>37</v>
      </c>
      <c r="F1175" s="23" t="s">
        <v>105</v>
      </c>
      <c r="G1175" s="25">
        <v>9.680819945E9</v>
      </c>
    </row>
    <row r="1176" ht="22.5" customHeight="1">
      <c r="A1176" s="18" t="s">
        <v>2543</v>
      </c>
      <c r="B1176" s="19" t="s">
        <v>10238</v>
      </c>
      <c r="C1176" s="20" t="s">
        <v>2544</v>
      </c>
      <c r="D1176" s="19" t="s">
        <v>10239</v>
      </c>
      <c r="E1176" s="19" t="s">
        <v>63</v>
      </c>
      <c r="F1176" s="19" t="s">
        <v>105</v>
      </c>
      <c r="G1176" s="21">
        <v>6.283098848E9</v>
      </c>
    </row>
    <row r="1177" ht="22.5" customHeight="1">
      <c r="A1177" s="22" t="s">
        <v>1716</v>
      </c>
      <c r="B1177" s="23" t="s">
        <v>10240</v>
      </c>
      <c r="C1177" s="24" t="s">
        <v>1717</v>
      </c>
      <c r="D1177" s="23" t="s">
        <v>1716</v>
      </c>
      <c r="E1177" s="23" t="s">
        <v>1653</v>
      </c>
      <c r="F1177" s="23" t="s">
        <v>105</v>
      </c>
      <c r="G1177" s="25">
        <v>6.395416598E9</v>
      </c>
    </row>
    <row r="1178" ht="22.5" customHeight="1">
      <c r="A1178" s="18" t="s">
        <v>126</v>
      </c>
      <c r="B1178" s="19" t="s">
        <v>10242</v>
      </c>
      <c r="C1178" s="20" t="s">
        <v>127</v>
      </c>
      <c r="D1178" s="19" t="s">
        <v>10243</v>
      </c>
      <c r="E1178" s="19" t="s">
        <v>81</v>
      </c>
      <c r="F1178" s="19" t="s">
        <v>105</v>
      </c>
      <c r="G1178" s="21">
        <v>8.427489653E9</v>
      </c>
    </row>
    <row r="1179" ht="22.5" customHeight="1">
      <c r="A1179" s="22" t="s">
        <v>2297</v>
      </c>
      <c r="B1179" s="23" t="s">
        <v>10244</v>
      </c>
      <c r="C1179" s="24" t="s">
        <v>2298</v>
      </c>
      <c r="D1179" s="23" t="s">
        <v>10245</v>
      </c>
      <c r="E1179" s="23" t="s">
        <v>1873</v>
      </c>
      <c r="F1179" s="23" t="s">
        <v>105</v>
      </c>
      <c r="G1179" s="25">
        <v>7.973319933E9</v>
      </c>
    </row>
    <row r="1180" ht="22.5" customHeight="1">
      <c r="A1180" s="18" t="s">
        <v>3565</v>
      </c>
      <c r="B1180" s="19" t="s">
        <v>10246</v>
      </c>
      <c r="C1180" s="20" t="s">
        <v>3550</v>
      </c>
      <c r="D1180" s="19" t="s">
        <v>10247</v>
      </c>
      <c r="E1180" s="19" t="s">
        <v>68</v>
      </c>
      <c r="F1180" s="19" t="s">
        <v>105</v>
      </c>
      <c r="G1180" s="21">
        <v>7.65784772E9</v>
      </c>
    </row>
    <row r="1181" ht="22.5" customHeight="1">
      <c r="A1181" s="22" t="s">
        <v>2230</v>
      </c>
      <c r="B1181" s="23" t="s">
        <v>10248</v>
      </c>
      <c r="C1181" s="24" t="s">
        <v>2231</v>
      </c>
      <c r="D1181" s="23" t="s">
        <v>10249</v>
      </c>
      <c r="E1181" s="23" t="s">
        <v>304</v>
      </c>
      <c r="F1181" s="23" t="s">
        <v>105</v>
      </c>
      <c r="G1181" s="25">
        <v>9.89966447E9</v>
      </c>
    </row>
    <row r="1182" ht="22.5" customHeight="1">
      <c r="A1182" s="18" t="s">
        <v>6852</v>
      </c>
      <c r="B1182" s="19" t="s">
        <v>10250</v>
      </c>
      <c r="C1182" s="20" t="s">
        <v>6854</v>
      </c>
      <c r="D1182" s="19" t="s">
        <v>10251</v>
      </c>
      <c r="E1182" s="19" t="s">
        <v>1946</v>
      </c>
      <c r="F1182" s="19" t="s">
        <v>105</v>
      </c>
      <c r="G1182" s="21">
        <v>9.696976026E9</v>
      </c>
    </row>
    <row r="1183" ht="22.5" customHeight="1">
      <c r="A1183" s="22" t="s">
        <v>8415</v>
      </c>
      <c r="B1183" s="23" t="s">
        <v>8413</v>
      </c>
      <c r="C1183" s="24" t="s">
        <v>8416</v>
      </c>
      <c r="D1183" s="23" t="s">
        <v>10253</v>
      </c>
      <c r="E1183" s="23" t="s">
        <v>231</v>
      </c>
      <c r="F1183" s="23" t="s">
        <v>105</v>
      </c>
      <c r="G1183" s="25">
        <v>6.280211646E9</v>
      </c>
    </row>
    <row r="1184" ht="22.5" customHeight="1">
      <c r="A1184" s="18" t="s">
        <v>4351</v>
      </c>
      <c r="B1184" s="19" t="s">
        <v>124</v>
      </c>
      <c r="C1184" s="20" t="s">
        <v>4352</v>
      </c>
      <c r="D1184" s="19" t="s">
        <v>10254</v>
      </c>
      <c r="E1184" s="19" t="s">
        <v>1462</v>
      </c>
      <c r="F1184" s="19" t="s">
        <v>105</v>
      </c>
      <c r="G1184" s="21">
        <v>8.872251221E9</v>
      </c>
    </row>
    <row r="1185" ht="22.5" customHeight="1">
      <c r="A1185" s="22" t="s">
        <v>5806</v>
      </c>
      <c r="B1185" s="23" t="s">
        <v>10255</v>
      </c>
      <c r="C1185" s="24" t="s">
        <v>5807</v>
      </c>
      <c r="D1185" s="23" t="s">
        <v>10256</v>
      </c>
      <c r="E1185" s="23" t="s">
        <v>42</v>
      </c>
      <c r="F1185" s="23" t="s">
        <v>105</v>
      </c>
      <c r="G1185" s="25">
        <v>9.463118327E9</v>
      </c>
    </row>
    <row r="1186" ht="22.5" customHeight="1">
      <c r="A1186" s="18" t="s">
        <v>1903</v>
      </c>
      <c r="B1186" s="19" t="s">
        <v>10257</v>
      </c>
      <c r="C1186" s="20" t="s">
        <v>1904</v>
      </c>
      <c r="D1186" s="19" t="s">
        <v>10258</v>
      </c>
      <c r="E1186" s="19" t="s">
        <v>75</v>
      </c>
      <c r="F1186" s="19" t="s">
        <v>105</v>
      </c>
      <c r="G1186" s="21">
        <v>9.779879077E9</v>
      </c>
    </row>
    <row r="1187" ht="22.5" customHeight="1">
      <c r="A1187" s="22" t="s">
        <v>3383</v>
      </c>
      <c r="B1187" s="23" t="s">
        <v>10259</v>
      </c>
      <c r="C1187" s="24" t="s">
        <v>3385</v>
      </c>
      <c r="D1187" s="23" t="s">
        <v>10260</v>
      </c>
      <c r="E1187" s="23" t="s">
        <v>37</v>
      </c>
      <c r="F1187" s="23" t="s">
        <v>105</v>
      </c>
      <c r="G1187" s="25">
        <v>9.778136395E9</v>
      </c>
    </row>
    <row r="1188" ht="22.5" customHeight="1">
      <c r="A1188" s="18" t="s">
        <v>6560</v>
      </c>
      <c r="B1188" s="19" t="s">
        <v>10261</v>
      </c>
      <c r="C1188" s="20" t="s">
        <v>6561</v>
      </c>
      <c r="D1188" s="19" t="s">
        <v>10262</v>
      </c>
      <c r="E1188" s="19" t="s">
        <v>47</v>
      </c>
      <c r="F1188" s="19" t="s">
        <v>105</v>
      </c>
      <c r="G1188" s="21">
        <v>7.40448335E9</v>
      </c>
    </row>
    <row r="1189" ht="22.5" customHeight="1">
      <c r="A1189" s="22" t="s">
        <v>10263</v>
      </c>
      <c r="B1189" s="23" t="s">
        <v>10264</v>
      </c>
      <c r="C1189" s="24" t="s">
        <v>4456</v>
      </c>
      <c r="D1189" s="23" t="s">
        <v>10266</v>
      </c>
      <c r="E1189" s="23" t="s">
        <v>617</v>
      </c>
      <c r="F1189" s="23" t="s">
        <v>105</v>
      </c>
      <c r="G1189" s="25">
        <v>9.910435467E9</v>
      </c>
    </row>
    <row r="1190" ht="22.5" customHeight="1">
      <c r="A1190" s="18" t="s">
        <v>10267</v>
      </c>
      <c r="B1190" s="19" t="s">
        <v>10268</v>
      </c>
      <c r="C1190" s="20" t="s">
        <v>167</v>
      </c>
      <c r="D1190" s="19" t="s">
        <v>10267</v>
      </c>
      <c r="E1190" s="19" t="s">
        <v>81</v>
      </c>
      <c r="F1190" s="19" t="s">
        <v>105</v>
      </c>
      <c r="G1190" s="21">
        <v>9.326632433E9</v>
      </c>
    </row>
    <row r="1191" ht="22.5" customHeight="1">
      <c r="A1191" s="22" t="s">
        <v>10269</v>
      </c>
      <c r="B1191" s="23" t="s">
        <v>10270</v>
      </c>
      <c r="C1191" s="24" t="s">
        <v>2776</v>
      </c>
      <c r="D1191" s="23" t="s">
        <v>10271</v>
      </c>
      <c r="E1191" s="23" t="s">
        <v>265</v>
      </c>
      <c r="F1191" s="23" t="s">
        <v>105</v>
      </c>
      <c r="G1191" s="25">
        <v>9.91458996E9</v>
      </c>
    </row>
    <row r="1192" ht="22.5" customHeight="1">
      <c r="A1192" s="18" t="s">
        <v>10272</v>
      </c>
      <c r="B1192" s="19" t="s">
        <v>10273</v>
      </c>
      <c r="C1192" s="20" t="s">
        <v>6416</v>
      </c>
      <c r="D1192" s="19" t="s">
        <v>10274</v>
      </c>
      <c r="E1192" s="19" t="s">
        <v>2970</v>
      </c>
      <c r="F1192" s="19" t="s">
        <v>105</v>
      </c>
      <c r="G1192" s="21">
        <v>7.814591603E9</v>
      </c>
    </row>
    <row r="1193" ht="22.5" customHeight="1">
      <c r="A1193" s="22" t="s">
        <v>10275</v>
      </c>
      <c r="B1193" s="23" t="s">
        <v>10276</v>
      </c>
      <c r="C1193" s="24" t="s">
        <v>5032</v>
      </c>
      <c r="D1193" s="23" t="s">
        <v>10277</v>
      </c>
      <c r="E1193" s="23" t="s">
        <v>1064</v>
      </c>
      <c r="F1193" s="23" t="s">
        <v>105</v>
      </c>
      <c r="G1193" s="25">
        <v>9.530687521E9</v>
      </c>
    </row>
    <row r="1194" ht="22.5" customHeight="1">
      <c r="A1194" s="18" t="s">
        <v>8089</v>
      </c>
      <c r="B1194" s="19" t="s">
        <v>10278</v>
      </c>
      <c r="C1194" s="20" t="s">
        <v>8090</v>
      </c>
      <c r="D1194" s="19" t="s">
        <v>10279</v>
      </c>
      <c r="E1194" s="19" t="s">
        <v>4200</v>
      </c>
      <c r="F1194" s="19" t="s">
        <v>105</v>
      </c>
      <c r="G1194" s="21">
        <v>9.988864003E9</v>
      </c>
    </row>
    <row r="1195" ht="22.5" customHeight="1">
      <c r="A1195" s="22" t="s">
        <v>5443</v>
      </c>
      <c r="B1195" s="23" t="s">
        <v>10280</v>
      </c>
      <c r="C1195" s="24" t="s">
        <v>3074</v>
      </c>
      <c r="D1195" s="23" t="s">
        <v>10281</v>
      </c>
      <c r="E1195" s="23" t="s">
        <v>1622</v>
      </c>
      <c r="F1195" s="23" t="s">
        <v>105</v>
      </c>
      <c r="G1195" s="25">
        <v>8.437521473E9</v>
      </c>
    </row>
    <row r="1196" ht="22.5" customHeight="1">
      <c r="A1196" s="18" t="s">
        <v>5790</v>
      </c>
      <c r="B1196" s="19" t="s">
        <v>10283</v>
      </c>
      <c r="C1196" s="20" t="s">
        <v>5791</v>
      </c>
      <c r="D1196" s="19" t="s">
        <v>10284</v>
      </c>
      <c r="E1196" s="19" t="s">
        <v>42</v>
      </c>
      <c r="F1196" s="19" t="s">
        <v>105</v>
      </c>
      <c r="G1196" s="21">
        <v>9.32419062E9</v>
      </c>
    </row>
    <row r="1197" ht="22.5" customHeight="1">
      <c r="A1197" s="22" t="s">
        <v>8177</v>
      </c>
      <c r="B1197" s="23" t="s">
        <v>10285</v>
      </c>
      <c r="C1197" s="24" t="s">
        <v>8178</v>
      </c>
      <c r="D1197" s="23" t="s">
        <v>10286</v>
      </c>
      <c r="E1197" s="23" t="s">
        <v>1379</v>
      </c>
      <c r="F1197" s="23" t="s">
        <v>105</v>
      </c>
      <c r="G1197" s="25">
        <v>9.137105525E9</v>
      </c>
    </row>
    <row r="1198" ht="22.5" customHeight="1">
      <c r="A1198" s="18" t="s">
        <v>10287</v>
      </c>
      <c r="B1198" s="19" t="s">
        <v>10288</v>
      </c>
      <c r="C1198" s="20" t="s">
        <v>10289</v>
      </c>
      <c r="D1198" s="19" t="s">
        <v>10287</v>
      </c>
      <c r="E1198" s="19" t="s">
        <v>384</v>
      </c>
      <c r="F1198" s="19" t="s">
        <v>105</v>
      </c>
      <c r="G1198" s="21">
        <v>6.2849031E9</v>
      </c>
    </row>
    <row r="1199" ht="22.5" customHeight="1">
      <c r="A1199" s="22" t="s">
        <v>6775</v>
      </c>
      <c r="B1199" s="23" t="s">
        <v>10290</v>
      </c>
      <c r="C1199" s="24" t="s">
        <v>6776</v>
      </c>
      <c r="D1199" s="23" t="s">
        <v>10291</v>
      </c>
      <c r="E1199" s="23" t="s">
        <v>469</v>
      </c>
      <c r="F1199" s="23" t="s">
        <v>105</v>
      </c>
      <c r="G1199" s="25">
        <v>9.65039465E9</v>
      </c>
    </row>
    <row r="1200" ht="22.5" customHeight="1">
      <c r="A1200" s="18" t="s">
        <v>10292</v>
      </c>
      <c r="B1200" s="19" t="s">
        <v>10293</v>
      </c>
      <c r="C1200" s="20" t="s">
        <v>2007</v>
      </c>
      <c r="D1200" s="19" t="s">
        <v>10294</v>
      </c>
      <c r="E1200" s="19" t="s">
        <v>17</v>
      </c>
      <c r="F1200" s="19" t="s">
        <v>105</v>
      </c>
      <c r="G1200" s="21">
        <v>9.872696111E9</v>
      </c>
    </row>
    <row r="1201" ht="22.5" customHeight="1">
      <c r="A1201" s="22" t="s">
        <v>6216</v>
      </c>
      <c r="B1201" s="23" t="s">
        <v>10296</v>
      </c>
      <c r="C1201" s="24" t="s">
        <v>6217</v>
      </c>
      <c r="D1201" s="23" t="s">
        <v>10297</v>
      </c>
      <c r="E1201" s="23" t="s">
        <v>1002</v>
      </c>
      <c r="F1201" s="23" t="s">
        <v>105</v>
      </c>
      <c r="G1201" s="25">
        <v>8.360631389E9</v>
      </c>
    </row>
    <row r="1202" ht="22.5" customHeight="1">
      <c r="A1202" s="18" t="s">
        <v>10298</v>
      </c>
      <c r="B1202" s="19" t="s">
        <v>10299</v>
      </c>
      <c r="C1202" s="20" t="s">
        <v>2663</v>
      </c>
      <c r="D1202" s="19" t="s">
        <v>10298</v>
      </c>
      <c r="E1202" s="19" t="s">
        <v>1071</v>
      </c>
      <c r="F1202" s="19" t="s">
        <v>105</v>
      </c>
      <c r="G1202" s="21">
        <v>6.239275217E9</v>
      </c>
    </row>
    <row r="1203" ht="22.5" customHeight="1">
      <c r="A1203" s="22" t="s">
        <v>2086</v>
      </c>
      <c r="B1203" s="23" t="s">
        <v>10300</v>
      </c>
      <c r="C1203" s="24" t="s">
        <v>2087</v>
      </c>
      <c r="D1203" s="23" t="s">
        <v>10301</v>
      </c>
      <c r="E1203" s="23" t="s">
        <v>17</v>
      </c>
      <c r="F1203" s="23" t="s">
        <v>105</v>
      </c>
      <c r="G1203" s="25">
        <v>8.307573593E9</v>
      </c>
    </row>
    <row r="1204" ht="22.5" customHeight="1">
      <c r="A1204" s="18" t="s">
        <v>6247</v>
      </c>
      <c r="B1204" s="19" t="s">
        <v>10300</v>
      </c>
      <c r="C1204" s="20" t="s">
        <v>6249</v>
      </c>
      <c r="D1204" s="19" t="s">
        <v>10302</v>
      </c>
      <c r="E1204" s="19" t="s">
        <v>255</v>
      </c>
      <c r="F1204" s="19" t="s">
        <v>105</v>
      </c>
      <c r="G1204" s="21">
        <v>7.009023392E9</v>
      </c>
    </row>
    <row r="1205" ht="22.5" customHeight="1">
      <c r="A1205" s="22" t="s">
        <v>2632</v>
      </c>
      <c r="B1205" s="23" t="s">
        <v>10303</v>
      </c>
      <c r="C1205" s="24" t="s">
        <v>2633</v>
      </c>
      <c r="D1205" s="23" t="s">
        <v>10304</v>
      </c>
      <c r="E1205" s="23" t="s">
        <v>204</v>
      </c>
      <c r="F1205" s="23" t="s">
        <v>105</v>
      </c>
      <c r="G1205" s="25">
        <v>8.264672575E9</v>
      </c>
    </row>
    <row r="1206" ht="22.5" customHeight="1">
      <c r="A1206" s="18" t="s">
        <v>918</v>
      </c>
      <c r="B1206" s="19" t="s">
        <v>10306</v>
      </c>
      <c r="C1206" s="20" t="s">
        <v>919</v>
      </c>
      <c r="D1206" s="19" t="s">
        <v>10307</v>
      </c>
      <c r="E1206" s="19" t="s">
        <v>52</v>
      </c>
      <c r="F1206" s="19" t="s">
        <v>105</v>
      </c>
      <c r="G1206" s="21">
        <v>9.92994974E9</v>
      </c>
    </row>
    <row r="1207" ht="22.5" customHeight="1">
      <c r="A1207" s="22" t="s">
        <v>8540</v>
      </c>
      <c r="B1207" s="23" t="s">
        <v>8538</v>
      </c>
      <c r="C1207" s="24" t="s">
        <v>8541</v>
      </c>
      <c r="D1207" s="23" t="s">
        <v>10308</v>
      </c>
      <c r="E1207" s="23" t="s">
        <v>1303</v>
      </c>
      <c r="F1207" s="23" t="s">
        <v>105</v>
      </c>
      <c r="G1207" s="25">
        <v>6.39838232E9</v>
      </c>
    </row>
    <row r="1208" ht="22.5" customHeight="1">
      <c r="A1208" s="18" t="s">
        <v>7553</v>
      </c>
      <c r="B1208" s="19" t="s">
        <v>7551</v>
      </c>
      <c r="C1208" s="20" t="s">
        <v>7554</v>
      </c>
      <c r="D1208" s="19" t="s">
        <v>10309</v>
      </c>
      <c r="E1208" s="19" t="s">
        <v>756</v>
      </c>
      <c r="F1208" s="19" t="s">
        <v>105</v>
      </c>
      <c r="G1208" s="21">
        <v>8.360571148E9</v>
      </c>
    </row>
    <row r="1209" ht="22.5" customHeight="1">
      <c r="A1209" s="22" t="s">
        <v>7002</v>
      </c>
      <c r="B1209" s="23" t="s">
        <v>10310</v>
      </c>
      <c r="C1209" s="24" t="s">
        <v>7003</v>
      </c>
      <c r="D1209" s="23" t="s">
        <v>10311</v>
      </c>
      <c r="E1209" s="23" t="s">
        <v>3956</v>
      </c>
      <c r="F1209" s="23" t="s">
        <v>105</v>
      </c>
      <c r="G1209" s="25">
        <v>9.467880532E9</v>
      </c>
    </row>
    <row r="1210" ht="22.5" customHeight="1">
      <c r="A1210" s="18" t="s">
        <v>8455</v>
      </c>
      <c r="B1210" s="19" t="s">
        <v>8453</v>
      </c>
      <c r="C1210" s="20" t="s">
        <v>8457</v>
      </c>
      <c r="D1210" s="19" t="s">
        <v>10312</v>
      </c>
      <c r="E1210" s="19" t="s">
        <v>81</v>
      </c>
      <c r="F1210" s="19" t="s">
        <v>105</v>
      </c>
      <c r="G1210" s="21">
        <v>7.654283592E9</v>
      </c>
    </row>
    <row r="1211" ht="22.5" customHeight="1">
      <c r="A1211" s="22" t="s">
        <v>4926</v>
      </c>
      <c r="B1211" s="23" t="s">
        <v>10314</v>
      </c>
      <c r="C1211" s="24" t="s">
        <v>4927</v>
      </c>
      <c r="D1211" s="23" t="s">
        <v>10315</v>
      </c>
      <c r="E1211" s="23" t="s">
        <v>346</v>
      </c>
      <c r="F1211" s="23" t="s">
        <v>105</v>
      </c>
      <c r="G1211" s="25">
        <v>9.501938378E9</v>
      </c>
    </row>
    <row r="1212" ht="22.5" customHeight="1">
      <c r="A1212" s="18" t="s">
        <v>5177</v>
      </c>
      <c r="B1212" s="19" t="s">
        <v>10316</v>
      </c>
      <c r="C1212" s="20" t="s">
        <v>2366</v>
      </c>
      <c r="D1212" s="19" t="s">
        <v>10317</v>
      </c>
      <c r="E1212" s="19" t="s">
        <v>184</v>
      </c>
      <c r="F1212" s="19" t="s">
        <v>105</v>
      </c>
      <c r="G1212" s="21">
        <v>7.87850691E9</v>
      </c>
    </row>
    <row r="1213" ht="22.5" customHeight="1">
      <c r="A1213" s="22" t="s">
        <v>5040</v>
      </c>
      <c r="B1213" s="23" t="s">
        <v>10318</v>
      </c>
      <c r="C1213" s="24" t="s">
        <v>5041</v>
      </c>
      <c r="D1213" s="23" t="s">
        <v>10319</v>
      </c>
      <c r="E1213" s="23" t="s">
        <v>1064</v>
      </c>
      <c r="F1213" s="23" t="s">
        <v>105</v>
      </c>
      <c r="G1213" s="25">
        <v>9.456637137E9</v>
      </c>
    </row>
    <row r="1214" ht="22.5" customHeight="1">
      <c r="A1214" s="18" t="s">
        <v>10320</v>
      </c>
      <c r="B1214" s="19" t="s">
        <v>10321</v>
      </c>
      <c r="C1214" s="20" t="s">
        <v>3438</v>
      </c>
      <c r="D1214" s="19" t="s">
        <v>10322</v>
      </c>
      <c r="E1214" s="19" t="s">
        <v>68</v>
      </c>
      <c r="F1214" s="19" t="s">
        <v>105</v>
      </c>
      <c r="G1214" s="21">
        <v>7.017257905E9</v>
      </c>
    </row>
    <row r="1215" ht="22.5" customHeight="1">
      <c r="A1215" s="22" t="s">
        <v>6061</v>
      </c>
      <c r="B1215" s="23" t="s">
        <v>10324</v>
      </c>
      <c r="C1215" s="24" t="s">
        <v>6062</v>
      </c>
      <c r="D1215" s="23" t="s">
        <v>10325</v>
      </c>
      <c r="E1215" s="23" t="s">
        <v>287</v>
      </c>
      <c r="F1215" s="23" t="s">
        <v>105</v>
      </c>
      <c r="G1215" s="25">
        <v>6.239589462E9</v>
      </c>
    </row>
    <row r="1216" ht="22.5" customHeight="1">
      <c r="A1216" s="18" t="s">
        <v>643</v>
      </c>
      <c r="B1216" s="19" t="s">
        <v>641</v>
      </c>
      <c r="C1216" s="20" t="s">
        <v>644</v>
      </c>
      <c r="D1216" s="19" t="s">
        <v>10326</v>
      </c>
      <c r="E1216" s="19" t="s">
        <v>22</v>
      </c>
      <c r="F1216" s="19" t="s">
        <v>105</v>
      </c>
      <c r="G1216" s="21">
        <v>9.779627189E9</v>
      </c>
    </row>
    <row r="1217" ht="22.5" customHeight="1">
      <c r="A1217" s="22" t="s">
        <v>8460</v>
      </c>
      <c r="B1217" s="23" t="s">
        <v>8458</v>
      </c>
      <c r="C1217" s="24" t="s">
        <v>8461</v>
      </c>
      <c r="D1217" s="23" t="s">
        <v>10327</v>
      </c>
      <c r="E1217" s="23" t="s">
        <v>231</v>
      </c>
      <c r="F1217" s="23" t="s">
        <v>105</v>
      </c>
      <c r="G1217" s="25">
        <v>9.041240918E9</v>
      </c>
    </row>
    <row r="1218" ht="22.5" customHeight="1">
      <c r="A1218" s="18" t="s">
        <v>4042</v>
      </c>
      <c r="B1218" s="19" t="s">
        <v>10328</v>
      </c>
      <c r="C1218" s="20" t="s">
        <v>10329</v>
      </c>
      <c r="D1218" s="19" t="s">
        <v>10330</v>
      </c>
      <c r="E1218" s="19" t="s">
        <v>314</v>
      </c>
      <c r="F1218" s="19" t="s">
        <v>105</v>
      </c>
      <c r="G1218" s="21">
        <v>9.81144099E9</v>
      </c>
    </row>
    <row r="1219" ht="22.5" customHeight="1">
      <c r="A1219" s="22" t="s">
        <v>3713</v>
      </c>
      <c r="B1219" s="23" t="s">
        <v>10331</v>
      </c>
      <c r="C1219" s="24" t="s">
        <v>3714</v>
      </c>
      <c r="D1219" s="23" t="s">
        <v>10332</v>
      </c>
      <c r="E1219" s="23" t="s">
        <v>227</v>
      </c>
      <c r="F1219" s="23" t="s">
        <v>105</v>
      </c>
      <c r="G1219" s="25">
        <v>6.239411851E9</v>
      </c>
    </row>
    <row r="1220" ht="22.5" customHeight="1">
      <c r="A1220" s="18" t="s">
        <v>10334</v>
      </c>
      <c r="B1220" s="19" t="s">
        <v>10335</v>
      </c>
      <c r="C1220" s="20" t="s">
        <v>2256</v>
      </c>
      <c r="D1220" s="19" t="s">
        <v>10336</v>
      </c>
      <c r="E1220" s="19" t="s">
        <v>219</v>
      </c>
      <c r="F1220" s="19" t="s">
        <v>105</v>
      </c>
      <c r="G1220" s="21">
        <v>9.781200057E9</v>
      </c>
    </row>
    <row r="1221" ht="22.5" customHeight="1">
      <c r="A1221" s="22" t="s">
        <v>8389</v>
      </c>
      <c r="B1221" s="23" t="s">
        <v>8387</v>
      </c>
      <c r="C1221" s="24" t="s">
        <v>8390</v>
      </c>
      <c r="D1221" s="23" t="s">
        <v>10337</v>
      </c>
      <c r="E1221" s="23" t="s">
        <v>57</v>
      </c>
      <c r="F1221" s="23" t="s">
        <v>105</v>
      </c>
      <c r="G1221" s="25">
        <v>9.621301621E9</v>
      </c>
    </row>
    <row r="1222" ht="22.5" customHeight="1">
      <c r="A1222" s="18" t="s">
        <v>754</v>
      </c>
      <c r="B1222" s="19" t="s">
        <v>10338</v>
      </c>
      <c r="C1222" s="20" t="s">
        <v>755</v>
      </c>
      <c r="D1222" s="19" t="s">
        <v>10339</v>
      </c>
      <c r="E1222" s="19" t="s">
        <v>756</v>
      </c>
      <c r="F1222" s="19" t="s">
        <v>105</v>
      </c>
      <c r="G1222" s="21">
        <v>9.877139486E9</v>
      </c>
    </row>
    <row r="1223" ht="22.5" customHeight="1">
      <c r="A1223" s="22" t="s">
        <v>156</v>
      </c>
      <c r="B1223" s="23" t="s">
        <v>10340</v>
      </c>
      <c r="C1223" s="24" t="s">
        <v>157</v>
      </c>
      <c r="D1223" s="23" t="s">
        <v>10341</v>
      </c>
      <c r="E1223" s="23" t="s">
        <v>81</v>
      </c>
      <c r="F1223" s="23" t="s">
        <v>105</v>
      </c>
      <c r="G1223" s="25">
        <v>7.494935877E9</v>
      </c>
    </row>
    <row r="1224" ht="22.5" customHeight="1">
      <c r="A1224" s="18" t="s">
        <v>10343</v>
      </c>
      <c r="B1224" s="19" t="s">
        <v>10344</v>
      </c>
      <c r="C1224" s="20" t="s">
        <v>2026</v>
      </c>
      <c r="D1224" s="19" t="s">
        <v>10345</v>
      </c>
      <c r="E1224" s="19" t="s">
        <v>17</v>
      </c>
      <c r="F1224" s="19" t="s">
        <v>105</v>
      </c>
      <c r="G1224" s="21">
        <v>9.041211543E9</v>
      </c>
    </row>
    <row r="1225" ht="22.5" customHeight="1">
      <c r="A1225" s="22" t="s">
        <v>6103</v>
      </c>
      <c r="B1225" s="23" t="s">
        <v>10346</v>
      </c>
      <c r="C1225" s="24" t="s">
        <v>6104</v>
      </c>
      <c r="D1225" s="23" t="s">
        <v>6103</v>
      </c>
      <c r="E1225" s="23" t="s">
        <v>287</v>
      </c>
      <c r="F1225" s="23" t="s">
        <v>105</v>
      </c>
      <c r="G1225" s="25">
        <v>8.146268172E9</v>
      </c>
    </row>
    <row r="1226" ht="22.5" customHeight="1">
      <c r="A1226" s="18" t="s">
        <v>1089</v>
      </c>
      <c r="B1226" s="19" t="s">
        <v>10347</v>
      </c>
      <c r="C1226" s="20" t="s">
        <v>1090</v>
      </c>
      <c r="D1226" s="19" t="s">
        <v>10348</v>
      </c>
      <c r="E1226" s="19" t="s">
        <v>140</v>
      </c>
      <c r="F1226" s="19" t="s">
        <v>105</v>
      </c>
      <c r="G1226" s="21">
        <v>8.595753505E9</v>
      </c>
    </row>
    <row r="1227" ht="22.5" customHeight="1">
      <c r="A1227" s="22" t="s">
        <v>6569</v>
      </c>
      <c r="B1227" s="23" t="s">
        <v>10349</v>
      </c>
      <c r="C1227" s="24" t="s">
        <v>6570</v>
      </c>
      <c r="D1227" s="23" t="s">
        <v>10350</v>
      </c>
      <c r="E1227" s="23" t="s">
        <v>47</v>
      </c>
      <c r="F1227" s="23" t="s">
        <v>105</v>
      </c>
      <c r="G1227" s="25">
        <v>9.034242885E9</v>
      </c>
    </row>
    <row r="1228" ht="22.5" customHeight="1">
      <c r="A1228" s="18" t="s">
        <v>6352</v>
      </c>
      <c r="B1228" s="19" t="s">
        <v>10190</v>
      </c>
      <c r="C1228" s="20" t="s">
        <v>6353</v>
      </c>
      <c r="D1228" s="19" t="s">
        <v>10351</v>
      </c>
      <c r="E1228" s="19" t="s">
        <v>255</v>
      </c>
      <c r="F1228" s="19" t="s">
        <v>105</v>
      </c>
      <c r="G1228" s="21">
        <v>9.052901E9</v>
      </c>
    </row>
    <row r="1229" ht="22.5" customHeight="1">
      <c r="A1229" s="22" t="s">
        <v>7611</v>
      </c>
      <c r="B1229" s="23" t="s">
        <v>7608</v>
      </c>
      <c r="C1229" s="24" t="s">
        <v>7612</v>
      </c>
      <c r="D1229" s="23" t="s">
        <v>10353</v>
      </c>
      <c r="E1229" s="23" t="s">
        <v>123</v>
      </c>
      <c r="F1229" s="23" t="s">
        <v>105</v>
      </c>
      <c r="G1229" s="25">
        <v>7.08735756E9</v>
      </c>
    </row>
    <row r="1230" ht="22.5" customHeight="1">
      <c r="A1230" s="18" t="s">
        <v>5395</v>
      </c>
      <c r="B1230" s="19" t="s">
        <v>10354</v>
      </c>
      <c r="C1230" s="20" t="s">
        <v>2946</v>
      </c>
      <c r="D1230" s="19" t="s">
        <v>10355</v>
      </c>
      <c r="E1230" s="19" t="s">
        <v>1622</v>
      </c>
      <c r="F1230" s="19" t="s">
        <v>105</v>
      </c>
      <c r="G1230" s="21">
        <v>8.360868906E9</v>
      </c>
    </row>
    <row r="1231" ht="22.5" customHeight="1">
      <c r="A1231" s="22" t="s">
        <v>3501</v>
      </c>
      <c r="B1231" s="23" t="s">
        <v>10356</v>
      </c>
      <c r="C1231" s="24" t="s">
        <v>3502</v>
      </c>
      <c r="D1231" s="23" t="s">
        <v>10357</v>
      </c>
      <c r="E1231" s="23" t="s">
        <v>68</v>
      </c>
      <c r="F1231" s="23" t="s">
        <v>105</v>
      </c>
      <c r="G1231" s="25">
        <v>8.953585777E9</v>
      </c>
    </row>
    <row r="1232" ht="22.5" customHeight="1">
      <c r="A1232" s="18" t="s">
        <v>3926</v>
      </c>
      <c r="B1232" s="19" t="s">
        <v>10358</v>
      </c>
      <c r="C1232" s="20" t="s">
        <v>3927</v>
      </c>
      <c r="D1232" s="19" t="s">
        <v>10359</v>
      </c>
      <c r="E1232" s="19" t="s">
        <v>282</v>
      </c>
      <c r="F1232" s="19" t="s">
        <v>105</v>
      </c>
      <c r="G1232" s="21">
        <v>8.826014608E9</v>
      </c>
    </row>
    <row r="1233" ht="22.5" customHeight="1">
      <c r="A1233" s="22" t="s">
        <v>2866</v>
      </c>
      <c r="B1233" s="23" t="s">
        <v>10360</v>
      </c>
      <c r="C1233" s="24" t="s">
        <v>2867</v>
      </c>
      <c r="D1233" s="23" t="s">
        <v>10361</v>
      </c>
      <c r="E1233" s="23" t="s">
        <v>265</v>
      </c>
      <c r="F1233" s="23" t="s">
        <v>105</v>
      </c>
      <c r="G1233" s="25">
        <v>8.307237199E9</v>
      </c>
    </row>
    <row r="1234" ht="22.5" customHeight="1">
      <c r="A1234" s="18" t="s">
        <v>4356</v>
      </c>
      <c r="B1234" s="19" t="s">
        <v>10363</v>
      </c>
      <c r="C1234" s="20" t="s">
        <v>4357</v>
      </c>
      <c r="D1234" s="19" t="s">
        <v>10364</v>
      </c>
      <c r="E1234" s="19" t="s">
        <v>1462</v>
      </c>
      <c r="F1234" s="19" t="s">
        <v>105</v>
      </c>
      <c r="G1234" s="21">
        <v>7.000391416E9</v>
      </c>
    </row>
    <row r="1235" ht="22.5" customHeight="1">
      <c r="A1235" s="22" t="s">
        <v>7912</v>
      </c>
      <c r="B1235" s="23" t="s">
        <v>7910</v>
      </c>
      <c r="C1235" s="24" t="s">
        <v>7913</v>
      </c>
      <c r="D1235" s="23" t="s">
        <v>10365</v>
      </c>
      <c r="E1235" s="23" t="s">
        <v>303</v>
      </c>
      <c r="F1235" s="23" t="s">
        <v>105</v>
      </c>
      <c r="G1235" s="25">
        <v>6.239717955E9</v>
      </c>
    </row>
    <row r="1236" ht="22.5" customHeight="1">
      <c r="A1236" s="18" t="s">
        <v>6738</v>
      </c>
      <c r="B1236" s="19" t="s">
        <v>10366</v>
      </c>
      <c r="C1236" s="20" t="s">
        <v>6739</v>
      </c>
      <c r="D1236" s="19" t="s">
        <v>10367</v>
      </c>
      <c r="E1236" s="19" t="s">
        <v>469</v>
      </c>
      <c r="F1236" s="19" t="s">
        <v>105</v>
      </c>
      <c r="G1236" s="21">
        <v>7.018734502E9</v>
      </c>
    </row>
    <row r="1237" ht="22.5" customHeight="1">
      <c r="A1237" s="22" t="s">
        <v>7189</v>
      </c>
      <c r="B1237" s="23" t="s">
        <v>10368</v>
      </c>
      <c r="C1237" s="24" t="s">
        <v>7190</v>
      </c>
      <c r="D1237" s="23" t="s">
        <v>10369</v>
      </c>
      <c r="E1237" s="23" t="s">
        <v>1326</v>
      </c>
      <c r="F1237" s="23" t="s">
        <v>105</v>
      </c>
      <c r="G1237" s="25">
        <v>8.273482006E9</v>
      </c>
    </row>
    <row r="1238" ht="22.5" customHeight="1">
      <c r="A1238" s="18" t="s">
        <v>10370</v>
      </c>
      <c r="B1238" s="19" t="s">
        <v>10371</v>
      </c>
      <c r="C1238" s="20" t="s">
        <v>10372</v>
      </c>
      <c r="D1238" s="19" t="s">
        <v>10374</v>
      </c>
      <c r="E1238" s="19" t="s">
        <v>384</v>
      </c>
      <c r="F1238" s="19" t="s">
        <v>105</v>
      </c>
      <c r="G1238" s="21">
        <v>9.056346477E9</v>
      </c>
    </row>
    <row r="1239" ht="22.5" customHeight="1">
      <c r="A1239" s="22" t="s">
        <v>10375</v>
      </c>
      <c r="B1239" s="23" t="s">
        <v>10376</v>
      </c>
      <c r="C1239" s="24" t="s">
        <v>1740</v>
      </c>
      <c r="D1239" s="23" t="s">
        <v>10375</v>
      </c>
      <c r="E1239" s="23" t="s">
        <v>1653</v>
      </c>
      <c r="F1239" s="23" t="s">
        <v>105</v>
      </c>
      <c r="G1239" s="57"/>
    </row>
    <row r="1240" ht="22.5" customHeight="1">
      <c r="A1240" s="18" t="s">
        <v>8555</v>
      </c>
      <c r="B1240" s="19" t="s">
        <v>8553</v>
      </c>
      <c r="C1240" s="20" t="s">
        <v>8556</v>
      </c>
      <c r="D1240" s="19" t="s">
        <v>10377</v>
      </c>
      <c r="E1240" s="19" t="s">
        <v>1607</v>
      </c>
      <c r="F1240" s="19" t="s">
        <v>105</v>
      </c>
      <c r="G1240" s="21">
        <v>9.868266701E9</v>
      </c>
    </row>
    <row r="1241" ht="22.5" customHeight="1">
      <c r="A1241" s="22" t="s">
        <v>8032</v>
      </c>
      <c r="B1241" s="23" t="s">
        <v>10378</v>
      </c>
      <c r="C1241" s="24" t="s">
        <v>8033</v>
      </c>
      <c r="D1241" s="23" t="s">
        <v>10379</v>
      </c>
      <c r="E1241" s="23" t="s">
        <v>559</v>
      </c>
      <c r="F1241" s="23" t="s">
        <v>105</v>
      </c>
      <c r="G1241" s="25">
        <v>9.103625747E9</v>
      </c>
    </row>
    <row r="1242" ht="22.5" customHeight="1">
      <c r="A1242" s="18" t="s">
        <v>5067</v>
      </c>
      <c r="B1242" s="19" t="s">
        <v>10380</v>
      </c>
      <c r="C1242" s="20" t="s">
        <v>5068</v>
      </c>
      <c r="D1242" s="19" t="s">
        <v>10381</v>
      </c>
      <c r="E1242" s="19" t="s">
        <v>1064</v>
      </c>
      <c r="F1242" s="19" t="s">
        <v>105</v>
      </c>
      <c r="G1242" s="21">
        <v>7.009021171E9</v>
      </c>
    </row>
    <row r="1243" ht="22.5" customHeight="1">
      <c r="A1243" s="22" t="s">
        <v>3748</v>
      </c>
      <c r="B1243" s="23" t="s">
        <v>10383</v>
      </c>
      <c r="C1243" s="24" t="s">
        <v>3749</v>
      </c>
      <c r="D1243" s="23" t="s">
        <v>10384</v>
      </c>
      <c r="E1243" s="23" t="s">
        <v>227</v>
      </c>
      <c r="F1243" s="23" t="s">
        <v>105</v>
      </c>
      <c r="G1243" s="25">
        <v>6.239562761E9</v>
      </c>
    </row>
    <row r="1244" ht="22.5" customHeight="1">
      <c r="A1244" s="18" t="s">
        <v>2518</v>
      </c>
      <c r="B1244" s="19" t="s">
        <v>10385</v>
      </c>
      <c r="C1244" s="20" t="s">
        <v>2519</v>
      </c>
      <c r="D1244" s="19" t="s">
        <v>10386</v>
      </c>
      <c r="E1244" s="19" t="s">
        <v>63</v>
      </c>
      <c r="F1244" s="19" t="s">
        <v>105</v>
      </c>
      <c r="G1244" s="21">
        <v>8.05444025E9</v>
      </c>
    </row>
    <row r="1245" ht="22.5" customHeight="1">
      <c r="A1245" s="22" t="s">
        <v>7218</v>
      </c>
      <c r="B1245" s="23" t="s">
        <v>10383</v>
      </c>
      <c r="C1245" s="24" t="s">
        <v>7219</v>
      </c>
      <c r="D1245" s="23" t="s">
        <v>10387</v>
      </c>
      <c r="E1245" s="23" t="s">
        <v>1561</v>
      </c>
      <c r="F1245" s="23" t="s">
        <v>105</v>
      </c>
      <c r="G1245" s="25">
        <v>7.696943386E9</v>
      </c>
    </row>
    <row r="1246" ht="22.5" customHeight="1">
      <c r="A1246" s="18" t="s">
        <v>6803</v>
      </c>
      <c r="B1246" s="19" t="s">
        <v>10388</v>
      </c>
      <c r="C1246" s="20" t="s">
        <v>6805</v>
      </c>
      <c r="D1246" s="19" t="s">
        <v>10389</v>
      </c>
      <c r="E1246" s="19" t="s">
        <v>469</v>
      </c>
      <c r="F1246" s="19" t="s">
        <v>105</v>
      </c>
      <c r="G1246" s="21">
        <v>9.155601955E9</v>
      </c>
    </row>
    <row r="1247" ht="22.5" customHeight="1">
      <c r="A1247" s="22" t="s">
        <v>5008</v>
      </c>
      <c r="B1247" s="23" t="s">
        <v>10390</v>
      </c>
      <c r="C1247" s="24" t="s">
        <v>5009</v>
      </c>
      <c r="D1247" s="23" t="s">
        <v>10392</v>
      </c>
      <c r="E1247" s="23" t="s">
        <v>1064</v>
      </c>
      <c r="F1247" s="23" t="s">
        <v>105</v>
      </c>
      <c r="G1247" s="25">
        <v>9.024091807E9</v>
      </c>
    </row>
    <row r="1248" ht="22.5" customHeight="1">
      <c r="A1248" s="18" t="s">
        <v>4567</v>
      </c>
      <c r="B1248" s="19" t="s">
        <v>10393</v>
      </c>
      <c r="C1248" s="20" t="s">
        <v>4568</v>
      </c>
      <c r="D1248" s="19" t="s">
        <v>10394</v>
      </c>
      <c r="E1248" s="19" t="s">
        <v>238</v>
      </c>
      <c r="F1248" s="19" t="s">
        <v>105</v>
      </c>
      <c r="G1248" s="21">
        <v>9.463727648E9</v>
      </c>
    </row>
    <row r="1249" ht="22.5" customHeight="1">
      <c r="A1249" s="22" t="s">
        <v>7880</v>
      </c>
      <c r="B1249" s="23" t="s">
        <v>10383</v>
      </c>
      <c r="C1249" s="24" t="s">
        <v>7881</v>
      </c>
      <c r="D1249" s="23" t="s">
        <v>10395</v>
      </c>
      <c r="E1249" s="23" t="s">
        <v>303</v>
      </c>
      <c r="F1249" s="23" t="s">
        <v>105</v>
      </c>
      <c r="G1249" s="25">
        <v>7.988412754E9</v>
      </c>
    </row>
    <row r="1250" ht="22.5" customHeight="1">
      <c r="A1250" s="18" t="s">
        <v>8251</v>
      </c>
      <c r="B1250" s="19" t="s">
        <v>10383</v>
      </c>
      <c r="C1250" s="20" t="s">
        <v>8252</v>
      </c>
      <c r="D1250" s="19" t="s">
        <v>10396</v>
      </c>
      <c r="E1250" s="19" t="s">
        <v>314</v>
      </c>
      <c r="F1250" s="19" t="s">
        <v>105</v>
      </c>
      <c r="G1250" s="21">
        <v>8.307445359E9</v>
      </c>
    </row>
    <row r="1251" ht="22.5" customHeight="1">
      <c r="A1251" s="22" t="s">
        <v>3825</v>
      </c>
      <c r="B1251" s="23" t="s">
        <v>10397</v>
      </c>
      <c r="C1251" s="24" t="s">
        <v>3826</v>
      </c>
      <c r="D1251" s="23" t="s">
        <v>10398</v>
      </c>
      <c r="E1251" s="23" t="s">
        <v>221</v>
      </c>
      <c r="F1251" s="23" t="s">
        <v>105</v>
      </c>
      <c r="G1251" s="25">
        <v>9.560106869E9</v>
      </c>
    </row>
    <row r="1252" ht="22.5" customHeight="1">
      <c r="A1252" s="18" t="s">
        <v>8822</v>
      </c>
      <c r="B1252" s="19" t="s">
        <v>8820</v>
      </c>
      <c r="C1252" s="20" t="s">
        <v>8823</v>
      </c>
      <c r="D1252" s="19" t="s">
        <v>10400</v>
      </c>
      <c r="E1252" s="19" t="s">
        <v>100</v>
      </c>
      <c r="F1252" s="19" t="s">
        <v>105</v>
      </c>
      <c r="G1252" s="21">
        <v>7.416599918E9</v>
      </c>
    </row>
    <row r="1253" ht="22.5" customHeight="1">
      <c r="A1253" s="22" t="s">
        <v>3651</v>
      </c>
      <c r="B1253" s="23" t="s">
        <v>10401</v>
      </c>
      <c r="C1253" s="24" t="s">
        <v>3652</v>
      </c>
      <c r="D1253" s="23" t="s">
        <v>10402</v>
      </c>
      <c r="E1253" s="23" t="s">
        <v>543</v>
      </c>
      <c r="F1253" s="23" t="s">
        <v>105</v>
      </c>
      <c r="G1253" s="25">
        <v>9.814659696E9</v>
      </c>
    </row>
    <row r="1254" ht="22.5" customHeight="1">
      <c r="A1254" s="18" t="s">
        <v>10403</v>
      </c>
      <c r="B1254" s="19" t="s">
        <v>10404</v>
      </c>
      <c r="C1254" s="20" t="s">
        <v>5885</v>
      </c>
      <c r="D1254" s="19" t="s">
        <v>10405</v>
      </c>
      <c r="E1254" s="19" t="s">
        <v>277</v>
      </c>
      <c r="F1254" s="19" t="s">
        <v>105</v>
      </c>
      <c r="G1254" s="21">
        <v>9.311166445E9</v>
      </c>
    </row>
    <row r="1255" ht="22.5" customHeight="1">
      <c r="A1255" s="22" t="s">
        <v>8480</v>
      </c>
      <c r="B1255" s="23" t="s">
        <v>8477</v>
      </c>
      <c r="C1255" s="24" t="s">
        <v>8481</v>
      </c>
      <c r="D1255" s="23" t="s">
        <v>10406</v>
      </c>
      <c r="E1255" s="23" t="s">
        <v>106</v>
      </c>
      <c r="F1255" s="23" t="s">
        <v>105</v>
      </c>
      <c r="G1255" s="25">
        <v>9.888682117E9</v>
      </c>
    </row>
    <row r="1256" ht="22.5" customHeight="1">
      <c r="A1256" s="18" t="s">
        <v>7858</v>
      </c>
      <c r="B1256" s="19" t="s">
        <v>566</v>
      </c>
      <c r="C1256" s="20" t="s">
        <v>7859</v>
      </c>
      <c r="D1256" s="19" t="s">
        <v>10408</v>
      </c>
      <c r="E1256" s="19" t="s">
        <v>303</v>
      </c>
      <c r="F1256" s="19" t="s">
        <v>105</v>
      </c>
      <c r="G1256" s="21">
        <v>9.501090131E9</v>
      </c>
    </row>
    <row r="1257" ht="22.5" customHeight="1">
      <c r="A1257" s="22" t="s">
        <v>393</v>
      </c>
      <c r="B1257" s="23" t="s">
        <v>566</v>
      </c>
      <c r="C1257" s="24" t="s">
        <v>394</v>
      </c>
      <c r="D1257" s="23" t="s">
        <v>10409</v>
      </c>
      <c r="E1257" s="23" t="s">
        <v>389</v>
      </c>
      <c r="F1257" s="23" t="s">
        <v>105</v>
      </c>
      <c r="G1257" s="25">
        <v>8.968239932E9</v>
      </c>
    </row>
    <row r="1258" ht="22.5" customHeight="1">
      <c r="A1258" s="18" t="s">
        <v>1434</v>
      </c>
      <c r="B1258" s="19" t="s">
        <v>10410</v>
      </c>
      <c r="C1258" s="20" t="s">
        <v>1435</v>
      </c>
      <c r="D1258" s="19" t="s">
        <v>10411</v>
      </c>
      <c r="E1258" s="19" t="s">
        <v>389</v>
      </c>
      <c r="F1258" s="19" t="s">
        <v>105</v>
      </c>
      <c r="G1258" s="21">
        <v>9.614596045E9</v>
      </c>
    </row>
    <row r="1259" ht="22.5" customHeight="1">
      <c r="A1259" s="22" t="s">
        <v>10412</v>
      </c>
      <c r="B1259" s="23" t="s">
        <v>10413</v>
      </c>
      <c r="C1259" s="24" t="s">
        <v>1134</v>
      </c>
      <c r="D1259" s="23" t="s">
        <v>10414</v>
      </c>
      <c r="E1259" s="23" t="s">
        <v>140</v>
      </c>
      <c r="F1259" s="23" t="s">
        <v>105</v>
      </c>
      <c r="G1259" s="25">
        <v>7.015295988E9</v>
      </c>
    </row>
    <row r="1260" ht="22.5" customHeight="1">
      <c r="A1260" s="18" t="s">
        <v>6204</v>
      </c>
      <c r="B1260" s="19" t="s">
        <v>10415</v>
      </c>
      <c r="C1260" s="20" t="s">
        <v>6205</v>
      </c>
      <c r="D1260" s="19" t="s">
        <v>10416</v>
      </c>
      <c r="E1260" s="19" t="s">
        <v>1002</v>
      </c>
      <c r="F1260" s="19" t="s">
        <v>105</v>
      </c>
      <c r="G1260" s="21">
        <v>6.284901408E9</v>
      </c>
    </row>
    <row r="1261" ht="22.5" customHeight="1">
      <c r="A1261" s="22" t="s">
        <v>2686</v>
      </c>
      <c r="B1261" s="23" t="s">
        <v>10417</v>
      </c>
      <c r="C1261" s="24" t="s">
        <v>2687</v>
      </c>
      <c r="D1261" s="23" t="s">
        <v>10418</v>
      </c>
      <c r="E1261" s="23" t="s">
        <v>265</v>
      </c>
      <c r="F1261" s="23" t="s">
        <v>105</v>
      </c>
      <c r="G1261" s="25">
        <v>8.126432706E9</v>
      </c>
    </row>
    <row r="1262" ht="22.5" customHeight="1">
      <c r="A1262" s="18" t="s">
        <v>568</v>
      </c>
      <c r="B1262" s="19" t="s">
        <v>566</v>
      </c>
      <c r="C1262" s="20" t="s">
        <v>569</v>
      </c>
      <c r="D1262" s="19" t="s">
        <v>10419</v>
      </c>
      <c r="E1262" s="19" t="s">
        <v>57</v>
      </c>
      <c r="F1262" s="19" t="s">
        <v>105</v>
      </c>
      <c r="G1262" s="21">
        <v>9.914045504E9</v>
      </c>
    </row>
    <row r="1263" ht="22.5" customHeight="1">
      <c r="A1263" s="22" t="s">
        <v>5681</v>
      </c>
      <c r="B1263" s="23" t="s">
        <v>10420</v>
      </c>
      <c r="C1263" s="24" t="s">
        <v>5682</v>
      </c>
      <c r="D1263" s="23" t="s">
        <v>10422</v>
      </c>
      <c r="E1263" s="23" t="s">
        <v>1243</v>
      </c>
      <c r="F1263" s="23" t="s">
        <v>105</v>
      </c>
      <c r="G1263" s="25">
        <v>7.814909421E9</v>
      </c>
    </row>
    <row r="1264" ht="22.5" customHeight="1">
      <c r="A1264" s="18" t="s">
        <v>6194</v>
      </c>
      <c r="B1264" s="19" t="s">
        <v>10423</v>
      </c>
      <c r="C1264" s="20" t="s">
        <v>6195</v>
      </c>
      <c r="D1264" s="19" t="s">
        <v>10424</v>
      </c>
      <c r="E1264" s="19" t="s">
        <v>1002</v>
      </c>
      <c r="F1264" s="19" t="s">
        <v>105</v>
      </c>
      <c r="G1264" s="21">
        <v>8.146563643E9</v>
      </c>
    </row>
    <row r="1265" ht="22.5" customHeight="1">
      <c r="A1265" s="22" t="s">
        <v>2944</v>
      </c>
      <c r="B1265" s="23" t="s">
        <v>10425</v>
      </c>
      <c r="C1265" s="24" t="s">
        <v>2945</v>
      </c>
      <c r="D1265" s="23" t="s">
        <v>10426</v>
      </c>
      <c r="E1265" s="23" t="s">
        <v>604</v>
      </c>
      <c r="F1265" s="23" t="s">
        <v>105</v>
      </c>
      <c r="G1265" s="25">
        <v>7.696250805E9</v>
      </c>
    </row>
    <row r="1266" ht="22.5" customHeight="1">
      <c r="A1266" s="18" t="s">
        <v>8665</v>
      </c>
      <c r="B1266" s="19" t="s">
        <v>8662</v>
      </c>
      <c r="C1266" s="20" t="s">
        <v>8667</v>
      </c>
      <c r="D1266" s="19" t="s">
        <v>10427</v>
      </c>
      <c r="E1266" s="19" t="s">
        <v>1303</v>
      </c>
      <c r="F1266" s="19" t="s">
        <v>105</v>
      </c>
      <c r="G1266" s="21">
        <v>9.465468813E9</v>
      </c>
    </row>
    <row r="1267" ht="22.5" customHeight="1">
      <c r="A1267" s="22" t="s">
        <v>6604</v>
      </c>
      <c r="B1267" s="23" t="s">
        <v>10428</v>
      </c>
      <c r="C1267" s="24" t="s">
        <v>6605</v>
      </c>
      <c r="D1267" s="23" t="s">
        <v>10429</v>
      </c>
      <c r="E1267" s="23" t="s">
        <v>47</v>
      </c>
      <c r="F1267" s="23" t="s">
        <v>105</v>
      </c>
      <c r="G1267" s="25">
        <v>9.814976117E9</v>
      </c>
    </row>
    <row r="1268" ht="22.5" customHeight="1">
      <c r="A1268" s="18" t="s">
        <v>40</v>
      </c>
      <c r="B1268" s="19" t="s">
        <v>10430</v>
      </c>
      <c r="C1268" s="20" t="s">
        <v>41</v>
      </c>
      <c r="D1268" s="19" t="s">
        <v>10431</v>
      </c>
      <c r="E1268" s="19" t="s">
        <v>42</v>
      </c>
      <c r="F1268" s="19" t="s">
        <v>105</v>
      </c>
      <c r="G1268" s="21">
        <v>6.280079916E9</v>
      </c>
    </row>
    <row r="1269" ht="22.5" customHeight="1">
      <c r="A1269" s="22" t="s">
        <v>8578</v>
      </c>
      <c r="B1269" s="23" t="s">
        <v>8576</v>
      </c>
      <c r="C1269" s="24" t="s">
        <v>8579</v>
      </c>
      <c r="D1269" s="23" t="s">
        <v>10432</v>
      </c>
      <c r="E1269" s="23" t="s">
        <v>1607</v>
      </c>
      <c r="F1269" s="23" t="s">
        <v>105</v>
      </c>
      <c r="G1269" s="25">
        <v>8.168823008E9</v>
      </c>
    </row>
    <row r="1270" ht="22.5" customHeight="1">
      <c r="A1270" s="18" t="s">
        <v>7278</v>
      </c>
      <c r="B1270" s="19" t="s">
        <v>10434</v>
      </c>
      <c r="C1270" s="20" t="s">
        <v>7279</v>
      </c>
      <c r="D1270" s="19" t="s">
        <v>10435</v>
      </c>
      <c r="E1270" s="19" t="s">
        <v>1561</v>
      </c>
      <c r="F1270" s="19" t="s">
        <v>105</v>
      </c>
      <c r="G1270" s="21">
        <v>7.34756905E9</v>
      </c>
    </row>
    <row r="1271" ht="22.5" customHeight="1">
      <c r="A1271" s="22" t="s">
        <v>4535</v>
      </c>
      <c r="B1271" s="23" t="s">
        <v>10436</v>
      </c>
      <c r="C1271" s="24" t="s">
        <v>4536</v>
      </c>
      <c r="D1271" s="23" t="s">
        <v>10437</v>
      </c>
      <c r="E1271" s="23" t="s">
        <v>238</v>
      </c>
      <c r="F1271" s="23" t="s">
        <v>105</v>
      </c>
      <c r="G1271" s="25">
        <v>7.347461396E9</v>
      </c>
    </row>
    <row r="1272" ht="22.5" customHeight="1">
      <c r="A1272" s="18" t="s">
        <v>1811</v>
      </c>
      <c r="B1272" s="19" t="s">
        <v>10438</v>
      </c>
      <c r="C1272" s="20" t="s">
        <v>1812</v>
      </c>
      <c r="D1272" s="19" t="s">
        <v>10439</v>
      </c>
      <c r="E1272" s="19" t="s">
        <v>1653</v>
      </c>
      <c r="F1272" s="19" t="s">
        <v>105</v>
      </c>
      <c r="G1272" s="21">
        <v>8.810574093E9</v>
      </c>
    </row>
    <row r="1273" ht="22.5" customHeight="1">
      <c r="A1273" s="22" t="s">
        <v>3830</v>
      </c>
      <c r="B1273" s="23" t="s">
        <v>10440</v>
      </c>
      <c r="C1273" s="24" t="s">
        <v>3832</v>
      </c>
      <c r="D1273" s="23" t="s">
        <v>10441</v>
      </c>
      <c r="E1273" s="23" t="s">
        <v>221</v>
      </c>
      <c r="F1273" s="23" t="s">
        <v>105</v>
      </c>
      <c r="G1273" s="25">
        <v>9.682597445E9</v>
      </c>
    </row>
    <row r="1274" ht="22.5" customHeight="1">
      <c r="A1274" s="18" t="s">
        <v>7558</v>
      </c>
      <c r="B1274" s="19" t="s">
        <v>7556</v>
      </c>
      <c r="C1274" s="20" t="s">
        <v>7559</v>
      </c>
      <c r="D1274" s="19" t="s">
        <v>10442</v>
      </c>
      <c r="E1274" s="19" t="s">
        <v>756</v>
      </c>
      <c r="F1274" s="19" t="s">
        <v>105</v>
      </c>
      <c r="G1274" s="21">
        <v>9.917000004E9</v>
      </c>
    </row>
    <row r="1275" ht="22.5" customHeight="1">
      <c r="A1275" s="22" t="s">
        <v>4283</v>
      </c>
      <c r="B1275" s="23" t="s">
        <v>10443</v>
      </c>
      <c r="C1275" s="24" t="s">
        <v>10444</v>
      </c>
      <c r="D1275" s="23" t="s">
        <v>10445</v>
      </c>
      <c r="E1275" s="23" t="s">
        <v>1462</v>
      </c>
      <c r="F1275" s="23" t="s">
        <v>105</v>
      </c>
      <c r="G1275" s="25">
        <v>8.54499922E9</v>
      </c>
    </row>
    <row r="1276" ht="22.5" customHeight="1">
      <c r="A1276" s="18" t="s">
        <v>1201</v>
      </c>
      <c r="B1276" s="19" t="s">
        <v>10446</v>
      </c>
      <c r="C1276" s="20" t="s">
        <v>1202</v>
      </c>
      <c r="D1276" s="19" t="s">
        <v>10447</v>
      </c>
      <c r="E1276" s="19" t="s">
        <v>1149</v>
      </c>
      <c r="F1276" s="19" t="s">
        <v>105</v>
      </c>
      <c r="G1276" s="21">
        <v>9.810779227E9</v>
      </c>
    </row>
    <row r="1277" ht="22.5" customHeight="1">
      <c r="A1277" s="22" t="s">
        <v>10449</v>
      </c>
      <c r="B1277" s="23" t="s">
        <v>10450</v>
      </c>
      <c r="C1277" s="24" t="s">
        <v>10451</v>
      </c>
      <c r="D1277" s="23" t="s">
        <v>10452</v>
      </c>
      <c r="E1277" s="23" t="s">
        <v>384</v>
      </c>
      <c r="F1277" s="23" t="s">
        <v>105</v>
      </c>
      <c r="G1277" s="25">
        <v>9.056837505E9</v>
      </c>
    </row>
    <row r="1278" ht="22.5" customHeight="1">
      <c r="A1278" s="18" t="s">
        <v>6763</v>
      </c>
      <c r="B1278" s="19" t="s">
        <v>10453</v>
      </c>
      <c r="C1278" s="20" t="s">
        <v>6764</v>
      </c>
      <c r="D1278" s="19" t="s">
        <v>10454</v>
      </c>
      <c r="E1278" s="19" t="s">
        <v>469</v>
      </c>
      <c r="F1278" s="19" t="s">
        <v>105</v>
      </c>
      <c r="G1278" s="21">
        <v>9.954196219E9</v>
      </c>
    </row>
    <row r="1279" ht="22.5" customHeight="1">
      <c r="A1279" s="22" t="s">
        <v>207</v>
      </c>
      <c r="B1279" s="23" t="s">
        <v>205</v>
      </c>
      <c r="C1279" s="24" t="s">
        <v>208</v>
      </c>
      <c r="D1279" s="23" t="s">
        <v>10455</v>
      </c>
      <c r="E1279" s="23" t="s">
        <v>81</v>
      </c>
      <c r="F1279" s="23" t="s">
        <v>105</v>
      </c>
      <c r="G1279" s="25">
        <v>9.877459102E9</v>
      </c>
    </row>
    <row r="1280" ht="22.5" customHeight="1">
      <c r="A1280" s="18" t="s">
        <v>3907</v>
      </c>
      <c r="B1280" s="19" t="s">
        <v>10456</v>
      </c>
      <c r="C1280" s="20" t="s">
        <v>3908</v>
      </c>
      <c r="D1280" s="19" t="s">
        <v>10457</v>
      </c>
      <c r="E1280" s="19" t="s">
        <v>282</v>
      </c>
      <c r="F1280" s="19" t="s">
        <v>105</v>
      </c>
      <c r="G1280" s="21">
        <v>7.710723456E9</v>
      </c>
    </row>
    <row r="1281" ht="22.5" customHeight="1">
      <c r="A1281" s="22" t="s">
        <v>8327</v>
      </c>
      <c r="B1281" s="23" t="s">
        <v>8325</v>
      </c>
      <c r="C1281" s="24" t="s">
        <v>8328</v>
      </c>
      <c r="D1281" s="23" t="s">
        <v>10458</v>
      </c>
      <c r="E1281" s="23" t="s">
        <v>1303</v>
      </c>
      <c r="F1281" s="23" t="s">
        <v>105</v>
      </c>
      <c r="G1281" s="25">
        <v>9.419129041E9</v>
      </c>
    </row>
    <row r="1282" ht="22.5" customHeight="1">
      <c r="A1282" s="18" t="s">
        <v>1830</v>
      </c>
      <c r="B1282" s="19" t="s">
        <v>10459</v>
      </c>
      <c r="C1282" s="20" t="s">
        <v>1831</v>
      </c>
      <c r="D1282" s="19" t="s">
        <v>10461</v>
      </c>
      <c r="E1282" s="19" t="s">
        <v>782</v>
      </c>
      <c r="F1282" s="19" t="s">
        <v>105</v>
      </c>
      <c r="G1282" s="21">
        <v>7.347535069E9</v>
      </c>
    </row>
    <row r="1283" ht="22.5" customHeight="1">
      <c r="A1283" s="22" t="s">
        <v>10462</v>
      </c>
      <c r="B1283" s="23" t="s">
        <v>10463</v>
      </c>
      <c r="C1283" s="24" t="s">
        <v>7851</v>
      </c>
      <c r="D1283" s="23" t="s">
        <v>10464</v>
      </c>
      <c r="E1283" s="23" t="s">
        <v>303</v>
      </c>
      <c r="F1283" s="23" t="s">
        <v>105</v>
      </c>
      <c r="G1283" s="25">
        <v>7.340795321E9</v>
      </c>
    </row>
    <row r="1284" ht="22.5" customHeight="1">
      <c r="A1284" s="18" t="s">
        <v>7825</v>
      </c>
      <c r="B1284" s="19" t="s">
        <v>10465</v>
      </c>
      <c r="C1284" s="20" t="s">
        <v>7826</v>
      </c>
      <c r="D1284" s="19" t="s">
        <v>10466</v>
      </c>
      <c r="E1284" s="19" t="s">
        <v>792</v>
      </c>
      <c r="F1284" s="19" t="s">
        <v>105</v>
      </c>
      <c r="G1284" s="21">
        <v>7.00926953E9</v>
      </c>
    </row>
    <row r="1285" ht="22.5" customHeight="1">
      <c r="A1285" s="22" t="s">
        <v>3451</v>
      </c>
      <c r="B1285" s="23" t="s">
        <v>10467</v>
      </c>
      <c r="C1285" s="24" t="s">
        <v>3452</v>
      </c>
      <c r="D1285" s="23" t="s">
        <v>10468</v>
      </c>
      <c r="E1285" s="23" t="s">
        <v>37</v>
      </c>
      <c r="F1285" s="23" t="s">
        <v>105</v>
      </c>
      <c r="G1285" s="25">
        <v>9.116663049E9</v>
      </c>
    </row>
    <row r="1286" ht="22.5" customHeight="1">
      <c r="A1286" s="18" t="s">
        <v>7230</v>
      </c>
      <c r="B1286" s="19" t="s">
        <v>10469</v>
      </c>
      <c r="C1286" s="20" t="s">
        <v>7231</v>
      </c>
      <c r="D1286" s="19" t="s">
        <v>10470</v>
      </c>
      <c r="E1286" s="19" t="s">
        <v>1561</v>
      </c>
      <c r="F1286" s="19" t="s">
        <v>105</v>
      </c>
      <c r="G1286" s="21">
        <v>7.082788825E9</v>
      </c>
    </row>
    <row r="1287" ht="22.5" customHeight="1">
      <c r="A1287" s="22" t="s">
        <v>7943</v>
      </c>
      <c r="B1287" s="23" t="s">
        <v>10471</v>
      </c>
      <c r="C1287" s="24" t="s">
        <v>7944</v>
      </c>
      <c r="D1287" s="23" t="s">
        <v>10472</v>
      </c>
      <c r="E1287" s="23" t="s">
        <v>303</v>
      </c>
      <c r="F1287" s="23" t="s">
        <v>105</v>
      </c>
      <c r="G1287" s="25">
        <v>9.773501621E9</v>
      </c>
    </row>
    <row r="1288" ht="22.5" customHeight="1">
      <c r="A1288" s="18" t="s">
        <v>5129</v>
      </c>
      <c r="B1288" s="19" t="s">
        <v>10474</v>
      </c>
      <c r="C1288" s="20" t="s">
        <v>2267</v>
      </c>
      <c r="D1288" s="19" t="s">
        <v>10475</v>
      </c>
      <c r="E1288" s="19" t="s">
        <v>219</v>
      </c>
      <c r="F1288" s="19" t="s">
        <v>105</v>
      </c>
      <c r="G1288" s="21">
        <v>8.360372327E9</v>
      </c>
    </row>
    <row r="1289" ht="22.5" customHeight="1">
      <c r="A1289" s="22" t="s">
        <v>8237</v>
      </c>
      <c r="B1289" s="23" t="s">
        <v>10476</v>
      </c>
      <c r="C1289" s="24" t="s">
        <v>8238</v>
      </c>
      <c r="D1289" s="23" t="s">
        <v>8237</v>
      </c>
      <c r="E1289" s="23" t="s">
        <v>5193</v>
      </c>
      <c r="F1289" s="23" t="s">
        <v>105</v>
      </c>
      <c r="G1289" s="25">
        <v>9.81869718E8</v>
      </c>
    </row>
    <row r="1290" ht="22.5" customHeight="1">
      <c r="A1290" s="18" t="s">
        <v>1616</v>
      </c>
      <c r="B1290" s="19" t="s">
        <v>10477</v>
      </c>
      <c r="C1290" s="20" t="s">
        <v>1617</v>
      </c>
      <c r="D1290" s="19" t="s">
        <v>10478</v>
      </c>
      <c r="E1290" s="19" t="s">
        <v>75</v>
      </c>
      <c r="F1290" s="19" t="s">
        <v>105</v>
      </c>
      <c r="G1290" s="21">
        <v>9.137818361E9</v>
      </c>
    </row>
    <row r="1291" ht="22.5" customHeight="1">
      <c r="A1291" s="22" t="s">
        <v>5981</v>
      </c>
      <c r="B1291" s="23" t="s">
        <v>10479</v>
      </c>
      <c r="C1291" s="24" t="s">
        <v>5982</v>
      </c>
      <c r="D1291" s="23" t="s">
        <v>10480</v>
      </c>
      <c r="E1291" s="23" t="s">
        <v>287</v>
      </c>
      <c r="F1291" s="23" t="s">
        <v>105</v>
      </c>
      <c r="G1291" s="25">
        <v>7.696661613E9</v>
      </c>
    </row>
    <row r="1292" ht="22.5" customHeight="1">
      <c r="A1292" s="18" t="s">
        <v>5081</v>
      </c>
      <c r="B1292" s="19" t="s">
        <v>10481</v>
      </c>
      <c r="C1292" s="20" t="s">
        <v>5082</v>
      </c>
      <c r="D1292" s="19" t="s">
        <v>10482</v>
      </c>
      <c r="E1292" s="19" t="s">
        <v>1064</v>
      </c>
      <c r="F1292" s="19" t="s">
        <v>105</v>
      </c>
      <c r="G1292" s="21">
        <v>7.696446649E9</v>
      </c>
    </row>
    <row r="1293" ht="22.5" customHeight="1">
      <c r="A1293" s="22" t="s">
        <v>7994</v>
      </c>
      <c r="B1293" s="23" t="s">
        <v>10483</v>
      </c>
      <c r="C1293" s="24" t="s">
        <v>7995</v>
      </c>
      <c r="D1293" s="23" t="s">
        <v>10484</v>
      </c>
      <c r="E1293" s="23" t="s">
        <v>559</v>
      </c>
      <c r="F1293" s="23" t="s">
        <v>105</v>
      </c>
      <c r="G1293" s="25">
        <v>9.418050679E9</v>
      </c>
    </row>
    <row r="1294" ht="22.5" customHeight="1">
      <c r="A1294" s="18" t="s">
        <v>7060</v>
      </c>
      <c r="B1294" s="19" t="s">
        <v>10486</v>
      </c>
      <c r="C1294" s="20" t="s">
        <v>7061</v>
      </c>
      <c r="D1294" s="19" t="s">
        <v>10487</v>
      </c>
      <c r="E1294" s="19" t="s">
        <v>3956</v>
      </c>
      <c r="F1294" s="19" t="s">
        <v>105</v>
      </c>
      <c r="G1294" s="21">
        <v>7.009918646E9</v>
      </c>
    </row>
    <row r="1295" ht="22.5" customHeight="1">
      <c r="A1295" s="22" t="s">
        <v>7960</v>
      </c>
      <c r="B1295" s="23" t="s">
        <v>10488</v>
      </c>
      <c r="C1295" s="24" t="s">
        <v>7961</v>
      </c>
      <c r="D1295" s="23" t="s">
        <v>10489</v>
      </c>
      <c r="E1295" s="23" t="s">
        <v>303</v>
      </c>
      <c r="F1295" s="23" t="s">
        <v>105</v>
      </c>
      <c r="G1295" s="25">
        <v>8.8260982E9</v>
      </c>
    </row>
    <row r="1296" ht="22.5" customHeight="1">
      <c r="A1296" s="18" t="s">
        <v>8211</v>
      </c>
      <c r="B1296" s="19" t="s">
        <v>10490</v>
      </c>
      <c r="C1296" s="20" t="s">
        <v>8212</v>
      </c>
      <c r="D1296" s="19" t="s">
        <v>10491</v>
      </c>
      <c r="E1296" s="19" t="s">
        <v>265</v>
      </c>
      <c r="F1296" s="19" t="s">
        <v>105</v>
      </c>
      <c r="G1296" s="21">
        <v>8.750202528E9</v>
      </c>
    </row>
    <row r="1297" ht="22.5" customHeight="1">
      <c r="A1297" s="22" t="s">
        <v>5192</v>
      </c>
      <c r="B1297" s="23" t="s">
        <v>10492</v>
      </c>
      <c r="C1297" s="24" t="s">
        <v>10493</v>
      </c>
      <c r="D1297" s="23" t="s">
        <v>10494</v>
      </c>
      <c r="E1297" s="23" t="s">
        <v>184</v>
      </c>
      <c r="F1297" s="23" t="s">
        <v>105</v>
      </c>
      <c r="G1297" s="25">
        <v>9.877389739E9</v>
      </c>
    </row>
    <row r="1298" ht="22.5" customHeight="1">
      <c r="A1298" s="18" t="s">
        <v>5459</v>
      </c>
      <c r="B1298" s="19" t="s">
        <v>10495</v>
      </c>
      <c r="C1298" s="20" t="s">
        <v>5460</v>
      </c>
      <c r="D1298" s="19" t="s">
        <v>10496</v>
      </c>
      <c r="E1298" s="19" t="s">
        <v>512</v>
      </c>
      <c r="F1298" s="19" t="s">
        <v>105</v>
      </c>
      <c r="G1298" s="21">
        <v>7.973854962E9</v>
      </c>
    </row>
    <row r="1299" ht="22.5" customHeight="1">
      <c r="A1299" s="22" t="s">
        <v>7905</v>
      </c>
      <c r="B1299" s="23" t="s">
        <v>7903</v>
      </c>
      <c r="C1299" s="24" t="s">
        <v>7907</v>
      </c>
      <c r="D1299" s="23" t="s">
        <v>10498</v>
      </c>
      <c r="E1299" s="23" t="s">
        <v>4200</v>
      </c>
      <c r="F1299" s="23" t="s">
        <v>105</v>
      </c>
      <c r="G1299" s="25">
        <v>9.896655105E9</v>
      </c>
    </row>
    <row r="1300" ht="22.5" customHeight="1">
      <c r="A1300" s="18" t="s">
        <v>4337</v>
      </c>
      <c r="B1300" s="19" t="s">
        <v>10499</v>
      </c>
      <c r="C1300" s="20" t="s">
        <v>4338</v>
      </c>
      <c r="D1300" s="19" t="s">
        <v>10500</v>
      </c>
      <c r="E1300" s="19" t="s">
        <v>1462</v>
      </c>
      <c r="F1300" s="19" t="s">
        <v>105</v>
      </c>
      <c r="G1300" s="21">
        <v>8.826015339E9</v>
      </c>
    </row>
    <row r="1301" ht="22.5" customHeight="1">
      <c r="A1301" s="30" t="s">
        <v>8256</v>
      </c>
      <c r="B1301" s="23" t="s">
        <v>10501</v>
      </c>
      <c r="C1301" s="24" t="s">
        <v>10501</v>
      </c>
      <c r="D1301" s="23" t="s">
        <v>10502</v>
      </c>
      <c r="E1301" s="23" t="s">
        <v>63</v>
      </c>
      <c r="F1301" s="23" t="s">
        <v>105</v>
      </c>
      <c r="G1301" s="25">
        <v>7.303179911E9</v>
      </c>
    </row>
    <row r="1302" ht="22.5" customHeight="1">
      <c r="A1302" s="18" t="s">
        <v>10503</v>
      </c>
      <c r="B1302" s="19" t="s">
        <v>10501</v>
      </c>
      <c r="C1302" s="20" t="s">
        <v>8257</v>
      </c>
      <c r="D1302" s="19" t="s">
        <v>10502</v>
      </c>
      <c r="E1302" s="19" t="s">
        <v>63</v>
      </c>
      <c r="F1302" s="19" t="s">
        <v>105</v>
      </c>
      <c r="G1302" s="21">
        <v>7.303179911E9</v>
      </c>
    </row>
    <row r="1303" ht="22.5" customHeight="1">
      <c r="A1303" s="22" t="s">
        <v>3897</v>
      </c>
      <c r="B1303" s="23" t="s">
        <v>10504</v>
      </c>
      <c r="C1303" s="24" t="s">
        <v>3898</v>
      </c>
      <c r="D1303" s="23" t="s">
        <v>10505</v>
      </c>
      <c r="E1303" s="23" t="s">
        <v>282</v>
      </c>
      <c r="F1303" s="23" t="s">
        <v>105</v>
      </c>
      <c r="G1303" s="25">
        <v>6.284855055E9</v>
      </c>
    </row>
    <row r="1304" ht="22.5" customHeight="1">
      <c r="A1304" s="18" t="s">
        <v>7080</v>
      </c>
      <c r="B1304" s="19" t="s">
        <v>10506</v>
      </c>
      <c r="C1304" s="20" t="s">
        <v>7081</v>
      </c>
      <c r="D1304" s="19" t="s">
        <v>10507</v>
      </c>
      <c r="E1304" s="19" t="s">
        <v>3956</v>
      </c>
      <c r="F1304" s="19" t="s">
        <v>105</v>
      </c>
      <c r="G1304" s="21">
        <v>7.087198233E9</v>
      </c>
    </row>
    <row r="1305" ht="22.5" customHeight="1">
      <c r="A1305" s="22" t="s">
        <v>4327</v>
      </c>
      <c r="B1305" s="23" t="s">
        <v>10508</v>
      </c>
      <c r="C1305" s="24" t="s">
        <v>4328</v>
      </c>
      <c r="D1305" s="23" t="s">
        <v>10510</v>
      </c>
      <c r="E1305" s="23" t="s">
        <v>282</v>
      </c>
      <c r="F1305" s="23" t="s">
        <v>105</v>
      </c>
      <c r="G1305" s="25">
        <v>7.380028707E9</v>
      </c>
    </row>
    <row r="1306" ht="22.5" customHeight="1">
      <c r="A1306" s="18" t="s">
        <v>4833</v>
      </c>
      <c r="B1306" s="19" t="s">
        <v>10511</v>
      </c>
      <c r="C1306" s="20" t="s">
        <v>4834</v>
      </c>
      <c r="D1306" s="19" t="s">
        <v>10512</v>
      </c>
      <c r="E1306" s="19" t="s">
        <v>889</v>
      </c>
      <c r="F1306" s="19" t="s">
        <v>105</v>
      </c>
      <c r="G1306" s="21">
        <v>7.906624401E9</v>
      </c>
    </row>
    <row r="1307" ht="22.5" customHeight="1">
      <c r="A1307" s="22" t="s">
        <v>10513</v>
      </c>
      <c r="B1307" s="23" t="s">
        <v>10514</v>
      </c>
      <c r="C1307" s="24" t="s">
        <v>3168</v>
      </c>
      <c r="D1307" s="23" t="s">
        <v>10515</v>
      </c>
      <c r="E1307" s="23" t="s">
        <v>30</v>
      </c>
      <c r="F1307" s="23" t="s">
        <v>105</v>
      </c>
      <c r="G1307" s="25">
        <v>9.417120138E9</v>
      </c>
    </row>
    <row r="1308" ht="22.5" customHeight="1">
      <c r="A1308" s="18" t="s">
        <v>217</v>
      </c>
      <c r="B1308" s="19" t="s">
        <v>215</v>
      </c>
      <c r="C1308" s="20" t="s">
        <v>218</v>
      </c>
      <c r="D1308" s="19" t="s">
        <v>10516</v>
      </c>
      <c r="E1308" s="19" t="s">
        <v>1737</v>
      </c>
      <c r="F1308" s="19" t="s">
        <v>105</v>
      </c>
      <c r="G1308" s="21">
        <v>8.595791148E9</v>
      </c>
    </row>
    <row r="1309" ht="22.5" customHeight="1">
      <c r="A1309" s="22" t="s">
        <v>3153</v>
      </c>
      <c r="B1309" s="23" t="s">
        <v>10517</v>
      </c>
      <c r="C1309" s="24" t="s">
        <v>3154</v>
      </c>
      <c r="D1309" s="23" t="s">
        <v>10518</v>
      </c>
      <c r="E1309" s="23" t="s">
        <v>30</v>
      </c>
      <c r="F1309" s="23" t="s">
        <v>105</v>
      </c>
      <c r="G1309" s="25">
        <v>9.87220691E9</v>
      </c>
    </row>
    <row r="1310" ht="22.5" customHeight="1">
      <c r="A1310" s="18" t="s">
        <v>3430</v>
      </c>
      <c r="B1310" s="19" t="s">
        <v>10519</v>
      </c>
      <c r="C1310" s="20" t="s">
        <v>3431</v>
      </c>
      <c r="D1310" s="19" t="s">
        <v>10520</v>
      </c>
      <c r="E1310" s="19" t="s">
        <v>37</v>
      </c>
      <c r="F1310" s="19" t="s">
        <v>105</v>
      </c>
      <c r="G1310" s="21">
        <v>9.358500001E9</v>
      </c>
    </row>
    <row r="1311" ht="22.5" customHeight="1">
      <c r="A1311" s="22" t="s">
        <v>2746</v>
      </c>
      <c r="B1311" s="23" t="s">
        <v>10519</v>
      </c>
      <c r="C1311" s="24" t="s">
        <v>2747</v>
      </c>
      <c r="D1311" s="23" t="s">
        <v>10522</v>
      </c>
      <c r="E1311" s="23" t="s">
        <v>265</v>
      </c>
      <c r="F1311" s="23" t="s">
        <v>105</v>
      </c>
      <c r="G1311" s="25">
        <v>9.465693158E9</v>
      </c>
    </row>
    <row r="1312" ht="22.5" customHeight="1">
      <c r="A1312" s="18" t="s">
        <v>7043</v>
      </c>
      <c r="B1312" s="19" t="s">
        <v>10523</v>
      </c>
      <c r="C1312" s="20" t="s">
        <v>7044</v>
      </c>
      <c r="D1312" s="19" t="s">
        <v>7043</v>
      </c>
      <c r="E1312" s="19" t="s">
        <v>3956</v>
      </c>
      <c r="F1312" s="19" t="s">
        <v>105</v>
      </c>
      <c r="G1312" s="21">
        <v>7.814615174E9</v>
      </c>
    </row>
    <row r="1313" ht="22.5" customHeight="1">
      <c r="A1313" s="22" t="s">
        <v>10524</v>
      </c>
      <c r="B1313" s="23" t="s">
        <v>10525</v>
      </c>
      <c r="C1313" s="24" t="s">
        <v>7868</v>
      </c>
      <c r="D1313" s="23" t="s">
        <v>10526</v>
      </c>
      <c r="E1313" s="23" t="s">
        <v>10527</v>
      </c>
      <c r="F1313" s="23" t="s">
        <v>105</v>
      </c>
      <c r="G1313" s="25">
        <v>9.876758733E9</v>
      </c>
    </row>
    <row r="1314" ht="22.5" customHeight="1">
      <c r="A1314" s="18" t="s">
        <v>2756</v>
      </c>
      <c r="B1314" s="19" t="s">
        <v>10528</v>
      </c>
      <c r="C1314" s="20" t="s">
        <v>2757</v>
      </c>
      <c r="D1314" s="19" t="s">
        <v>10529</v>
      </c>
      <c r="E1314" s="19" t="s">
        <v>265</v>
      </c>
      <c r="F1314" s="19" t="s">
        <v>105</v>
      </c>
      <c r="G1314" s="21">
        <v>8.427392932E9</v>
      </c>
    </row>
    <row r="1315" ht="22.5" customHeight="1">
      <c r="A1315" s="22" t="s">
        <v>8119</v>
      </c>
      <c r="B1315" s="23" t="s">
        <v>10530</v>
      </c>
      <c r="C1315" s="24" t="s">
        <v>8120</v>
      </c>
      <c r="D1315" s="23" t="s">
        <v>10531</v>
      </c>
      <c r="E1315" s="23" t="s">
        <v>4200</v>
      </c>
      <c r="F1315" s="23" t="s">
        <v>105</v>
      </c>
      <c r="G1315" s="25">
        <v>9.662000458E9</v>
      </c>
    </row>
    <row r="1316" ht="22.5" customHeight="1">
      <c r="A1316" s="18" t="s">
        <v>5889</v>
      </c>
      <c r="B1316" s="19" t="s">
        <v>10532</v>
      </c>
      <c r="C1316" s="20" t="s">
        <v>5890</v>
      </c>
      <c r="D1316" s="19" t="s">
        <v>10534</v>
      </c>
      <c r="E1316" s="19" t="s">
        <v>277</v>
      </c>
      <c r="F1316" s="19" t="s">
        <v>105</v>
      </c>
      <c r="G1316" s="21">
        <v>9.592571973E9</v>
      </c>
    </row>
    <row r="1317" ht="22.5" customHeight="1">
      <c r="A1317" s="22" t="s">
        <v>5398</v>
      </c>
      <c r="B1317" s="23" t="s">
        <v>10535</v>
      </c>
      <c r="C1317" s="24" t="s">
        <v>2953</v>
      </c>
      <c r="D1317" s="23" t="s">
        <v>10536</v>
      </c>
      <c r="E1317" s="23" t="s">
        <v>1622</v>
      </c>
      <c r="F1317" s="23" t="s">
        <v>105</v>
      </c>
      <c r="G1317" s="25">
        <v>9.311105352E9</v>
      </c>
    </row>
    <row r="1318" ht="22.5" customHeight="1">
      <c r="A1318" s="30" t="s">
        <v>10537</v>
      </c>
      <c r="B1318" s="19" t="s">
        <v>10538</v>
      </c>
      <c r="C1318" s="20" t="s">
        <v>1322</v>
      </c>
      <c r="D1318" s="19" t="s">
        <v>10539</v>
      </c>
      <c r="E1318" s="19" t="s">
        <v>389</v>
      </c>
      <c r="F1318" s="19" t="s">
        <v>105</v>
      </c>
      <c r="G1318" s="21">
        <v>9.626900424E9</v>
      </c>
    </row>
    <row r="1319" ht="22.5" customHeight="1">
      <c r="A1319" s="22" t="s">
        <v>10540</v>
      </c>
      <c r="B1319" s="23" t="s">
        <v>10541</v>
      </c>
      <c r="C1319" s="24" t="s">
        <v>10542</v>
      </c>
      <c r="D1319" s="23" t="s">
        <v>10540</v>
      </c>
      <c r="E1319" s="23" t="s">
        <v>10543</v>
      </c>
      <c r="F1319" s="23" t="s">
        <v>105</v>
      </c>
      <c r="G1319" s="25">
        <v>9.560757539E9</v>
      </c>
    </row>
    <row r="1320" ht="22.5" customHeight="1">
      <c r="A1320" s="18" t="s">
        <v>6962</v>
      </c>
      <c r="B1320" s="19" t="s">
        <v>10544</v>
      </c>
      <c r="C1320" s="20" t="s">
        <v>6964</v>
      </c>
      <c r="D1320" s="19" t="s">
        <v>10545</v>
      </c>
      <c r="E1320" s="19" t="s">
        <v>1946</v>
      </c>
      <c r="F1320" s="19" t="s">
        <v>105</v>
      </c>
      <c r="G1320" s="21">
        <v>9.216715967E9</v>
      </c>
    </row>
    <row r="1321" ht="22.5" customHeight="1">
      <c r="A1321" s="22" t="s">
        <v>5280</v>
      </c>
      <c r="B1321" s="23" t="s">
        <v>10547</v>
      </c>
      <c r="C1321" s="24" t="s">
        <v>2612</v>
      </c>
      <c r="D1321" s="23" t="s">
        <v>5280</v>
      </c>
      <c r="E1321" s="23" t="s">
        <v>1071</v>
      </c>
      <c r="F1321" s="23" t="s">
        <v>105</v>
      </c>
      <c r="G1321" s="25">
        <v>7.340047317E9</v>
      </c>
    </row>
    <row r="1322" ht="22.5" customHeight="1">
      <c r="A1322" s="18" t="s">
        <v>10548</v>
      </c>
      <c r="B1322" s="19" t="s">
        <v>10549</v>
      </c>
      <c r="C1322" s="20" t="s">
        <v>8019</v>
      </c>
      <c r="D1322" s="19" t="s">
        <v>10550</v>
      </c>
      <c r="E1322" s="19" t="s">
        <v>559</v>
      </c>
      <c r="F1322" s="19" t="s">
        <v>105</v>
      </c>
      <c r="G1322" s="21">
        <v>7.850089897E9</v>
      </c>
    </row>
    <row r="1323" ht="22.5" customHeight="1">
      <c r="A1323" s="22" t="s">
        <v>8804</v>
      </c>
      <c r="B1323" s="23" t="s">
        <v>8802</v>
      </c>
      <c r="C1323" s="24" t="s">
        <v>8805</v>
      </c>
      <c r="D1323" s="23" t="s">
        <v>10551</v>
      </c>
      <c r="E1323" s="23" t="s">
        <v>1303</v>
      </c>
      <c r="F1323" s="23" t="s">
        <v>105</v>
      </c>
      <c r="G1323" s="25">
        <v>6.284897487E9</v>
      </c>
    </row>
    <row r="1324" ht="22.5" customHeight="1">
      <c r="A1324" s="18" t="s">
        <v>4867</v>
      </c>
      <c r="B1324" s="19" t="s">
        <v>10552</v>
      </c>
      <c r="C1324" s="20" t="s">
        <v>4868</v>
      </c>
      <c r="D1324" s="19" t="s">
        <v>10553</v>
      </c>
      <c r="E1324" s="19" t="s">
        <v>889</v>
      </c>
      <c r="F1324" s="19" t="s">
        <v>105</v>
      </c>
      <c r="G1324" s="21">
        <v>8.727074673E9</v>
      </c>
    </row>
    <row r="1325" ht="22.5" customHeight="1">
      <c r="A1325" s="22" t="s">
        <v>10555</v>
      </c>
      <c r="B1325" s="23" t="s">
        <v>10556</v>
      </c>
      <c r="C1325" s="24" t="s">
        <v>4981</v>
      </c>
      <c r="D1325" s="23" t="s">
        <v>10557</v>
      </c>
      <c r="E1325" s="23" t="s">
        <v>346</v>
      </c>
      <c r="F1325" s="23" t="s">
        <v>105</v>
      </c>
      <c r="G1325" s="25">
        <v>7.658802085E9</v>
      </c>
    </row>
    <row r="1326" ht="22.5" customHeight="1">
      <c r="A1326" s="18" t="s">
        <v>8747</v>
      </c>
      <c r="B1326" s="19" t="s">
        <v>8745</v>
      </c>
      <c r="C1326" s="20" t="s">
        <v>8749</v>
      </c>
      <c r="D1326" s="19" t="s">
        <v>10558</v>
      </c>
      <c r="E1326" s="19" t="s">
        <v>3118</v>
      </c>
      <c r="F1326" s="19" t="s">
        <v>105</v>
      </c>
      <c r="G1326" s="21">
        <v>9.0564491E9</v>
      </c>
    </row>
    <row r="1327" ht="22.5" customHeight="1">
      <c r="A1327" s="30" t="s">
        <v>2269</v>
      </c>
      <c r="B1327" s="23" t="s">
        <v>10559</v>
      </c>
      <c r="C1327" s="24" t="s">
        <v>2271</v>
      </c>
      <c r="D1327" s="23" t="s">
        <v>10560</v>
      </c>
      <c r="E1327" s="23" t="s">
        <v>1873</v>
      </c>
      <c r="F1327" s="23" t="s">
        <v>105</v>
      </c>
      <c r="G1327" s="25">
        <v>8.146355166E9</v>
      </c>
    </row>
    <row r="1328" ht="22.5" customHeight="1">
      <c r="A1328" s="18" t="s">
        <v>10561</v>
      </c>
      <c r="B1328" s="19" t="s">
        <v>10562</v>
      </c>
      <c r="C1328" s="20" t="s">
        <v>4643</v>
      </c>
      <c r="D1328" s="19" t="s">
        <v>10563</v>
      </c>
      <c r="E1328" s="19" t="s">
        <v>238</v>
      </c>
      <c r="F1328" s="19" t="s">
        <v>105</v>
      </c>
      <c r="G1328" s="21">
        <v>7.973849056E9</v>
      </c>
    </row>
    <row r="1329" ht="22.5" customHeight="1">
      <c r="A1329" s="22" t="s">
        <v>5956</v>
      </c>
      <c r="B1329" s="23" t="s">
        <v>10564</v>
      </c>
      <c r="C1329" s="24" t="s">
        <v>5957</v>
      </c>
      <c r="D1329" s="23" t="s">
        <v>10565</v>
      </c>
      <c r="E1329" s="23" t="s">
        <v>277</v>
      </c>
      <c r="F1329" s="23" t="s">
        <v>105</v>
      </c>
      <c r="G1329" s="25">
        <v>7.814138125E9</v>
      </c>
    </row>
    <row r="1330" ht="22.5" customHeight="1">
      <c r="A1330" s="18" t="s">
        <v>4013</v>
      </c>
      <c r="B1330" s="19" t="s">
        <v>10567</v>
      </c>
      <c r="C1330" s="20" t="s">
        <v>4014</v>
      </c>
      <c r="D1330" s="19" t="s">
        <v>10568</v>
      </c>
      <c r="E1330" s="19" t="s">
        <v>314</v>
      </c>
      <c r="F1330" s="19" t="s">
        <v>105</v>
      </c>
      <c r="G1330" s="21">
        <v>8.198007266E9</v>
      </c>
    </row>
    <row r="1331" ht="22.5" customHeight="1">
      <c r="A1331" s="22" t="s">
        <v>2670</v>
      </c>
      <c r="B1331" s="23" t="s">
        <v>10569</v>
      </c>
      <c r="C1331" s="24" t="s">
        <v>2671</v>
      </c>
      <c r="D1331" s="23" t="s">
        <v>10570</v>
      </c>
      <c r="E1331" s="23" t="s">
        <v>204</v>
      </c>
      <c r="F1331" s="23" t="s">
        <v>105</v>
      </c>
      <c r="G1331" s="25">
        <v>7.719440828E9</v>
      </c>
    </row>
    <row r="1332" ht="22.5" customHeight="1">
      <c r="A1332" s="18" t="s">
        <v>1638</v>
      </c>
      <c r="B1332" s="19" t="s">
        <v>10571</v>
      </c>
      <c r="C1332" s="20" t="s">
        <v>1639</v>
      </c>
      <c r="D1332" s="19" t="s">
        <v>10572</v>
      </c>
      <c r="E1332" s="19" t="s">
        <v>75</v>
      </c>
      <c r="F1332" s="19" t="s">
        <v>105</v>
      </c>
      <c r="G1332" s="21">
        <v>7.717627791E9</v>
      </c>
    </row>
    <row r="1333" ht="22.5" customHeight="1">
      <c r="A1333" s="22" t="s">
        <v>10573</v>
      </c>
      <c r="B1333" s="23" t="s">
        <v>10574</v>
      </c>
      <c r="C1333" s="24" t="s">
        <v>4563</v>
      </c>
      <c r="D1333" s="23" t="s">
        <v>10573</v>
      </c>
      <c r="E1333" s="23" t="s">
        <v>238</v>
      </c>
      <c r="F1333" s="23" t="s">
        <v>105</v>
      </c>
      <c r="G1333" s="25">
        <v>8.264641983E9</v>
      </c>
    </row>
    <row r="1334" ht="22.5" customHeight="1">
      <c r="A1334" s="18" t="s">
        <v>7620</v>
      </c>
      <c r="B1334" s="19" t="s">
        <v>7618</v>
      </c>
      <c r="C1334" s="20" t="s">
        <v>7621</v>
      </c>
      <c r="D1334" s="19" t="s">
        <v>10575</v>
      </c>
      <c r="E1334" s="19" t="s">
        <v>123</v>
      </c>
      <c r="F1334" s="19" t="s">
        <v>105</v>
      </c>
      <c r="G1334" s="21">
        <v>8.283938832E9</v>
      </c>
    </row>
    <row r="1335" ht="22.5" customHeight="1">
      <c r="A1335" s="22" t="s">
        <v>7985</v>
      </c>
      <c r="B1335" s="23" t="s">
        <v>10577</v>
      </c>
      <c r="C1335" s="24" t="s">
        <v>7986</v>
      </c>
      <c r="D1335" s="23" t="s">
        <v>10578</v>
      </c>
      <c r="E1335" s="23" t="s">
        <v>559</v>
      </c>
      <c r="F1335" s="23" t="s">
        <v>105</v>
      </c>
      <c r="G1335" s="25">
        <v>7.042479707E9</v>
      </c>
    </row>
    <row r="1336" ht="22.5" customHeight="1">
      <c r="A1336" s="18" t="s">
        <v>5728</v>
      </c>
      <c r="B1336" s="19" t="s">
        <v>10579</v>
      </c>
      <c r="C1336" s="20" t="s">
        <v>5729</v>
      </c>
      <c r="D1336" s="19" t="s">
        <v>10580</v>
      </c>
      <c r="E1336" s="19" t="s">
        <v>1243</v>
      </c>
      <c r="F1336" s="19" t="s">
        <v>105</v>
      </c>
      <c r="G1336" s="21">
        <v>8.288038578E9</v>
      </c>
    </row>
    <row r="1337" ht="22.5" customHeight="1">
      <c r="A1337" s="22" t="s">
        <v>7359</v>
      </c>
      <c r="B1337" s="23" t="s">
        <v>10581</v>
      </c>
      <c r="C1337" s="24" t="s">
        <v>7360</v>
      </c>
      <c r="D1337" s="23" t="s">
        <v>10582</v>
      </c>
      <c r="E1337" s="23" t="s">
        <v>523</v>
      </c>
      <c r="F1337" s="23" t="s">
        <v>105</v>
      </c>
      <c r="G1337" s="25">
        <v>8.129003312E9</v>
      </c>
    </row>
    <row r="1338" ht="22.5" customHeight="1">
      <c r="A1338" s="18" t="s">
        <v>5639</v>
      </c>
      <c r="B1338" s="19" t="s">
        <v>10583</v>
      </c>
      <c r="C1338" s="20" t="s">
        <v>5640</v>
      </c>
      <c r="D1338" s="19" t="s">
        <v>10584</v>
      </c>
      <c r="E1338" s="19" t="s">
        <v>1243</v>
      </c>
      <c r="F1338" s="19" t="s">
        <v>105</v>
      </c>
      <c r="G1338" s="21">
        <v>9.910920536E9</v>
      </c>
    </row>
    <row r="1339" ht="22.5" customHeight="1">
      <c r="A1339" s="22" t="s">
        <v>5753</v>
      </c>
      <c r="B1339" s="23" t="s">
        <v>10585</v>
      </c>
      <c r="C1339" s="24" t="s">
        <v>5754</v>
      </c>
      <c r="D1339" s="23" t="s">
        <v>10586</v>
      </c>
      <c r="E1339" s="23" t="s">
        <v>42</v>
      </c>
      <c r="F1339" s="23" t="s">
        <v>105</v>
      </c>
      <c r="G1339" s="25">
        <v>9.462137662E9</v>
      </c>
    </row>
    <row r="1340" ht="22.5" customHeight="1">
      <c r="A1340" s="18" t="s">
        <v>10588</v>
      </c>
      <c r="B1340" s="19" t="s">
        <v>10589</v>
      </c>
      <c r="C1340" s="20" t="s">
        <v>4728</v>
      </c>
      <c r="D1340" s="19" t="s">
        <v>10590</v>
      </c>
      <c r="E1340" s="19" t="s">
        <v>506</v>
      </c>
      <c r="F1340" s="19" t="s">
        <v>105</v>
      </c>
      <c r="G1340" s="21">
        <v>9.540932961E9</v>
      </c>
    </row>
    <row r="1341" ht="22.5" customHeight="1">
      <c r="A1341" s="22" t="s">
        <v>5974</v>
      </c>
      <c r="B1341" s="23" t="s">
        <v>10591</v>
      </c>
      <c r="C1341" s="24" t="s">
        <v>5975</v>
      </c>
      <c r="D1341" s="23" t="s">
        <v>10592</v>
      </c>
      <c r="E1341" s="23" t="s">
        <v>277</v>
      </c>
      <c r="F1341" s="23" t="s">
        <v>105</v>
      </c>
      <c r="G1341" s="25">
        <v>9.988218881E9</v>
      </c>
    </row>
    <row r="1342" ht="22.5" customHeight="1">
      <c r="A1342" s="18" t="s">
        <v>6129</v>
      </c>
      <c r="B1342" s="19" t="s">
        <v>10593</v>
      </c>
      <c r="C1342" s="20" t="s">
        <v>6130</v>
      </c>
      <c r="D1342" s="19" t="s">
        <v>10594</v>
      </c>
      <c r="E1342" s="19" t="s">
        <v>1002</v>
      </c>
      <c r="F1342" s="19" t="s">
        <v>105</v>
      </c>
      <c r="G1342" s="21">
        <v>9.814477414E9</v>
      </c>
    </row>
    <row r="1343" ht="22.5" customHeight="1">
      <c r="A1343" s="22" t="s">
        <v>1440</v>
      </c>
      <c r="B1343" s="23" t="s">
        <v>10595</v>
      </c>
      <c r="C1343" s="24" t="s">
        <v>1441</v>
      </c>
      <c r="D1343" s="23" t="s">
        <v>10596</v>
      </c>
      <c r="E1343" s="23" t="s">
        <v>389</v>
      </c>
      <c r="F1343" s="23" t="s">
        <v>105</v>
      </c>
      <c r="G1343" s="25">
        <v>7.986585398E9</v>
      </c>
    </row>
    <row r="1344" ht="22.5" customHeight="1">
      <c r="A1344" s="18" t="s">
        <v>3285</v>
      </c>
      <c r="B1344" s="19" t="s">
        <v>10597</v>
      </c>
      <c r="C1344" s="20" t="s">
        <v>3286</v>
      </c>
      <c r="D1344" s="19" t="s">
        <v>3285</v>
      </c>
      <c r="E1344" s="19" t="s">
        <v>524</v>
      </c>
      <c r="F1344" s="19" t="s">
        <v>105</v>
      </c>
      <c r="G1344" s="21">
        <v>9.779922385E9</v>
      </c>
    </row>
    <row r="1345" ht="22.5" customHeight="1">
      <c r="A1345" s="22" t="s">
        <v>5259</v>
      </c>
      <c r="B1345" s="23" t="s">
        <v>10599</v>
      </c>
      <c r="C1345" s="24" t="s">
        <v>2550</v>
      </c>
      <c r="D1345" s="23" t="s">
        <v>5259</v>
      </c>
      <c r="E1345" s="23" t="s">
        <v>1071</v>
      </c>
      <c r="F1345" s="23" t="s">
        <v>105</v>
      </c>
      <c r="G1345" s="25">
        <v>9.876878297E9</v>
      </c>
    </row>
    <row r="1346" ht="22.5" customHeight="1">
      <c r="A1346" s="18" t="s">
        <v>10600</v>
      </c>
      <c r="B1346" s="19" t="s">
        <v>10601</v>
      </c>
      <c r="C1346" s="20" t="s">
        <v>10602</v>
      </c>
      <c r="D1346" s="19" t="s">
        <v>10603</v>
      </c>
      <c r="E1346" s="19" t="s">
        <v>384</v>
      </c>
      <c r="F1346" s="19" t="s">
        <v>105</v>
      </c>
      <c r="G1346" s="21">
        <v>9.667854567E9</v>
      </c>
    </row>
    <row r="1347" ht="22.5" customHeight="1">
      <c r="A1347" s="22" t="s">
        <v>4930</v>
      </c>
      <c r="B1347" s="23" t="s">
        <v>10604</v>
      </c>
      <c r="C1347" s="24" t="s">
        <v>4931</v>
      </c>
      <c r="D1347" s="23" t="s">
        <v>10605</v>
      </c>
      <c r="E1347" s="23" t="s">
        <v>346</v>
      </c>
      <c r="F1347" s="23" t="s">
        <v>105</v>
      </c>
      <c r="G1347" s="25">
        <v>8.800794305E9</v>
      </c>
    </row>
    <row r="1348" ht="22.5" customHeight="1">
      <c r="A1348" s="18" t="s">
        <v>7403</v>
      </c>
      <c r="B1348" s="19" t="s">
        <v>10606</v>
      </c>
      <c r="C1348" s="20" t="s">
        <v>7404</v>
      </c>
      <c r="D1348" s="19" t="s">
        <v>10607</v>
      </c>
      <c r="E1348" s="19" t="s">
        <v>523</v>
      </c>
      <c r="F1348" s="19" t="s">
        <v>105</v>
      </c>
      <c r="G1348" s="21">
        <v>7.496850618E9</v>
      </c>
    </row>
    <row r="1349" ht="22.5" customHeight="1">
      <c r="A1349" s="22" t="s">
        <v>4797</v>
      </c>
      <c r="B1349" s="23" t="s">
        <v>10609</v>
      </c>
      <c r="C1349" s="24" t="s">
        <v>4798</v>
      </c>
      <c r="D1349" s="23" t="s">
        <v>4797</v>
      </c>
      <c r="E1349" s="23" t="s">
        <v>889</v>
      </c>
      <c r="F1349" s="23" t="s">
        <v>105</v>
      </c>
      <c r="G1349" s="25">
        <v>8.439000003E9</v>
      </c>
    </row>
    <row r="1350" ht="22.5" customHeight="1">
      <c r="A1350" s="18" t="s">
        <v>8718</v>
      </c>
      <c r="B1350" s="19" t="s">
        <v>8716</v>
      </c>
      <c r="C1350" s="20" t="s">
        <v>8719</v>
      </c>
      <c r="D1350" s="19" t="s">
        <v>8718</v>
      </c>
      <c r="E1350" s="19" t="s">
        <v>3118</v>
      </c>
      <c r="F1350" s="19" t="s">
        <v>105</v>
      </c>
      <c r="G1350" s="21">
        <v>7.717364815E9</v>
      </c>
    </row>
    <row r="1351" ht="22.5" customHeight="1">
      <c r="A1351" s="22" t="s">
        <v>5071</v>
      </c>
      <c r="B1351" s="23" t="s">
        <v>10610</v>
      </c>
      <c r="C1351" s="24" t="s">
        <v>5073</v>
      </c>
      <c r="D1351" s="23" t="s">
        <v>10611</v>
      </c>
      <c r="E1351" s="23" t="s">
        <v>1064</v>
      </c>
      <c r="F1351" s="23" t="s">
        <v>105</v>
      </c>
      <c r="G1351" s="25">
        <v>8.510983941E9</v>
      </c>
    </row>
    <row r="1352" ht="22.5" customHeight="1">
      <c r="A1352" s="18" t="s">
        <v>4762</v>
      </c>
      <c r="B1352" s="19" t="s">
        <v>10612</v>
      </c>
      <c r="C1352" s="20" t="s">
        <v>4763</v>
      </c>
      <c r="D1352" s="19" t="s">
        <v>10613</v>
      </c>
      <c r="E1352" s="19" t="s">
        <v>506</v>
      </c>
      <c r="F1352" s="19" t="s">
        <v>105</v>
      </c>
      <c r="G1352" s="21">
        <v>8.882456068E9</v>
      </c>
    </row>
    <row r="1353" ht="22.5" customHeight="1">
      <c r="A1353" s="22" t="s">
        <v>8333</v>
      </c>
      <c r="B1353" s="23" t="s">
        <v>8330</v>
      </c>
      <c r="C1353" s="24" t="s">
        <v>8334</v>
      </c>
      <c r="D1353" s="23" t="s">
        <v>8333</v>
      </c>
      <c r="E1353" s="23" t="s">
        <v>1303</v>
      </c>
      <c r="F1353" s="23" t="s">
        <v>105</v>
      </c>
      <c r="G1353" s="25">
        <v>8.8997852E9</v>
      </c>
    </row>
    <row r="1354" ht="22.5" customHeight="1">
      <c r="A1354" s="18" t="s">
        <v>5142</v>
      </c>
      <c r="B1354" s="19" t="s">
        <v>10615</v>
      </c>
      <c r="C1354" s="20" t="s">
        <v>2300</v>
      </c>
      <c r="D1354" s="19" t="s">
        <v>10616</v>
      </c>
      <c r="E1354" s="19" t="s">
        <v>219</v>
      </c>
      <c r="F1354" s="19" t="s">
        <v>105</v>
      </c>
      <c r="G1354" s="21">
        <v>8.699064741E9</v>
      </c>
    </row>
    <row r="1355" ht="22.5" customHeight="1">
      <c r="A1355" s="22" t="s">
        <v>5434</v>
      </c>
      <c r="B1355" s="23" t="s">
        <v>10617</v>
      </c>
      <c r="C1355" s="24" t="s">
        <v>3062</v>
      </c>
      <c r="D1355" s="23" t="s">
        <v>10618</v>
      </c>
      <c r="E1355" s="23" t="s">
        <v>1622</v>
      </c>
      <c r="F1355" s="23" t="s">
        <v>105</v>
      </c>
      <c r="G1355" s="25">
        <v>9.640424615E9</v>
      </c>
    </row>
    <row r="1356" ht="22.5" customHeight="1">
      <c r="A1356" s="18" t="s">
        <v>4767</v>
      </c>
      <c r="B1356" s="19" t="s">
        <v>10619</v>
      </c>
      <c r="C1356" s="20" t="s">
        <v>4769</v>
      </c>
      <c r="D1356" s="19" t="s">
        <v>10620</v>
      </c>
      <c r="E1356" s="19" t="s">
        <v>506</v>
      </c>
      <c r="F1356" s="19" t="s">
        <v>105</v>
      </c>
      <c r="G1356" s="21">
        <v>7.986665747E9</v>
      </c>
    </row>
    <row r="1357" ht="22.5" customHeight="1">
      <c r="A1357" s="22" t="s">
        <v>4094</v>
      </c>
      <c r="B1357" s="23" t="s">
        <v>8765</v>
      </c>
      <c r="C1357" s="24" t="s">
        <v>4095</v>
      </c>
      <c r="D1357" s="23" t="s">
        <v>10621</v>
      </c>
      <c r="E1357" s="23" t="s">
        <v>365</v>
      </c>
      <c r="F1357" s="23" t="s">
        <v>105</v>
      </c>
      <c r="G1357" s="25">
        <v>9.056713159E9</v>
      </c>
    </row>
    <row r="1358" ht="22.5" customHeight="1">
      <c r="A1358" s="18" t="s">
        <v>8767</v>
      </c>
      <c r="B1358" s="19" t="s">
        <v>8765</v>
      </c>
      <c r="C1358" s="20" t="s">
        <v>8768</v>
      </c>
      <c r="D1358" s="19" t="s">
        <v>10622</v>
      </c>
      <c r="E1358" s="19" t="s">
        <v>3118</v>
      </c>
      <c r="F1358" s="19" t="s">
        <v>105</v>
      </c>
      <c r="G1358" s="21">
        <v>6.239632885E9</v>
      </c>
    </row>
    <row r="1359" ht="22.5" customHeight="1">
      <c r="A1359" s="22" t="s">
        <v>3042</v>
      </c>
      <c r="B1359" s="23" t="s">
        <v>10624</v>
      </c>
      <c r="C1359" s="24" t="s">
        <v>3043</v>
      </c>
      <c r="D1359" s="23" t="s">
        <v>10625</v>
      </c>
      <c r="E1359" s="23" t="s">
        <v>22</v>
      </c>
      <c r="F1359" s="23" t="s">
        <v>105</v>
      </c>
      <c r="G1359" s="25">
        <v>9.780038754E9</v>
      </c>
    </row>
    <row r="1360" ht="22.5" customHeight="1">
      <c r="A1360" s="18" t="s">
        <v>3324</v>
      </c>
      <c r="B1360" s="19" t="s">
        <v>10626</v>
      </c>
      <c r="C1360" s="20" t="s">
        <v>3325</v>
      </c>
      <c r="D1360" s="19" t="s">
        <v>10627</v>
      </c>
      <c r="E1360" s="19" t="s">
        <v>524</v>
      </c>
      <c r="F1360" s="19" t="s">
        <v>105</v>
      </c>
      <c r="G1360" s="21">
        <v>9.888006879E9</v>
      </c>
    </row>
    <row r="1361" ht="22.5" customHeight="1">
      <c r="A1361" s="22" t="s">
        <v>2080</v>
      </c>
      <c r="B1361" s="23" t="s">
        <v>10628</v>
      </c>
      <c r="C1361" s="24" t="s">
        <v>2081</v>
      </c>
      <c r="D1361" s="23" t="s">
        <v>10629</v>
      </c>
      <c r="E1361" s="23" t="s">
        <v>17</v>
      </c>
      <c r="F1361" s="23" t="s">
        <v>105</v>
      </c>
      <c r="G1361" s="25">
        <v>8.708219956E9</v>
      </c>
    </row>
    <row r="1362" ht="22.5" customHeight="1">
      <c r="A1362" s="18" t="s">
        <v>3116</v>
      </c>
      <c r="B1362" s="19" t="s">
        <v>10630</v>
      </c>
      <c r="C1362" s="20" t="s">
        <v>3117</v>
      </c>
      <c r="D1362" s="19" t="s">
        <v>10631</v>
      </c>
      <c r="E1362" s="19" t="s">
        <v>22</v>
      </c>
      <c r="F1362" s="19" t="s">
        <v>105</v>
      </c>
      <c r="G1362" s="21">
        <v>9.877332684E9</v>
      </c>
    </row>
    <row r="1363" ht="22.5" customHeight="1">
      <c r="A1363" s="22" t="s">
        <v>6746</v>
      </c>
      <c r="B1363" s="23" t="s">
        <v>10632</v>
      </c>
      <c r="C1363" s="24" t="s">
        <v>6747</v>
      </c>
      <c r="D1363" s="23" t="s">
        <v>10633</v>
      </c>
      <c r="E1363" s="23" t="s">
        <v>469</v>
      </c>
      <c r="F1363" s="23" t="s">
        <v>105</v>
      </c>
      <c r="G1363" s="25">
        <v>7.901783849E9</v>
      </c>
    </row>
    <row r="1364" ht="22.5" customHeight="1">
      <c r="A1364" s="18" t="s">
        <v>5919</v>
      </c>
      <c r="B1364" s="19" t="s">
        <v>10634</v>
      </c>
      <c r="C1364" s="20" t="s">
        <v>5920</v>
      </c>
      <c r="D1364" s="19" t="s">
        <v>10635</v>
      </c>
      <c r="E1364" s="19" t="s">
        <v>277</v>
      </c>
      <c r="F1364" s="19" t="s">
        <v>105</v>
      </c>
      <c r="G1364" s="21">
        <v>8.818090664E9</v>
      </c>
    </row>
    <row r="1365" ht="22.5" customHeight="1">
      <c r="A1365" s="22" t="s">
        <v>1253</v>
      </c>
      <c r="B1365" s="23" t="s">
        <v>10636</v>
      </c>
      <c r="C1365" s="24" t="s">
        <v>1254</v>
      </c>
      <c r="D1365" s="23" t="s">
        <v>10638</v>
      </c>
      <c r="E1365" s="23" t="s">
        <v>1149</v>
      </c>
      <c r="F1365" s="23" t="s">
        <v>105</v>
      </c>
      <c r="G1365" s="25">
        <v>7.652854026E9</v>
      </c>
    </row>
    <row r="1366" ht="22.5" customHeight="1">
      <c r="A1366" s="18" t="s">
        <v>7074</v>
      </c>
      <c r="B1366" s="19" t="s">
        <v>10639</v>
      </c>
      <c r="C1366" s="20" t="s">
        <v>7075</v>
      </c>
      <c r="D1366" s="19" t="s">
        <v>10640</v>
      </c>
      <c r="E1366" s="19" t="s">
        <v>3956</v>
      </c>
      <c r="F1366" s="19" t="s">
        <v>105</v>
      </c>
      <c r="G1366" s="21">
        <v>9.198888129E9</v>
      </c>
    </row>
    <row r="1367" ht="22.5" customHeight="1">
      <c r="A1367" s="22" t="s">
        <v>3846</v>
      </c>
      <c r="B1367" s="23" t="s">
        <v>10641</v>
      </c>
      <c r="C1367" s="24" t="s">
        <v>3847</v>
      </c>
      <c r="D1367" s="23" t="s">
        <v>10642</v>
      </c>
      <c r="E1367" s="23" t="s">
        <v>221</v>
      </c>
      <c r="F1367" s="23" t="s">
        <v>105</v>
      </c>
      <c r="G1367" s="25">
        <v>7.986855183E9</v>
      </c>
    </row>
    <row r="1368" ht="22.5" customHeight="1">
      <c r="A1368" s="18" t="s">
        <v>7320</v>
      </c>
      <c r="B1368" s="19" t="s">
        <v>10643</v>
      </c>
      <c r="C1368" s="20" t="s">
        <v>7321</v>
      </c>
      <c r="D1368" s="19" t="s">
        <v>10644</v>
      </c>
      <c r="E1368" s="19" t="s">
        <v>523</v>
      </c>
      <c r="F1368" s="19" t="s">
        <v>105</v>
      </c>
      <c r="G1368" s="21">
        <v>8.334941399E9</v>
      </c>
    </row>
    <row r="1369" ht="22.5" customHeight="1">
      <c r="A1369" s="22" t="s">
        <v>5942</v>
      </c>
      <c r="B1369" s="23" t="s">
        <v>10646</v>
      </c>
      <c r="C1369" s="24" t="s">
        <v>5943</v>
      </c>
      <c r="D1369" s="23" t="s">
        <v>10647</v>
      </c>
      <c r="E1369" s="23" t="s">
        <v>277</v>
      </c>
      <c r="F1369" s="23" t="s">
        <v>105</v>
      </c>
      <c r="G1369" s="25">
        <v>7.814094277E9</v>
      </c>
    </row>
    <row r="1370" ht="22.5" customHeight="1">
      <c r="A1370" s="18" t="s">
        <v>10648</v>
      </c>
      <c r="B1370" s="19" t="s">
        <v>2879</v>
      </c>
      <c r="C1370" s="20" t="s">
        <v>2882</v>
      </c>
      <c r="D1370" s="19" t="s">
        <v>10649</v>
      </c>
      <c r="E1370" s="19" t="s">
        <v>604</v>
      </c>
      <c r="F1370" s="19" t="s">
        <v>105</v>
      </c>
      <c r="G1370" s="21">
        <v>7.988026011E9</v>
      </c>
    </row>
    <row r="1371" ht="22.5" customHeight="1">
      <c r="A1371" s="22" t="s">
        <v>162</v>
      </c>
      <c r="B1371" s="23" t="s">
        <v>159</v>
      </c>
      <c r="C1371" s="24" t="s">
        <v>163</v>
      </c>
      <c r="D1371" s="23" t="s">
        <v>10650</v>
      </c>
      <c r="E1371" s="23" t="s">
        <v>81</v>
      </c>
      <c r="F1371" s="23" t="s">
        <v>105</v>
      </c>
      <c r="G1371" s="25">
        <v>7.063186871E9</v>
      </c>
    </row>
    <row r="1372" ht="22.5" customHeight="1">
      <c r="A1372" s="18" t="s">
        <v>8563</v>
      </c>
      <c r="B1372" s="19" t="s">
        <v>8561</v>
      </c>
      <c r="C1372" s="20" t="s">
        <v>8564</v>
      </c>
      <c r="D1372" s="19" t="s">
        <v>10651</v>
      </c>
      <c r="E1372" s="19" t="s">
        <v>1607</v>
      </c>
      <c r="F1372" s="19" t="s">
        <v>105</v>
      </c>
      <c r="G1372" s="21">
        <v>8.557030118E9</v>
      </c>
    </row>
    <row r="1373" ht="22.5" customHeight="1">
      <c r="A1373" s="22" t="s">
        <v>6476</v>
      </c>
      <c r="B1373" s="23" t="s">
        <v>10652</v>
      </c>
      <c r="C1373" s="24" t="s">
        <v>6477</v>
      </c>
      <c r="D1373" s="23" t="s">
        <v>10653</v>
      </c>
      <c r="E1373" s="23" t="s">
        <v>2970</v>
      </c>
      <c r="F1373" s="23" t="s">
        <v>105</v>
      </c>
      <c r="G1373" s="25">
        <v>9.667266486E9</v>
      </c>
    </row>
    <row r="1374" ht="22.5" customHeight="1">
      <c r="A1374" s="18" t="s">
        <v>2719</v>
      </c>
      <c r="B1374" s="19" t="s">
        <v>10654</v>
      </c>
      <c r="C1374" s="20" t="s">
        <v>10655</v>
      </c>
      <c r="D1374" s="19" t="s">
        <v>10656</v>
      </c>
      <c r="E1374" s="19" t="s">
        <v>204</v>
      </c>
      <c r="F1374" s="19" t="s">
        <v>105</v>
      </c>
      <c r="G1374" s="21">
        <v>8.558085555E9</v>
      </c>
    </row>
    <row r="1375" ht="22.5" customHeight="1">
      <c r="A1375" s="22" t="s">
        <v>4611</v>
      </c>
      <c r="B1375" s="23" t="s">
        <v>10657</v>
      </c>
      <c r="C1375" s="24" t="s">
        <v>4612</v>
      </c>
      <c r="D1375" s="23" t="s">
        <v>10658</v>
      </c>
      <c r="E1375" s="23" t="s">
        <v>617</v>
      </c>
      <c r="F1375" s="23" t="s">
        <v>105</v>
      </c>
      <c r="G1375" s="25">
        <v>9.897545708E9</v>
      </c>
    </row>
    <row r="1376" ht="22.5" customHeight="1">
      <c r="A1376" s="18" t="s">
        <v>4792</v>
      </c>
      <c r="B1376" s="19" t="s">
        <v>10660</v>
      </c>
      <c r="C1376" s="20" t="s">
        <v>4793</v>
      </c>
      <c r="D1376" s="19" t="s">
        <v>10661</v>
      </c>
      <c r="E1376" s="19" t="s">
        <v>889</v>
      </c>
      <c r="F1376" s="19" t="s">
        <v>105</v>
      </c>
      <c r="G1376" s="21">
        <v>8.264904625E9</v>
      </c>
    </row>
    <row r="1377" ht="22.5" customHeight="1">
      <c r="A1377" s="22" t="s">
        <v>6397</v>
      </c>
      <c r="B1377" s="23" t="s">
        <v>10662</v>
      </c>
      <c r="C1377" s="24" t="s">
        <v>6398</v>
      </c>
      <c r="D1377" s="23" t="s">
        <v>10663</v>
      </c>
      <c r="E1377" s="23" t="s">
        <v>2970</v>
      </c>
      <c r="F1377" s="23" t="s">
        <v>105</v>
      </c>
      <c r="G1377" s="25">
        <v>8.899928977E9</v>
      </c>
    </row>
    <row r="1378" ht="22.5" customHeight="1">
      <c r="A1378" s="18" t="s">
        <v>6388</v>
      </c>
      <c r="B1378" s="19" t="s">
        <v>10664</v>
      </c>
      <c r="C1378" s="20" t="s">
        <v>6389</v>
      </c>
      <c r="D1378" s="19" t="s">
        <v>10665</v>
      </c>
      <c r="E1378" s="19" t="s">
        <v>2970</v>
      </c>
      <c r="F1378" s="19" t="s">
        <v>105</v>
      </c>
      <c r="G1378" s="21">
        <v>7.696947746E9</v>
      </c>
    </row>
    <row r="1379" ht="22.5" customHeight="1">
      <c r="A1379" s="22" t="s">
        <v>3529</v>
      </c>
      <c r="B1379" s="23" t="s">
        <v>10666</v>
      </c>
      <c r="C1379" s="24" t="s">
        <v>3530</v>
      </c>
      <c r="D1379" s="23" t="s">
        <v>10667</v>
      </c>
      <c r="E1379" s="23" t="s">
        <v>68</v>
      </c>
      <c r="F1379" s="23" t="s">
        <v>105</v>
      </c>
      <c r="G1379" s="25">
        <v>9.205458424E9</v>
      </c>
    </row>
    <row r="1380" ht="22.5" customHeight="1">
      <c r="A1380" s="18" t="s">
        <v>8674</v>
      </c>
      <c r="B1380" s="19" t="s">
        <v>8672</v>
      </c>
      <c r="C1380" s="20" t="s">
        <v>8675</v>
      </c>
      <c r="D1380" s="19" t="s">
        <v>10668</v>
      </c>
      <c r="E1380" s="19" t="s">
        <v>1303</v>
      </c>
      <c r="F1380" s="19" t="s">
        <v>105</v>
      </c>
      <c r="G1380" s="21">
        <v>9.81415888E9</v>
      </c>
    </row>
    <row r="1381" ht="22.5" customHeight="1">
      <c r="A1381" s="22" t="s">
        <v>8098</v>
      </c>
      <c r="B1381" s="23" t="s">
        <v>10669</v>
      </c>
      <c r="C1381" s="24" t="s">
        <v>8099</v>
      </c>
      <c r="D1381" s="23" t="s">
        <v>10670</v>
      </c>
      <c r="E1381" s="23" t="s">
        <v>4200</v>
      </c>
      <c r="F1381" s="23" t="s">
        <v>105</v>
      </c>
      <c r="G1381" s="25">
        <v>8.668347233E9</v>
      </c>
    </row>
    <row r="1382" ht="22.5" customHeight="1">
      <c r="A1382" s="18" t="s">
        <v>964</v>
      </c>
      <c r="B1382" s="19" t="s">
        <v>10672</v>
      </c>
      <c r="C1382" s="20" t="s">
        <v>965</v>
      </c>
      <c r="D1382" s="19" t="s">
        <v>964</v>
      </c>
      <c r="E1382" s="19" t="s">
        <v>140</v>
      </c>
      <c r="F1382" s="19" t="s">
        <v>105</v>
      </c>
      <c r="G1382" s="21">
        <v>9.800008458E9</v>
      </c>
    </row>
    <row r="1383" ht="22.5" customHeight="1">
      <c r="A1383" s="22" t="s">
        <v>7763</v>
      </c>
      <c r="B1383" s="23" t="s">
        <v>10673</v>
      </c>
      <c r="C1383" s="24" t="s">
        <v>7764</v>
      </c>
      <c r="D1383" s="23" t="s">
        <v>10674</v>
      </c>
      <c r="E1383" s="23" t="s">
        <v>792</v>
      </c>
      <c r="F1383" s="23" t="s">
        <v>105</v>
      </c>
      <c r="G1383" s="25">
        <v>7.986173029E9</v>
      </c>
    </row>
    <row r="1384" ht="22.5" customHeight="1">
      <c r="A1384" s="18" t="s">
        <v>2019</v>
      </c>
      <c r="B1384" s="19" t="s">
        <v>10675</v>
      </c>
      <c r="C1384" s="20" t="s">
        <v>2020</v>
      </c>
      <c r="D1384" s="19" t="s">
        <v>10676</v>
      </c>
      <c r="E1384" s="19" t="s">
        <v>17</v>
      </c>
      <c r="F1384" s="19" t="s">
        <v>105</v>
      </c>
      <c r="G1384" s="21">
        <v>8.725955181E9</v>
      </c>
    </row>
    <row r="1385" ht="22.5" customHeight="1">
      <c r="A1385" s="22" t="s">
        <v>6619</v>
      </c>
      <c r="B1385" s="23" t="s">
        <v>10677</v>
      </c>
      <c r="C1385" s="24" t="s">
        <v>6620</v>
      </c>
      <c r="D1385" s="23" t="s">
        <v>10678</v>
      </c>
      <c r="E1385" s="23" t="s">
        <v>98</v>
      </c>
      <c r="F1385" s="23" t="s">
        <v>105</v>
      </c>
      <c r="G1385" s="25">
        <v>7.707915557E9</v>
      </c>
    </row>
    <row r="1386" ht="22.5" customHeight="1">
      <c r="A1386" s="18" t="s">
        <v>4038</v>
      </c>
      <c r="B1386" s="19" t="s">
        <v>10679</v>
      </c>
      <c r="C1386" s="20" t="s">
        <v>4039</v>
      </c>
      <c r="D1386" s="19" t="s">
        <v>10680</v>
      </c>
      <c r="E1386" s="19" t="s">
        <v>314</v>
      </c>
      <c r="F1386" s="19" t="s">
        <v>105</v>
      </c>
      <c r="G1386" s="21">
        <v>7.668645009E9</v>
      </c>
    </row>
    <row r="1387" ht="22.5" customHeight="1">
      <c r="A1387" s="22" t="s">
        <v>6441</v>
      </c>
      <c r="B1387" s="23" t="s">
        <v>10682</v>
      </c>
      <c r="C1387" s="24" t="s">
        <v>6442</v>
      </c>
      <c r="D1387" s="23" t="s">
        <v>10683</v>
      </c>
      <c r="E1387" s="23" t="s">
        <v>2970</v>
      </c>
      <c r="F1387" s="23" t="s">
        <v>105</v>
      </c>
      <c r="G1387" s="25">
        <v>6.306166045E9</v>
      </c>
    </row>
    <row r="1388" ht="22.5" customHeight="1">
      <c r="A1388" s="18" t="s">
        <v>456</v>
      </c>
      <c r="B1388" s="19" t="s">
        <v>454</v>
      </c>
      <c r="C1388" s="20" t="s">
        <v>457</v>
      </c>
      <c r="D1388" s="19" t="s">
        <v>10684</v>
      </c>
      <c r="E1388" s="19" t="s">
        <v>231</v>
      </c>
      <c r="F1388" s="19" t="s">
        <v>105</v>
      </c>
      <c r="G1388" s="21">
        <v>7.658009074E9</v>
      </c>
    </row>
    <row r="1389" ht="22.5" customHeight="1">
      <c r="A1389" s="22" t="s">
        <v>7090</v>
      </c>
      <c r="B1389" s="23" t="s">
        <v>10675</v>
      </c>
      <c r="C1389" s="24" t="s">
        <v>7091</v>
      </c>
      <c r="D1389" s="23" t="s">
        <v>7090</v>
      </c>
      <c r="E1389" s="23" t="s">
        <v>3956</v>
      </c>
      <c r="F1389" s="23" t="s">
        <v>105</v>
      </c>
      <c r="G1389" s="25">
        <v>8.26446413E9</v>
      </c>
    </row>
    <row r="1390" ht="22.5" customHeight="1">
      <c r="A1390" s="18" t="s">
        <v>5353</v>
      </c>
      <c r="B1390" s="19" t="s">
        <v>10685</v>
      </c>
      <c r="C1390" s="20" t="s">
        <v>2836</v>
      </c>
      <c r="D1390" s="19" t="s">
        <v>10686</v>
      </c>
      <c r="E1390" s="19" t="s">
        <v>1379</v>
      </c>
      <c r="F1390" s="19" t="s">
        <v>105</v>
      </c>
      <c r="G1390" s="21">
        <v>9.530823991E9</v>
      </c>
    </row>
    <row r="1391" ht="22.5" customHeight="1">
      <c r="A1391" s="22" t="s">
        <v>10687</v>
      </c>
      <c r="B1391" s="23" t="s">
        <v>10688</v>
      </c>
      <c r="C1391" s="24" t="s">
        <v>6179</v>
      </c>
      <c r="D1391" s="23" t="s">
        <v>10689</v>
      </c>
      <c r="E1391" s="23" t="s">
        <v>1002</v>
      </c>
      <c r="F1391" s="23" t="s">
        <v>105</v>
      </c>
      <c r="G1391" s="25">
        <v>8.264155668E9</v>
      </c>
    </row>
    <row r="1392" ht="22.5" customHeight="1">
      <c r="A1392" s="18" t="s">
        <v>7407</v>
      </c>
      <c r="B1392" s="19" t="s">
        <v>10690</v>
      </c>
      <c r="C1392" s="20" t="s">
        <v>7408</v>
      </c>
      <c r="D1392" s="19" t="s">
        <v>10691</v>
      </c>
      <c r="E1392" s="19" t="s">
        <v>523</v>
      </c>
      <c r="F1392" s="19" t="s">
        <v>105</v>
      </c>
      <c r="G1392" s="21">
        <v>7.696001935E9</v>
      </c>
    </row>
    <row r="1393" ht="22.5" customHeight="1">
      <c r="A1393" s="22" t="s">
        <v>10693</v>
      </c>
      <c r="B1393" s="23" t="s">
        <v>10694</v>
      </c>
      <c r="C1393" s="24" t="s">
        <v>5647</v>
      </c>
      <c r="D1393" s="23" t="s">
        <v>10695</v>
      </c>
      <c r="E1393" s="23" t="s">
        <v>1243</v>
      </c>
      <c r="F1393" s="23" t="s">
        <v>105</v>
      </c>
      <c r="G1393" s="25">
        <v>9.735822437E9</v>
      </c>
    </row>
    <row r="1394" ht="22.5" customHeight="1">
      <c r="A1394" s="18" t="s">
        <v>3801</v>
      </c>
      <c r="B1394" s="19" t="s">
        <v>10696</v>
      </c>
      <c r="C1394" s="20" t="s">
        <v>3802</v>
      </c>
      <c r="D1394" s="19" t="s">
        <v>10697</v>
      </c>
      <c r="E1394" s="19" t="s">
        <v>221</v>
      </c>
      <c r="F1394" s="19" t="s">
        <v>105</v>
      </c>
      <c r="G1394" s="21">
        <v>9.915900029E9</v>
      </c>
    </row>
    <row r="1395" ht="22.5" customHeight="1">
      <c r="A1395" s="22" t="s">
        <v>151</v>
      </c>
      <c r="B1395" s="23" t="s">
        <v>148</v>
      </c>
      <c r="C1395" s="24" t="s">
        <v>152</v>
      </c>
      <c r="D1395" s="23" t="s">
        <v>151</v>
      </c>
      <c r="E1395" s="23" t="s">
        <v>106</v>
      </c>
      <c r="F1395" s="23" t="s">
        <v>105</v>
      </c>
      <c r="G1395" s="25">
        <v>9.103604492E9</v>
      </c>
    </row>
    <row r="1396" ht="22.5" customHeight="1">
      <c r="A1396" s="18" t="s">
        <v>6208</v>
      </c>
      <c r="B1396" s="19" t="s">
        <v>10698</v>
      </c>
      <c r="C1396" s="20" t="s">
        <v>6209</v>
      </c>
      <c r="D1396" s="19" t="s">
        <v>10699</v>
      </c>
      <c r="E1396" s="19" t="s">
        <v>1002</v>
      </c>
      <c r="F1396" s="19" t="s">
        <v>105</v>
      </c>
      <c r="G1396" s="21">
        <v>8.837710629E9</v>
      </c>
    </row>
    <row r="1397" ht="22.5" customHeight="1">
      <c r="A1397" s="22" t="s">
        <v>8401</v>
      </c>
      <c r="B1397" s="23" t="s">
        <v>8399</v>
      </c>
      <c r="C1397" s="24" t="s">
        <v>8402</v>
      </c>
      <c r="D1397" s="23" t="s">
        <v>10701</v>
      </c>
      <c r="E1397" s="23" t="s">
        <v>231</v>
      </c>
      <c r="F1397" s="23" t="s">
        <v>105</v>
      </c>
      <c r="G1397" s="25">
        <v>9.31771328E9</v>
      </c>
    </row>
    <row r="1398" ht="22.5" customHeight="1">
      <c r="A1398" s="18" t="s">
        <v>6889</v>
      </c>
      <c r="B1398" s="19" t="s">
        <v>10702</v>
      </c>
      <c r="C1398" s="20" t="s">
        <v>6890</v>
      </c>
      <c r="D1398" s="19" t="s">
        <v>10703</v>
      </c>
      <c r="E1398" s="19" t="s">
        <v>1946</v>
      </c>
      <c r="F1398" s="19" t="s">
        <v>105</v>
      </c>
      <c r="G1398" s="21">
        <v>7.65807156E9</v>
      </c>
    </row>
    <row r="1399" ht="22.5" customHeight="1">
      <c r="A1399" s="22" t="s">
        <v>1415</v>
      </c>
      <c r="B1399" s="23" t="s">
        <v>10704</v>
      </c>
      <c r="C1399" s="24" t="s">
        <v>1416</v>
      </c>
      <c r="D1399" s="23" t="s">
        <v>10705</v>
      </c>
      <c r="E1399" s="23" t="s">
        <v>389</v>
      </c>
      <c r="F1399" s="23" t="s">
        <v>105</v>
      </c>
      <c r="G1399" s="25">
        <v>9.62073299E9</v>
      </c>
    </row>
    <row r="1400" ht="22.5" customHeight="1">
      <c r="A1400" s="18" t="s">
        <v>6465</v>
      </c>
      <c r="B1400" s="19" t="s">
        <v>10706</v>
      </c>
      <c r="C1400" s="20" t="s">
        <v>6466</v>
      </c>
      <c r="D1400" s="19" t="s">
        <v>10707</v>
      </c>
      <c r="E1400" s="19" t="s">
        <v>2970</v>
      </c>
      <c r="F1400" s="19" t="s">
        <v>105</v>
      </c>
      <c r="G1400" s="21">
        <v>7.668589299E9</v>
      </c>
    </row>
    <row r="1401" ht="22.5" customHeight="1">
      <c r="A1401" s="22" t="s">
        <v>10708</v>
      </c>
      <c r="B1401" s="23" t="s">
        <v>10709</v>
      </c>
      <c r="C1401" s="24" t="s">
        <v>10710</v>
      </c>
      <c r="D1401" s="23" t="s">
        <v>10711</v>
      </c>
      <c r="E1401" s="23" t="s">
        <v>384</v>
      </c>
      <c r="F1401" s="23" t="s">
        <v>105</v>
      </c>
      <c r="G1401" s="25">
        <v>9.667789824E9</v>
      </c>
    </row>
    <row r="1402" ht="22.5" customHeight="1">
      <c r="A1402" s="18" t="s">
        <v>4129</v>
      </c>
      <c r="B1402" s="19" t="s">
        <v>10712</v>
      </c>
      <c r="C1402" s="20" t="s">
        <v>4130</v>
      </c>
      <c r="D1402" s="19" t="s">
        <v>10713</v>
      </c>
      <c r="E1402" s="19" t="s">
        <v>365</v>
      </c>
      <c r="F1402" s="19" t="s">
        <v>105</v>
      </c>
      <c r="G1402" s="21">
        <v>9.650332906E9</v>
      </c>
    </row>
    <row r="1403" ht="22.5" customHeight="1">
      <c r="A1403" s="22" t="s">
        <v>5724</v>
      </c>
      <c r="B1403" s="23" t="s">
        <v>10715</v>
      </c>
      <c r="C1403" s="24" t="s">
        <v>5725</v>
      </c>
      <c r="D1403" s="23" t="s">
        <v>10716</v>
      </c>
      <c r="E1403" s="23" t="s">
        <v>1243</v>
      </c>
      <c r="F1403" s="23" t="s">
        <v>105</v>
      </c>
      <c r="G1403" s="25">
        <v>7.888607413E9</v>
      </c>
    </row>
    <row r="1404" ht="22.5" customHeight="1">
      <c r="A1404" s="18" t="s">
        <v>2322</v>
      </c>
      <c r="B1404" s="19" t="s">
        <v>10717</v>
      </c>
      <c r="C1404" s="20" t="s">
        <v>2323</v>
      </c>
      <c r="D1404" s="19" t="s">
        <v>10718</v>
      </c>
      <c r="E1404" s="19" t="s">
        <v>1873</v>
      </c>
      <c r="F1404" s="19" t="s">
        <v>105</v>
      </c>
      <c r="G1404" s="21">
        <v>9.463835719E9</v>
      </c>
    </row>
    <row r="1405" ht="22.5" customHeight="1">
      <c r="A1405" s="22" t="s">
        <v>8818</v>
      </c>
      <c r="B1405" s="23" t="s">
        <v>8816</v>
      </c>
      <c r="C1405" s="24" t="s">
        <v>8819</v>
      </c>
      <c r="D1405" s="23" t="s">
        <v>10719</v>
      </c>
      <c r="E1405" s="23" t="s">
        <v>1607</v>
      </c>
      <c r="F1405" s="23" t="s">
        <v>105</v>
      </c>
      <c r="G1405" s="25">
        <v>9.69414267E9</v>
      </c>
    </row>
    <row r="1406" ht="22.5" customHeight="1">
      <c r="A1406" s="18" t="s">
        <v>5836</v>
      </c>
      <c r="B1406" s="19" t="s">
        <v>10720</v>
      </c>
      <c r="C1406" s="20" t="s">
        <v>5837</v>
      </c>
      <c r="D1406" s="19" t="s">
        <v>5836</v>
      </c>
      <c r="E1406" s="19" t="s">
        <v>42</v>
      </c>
      <c r="F1406" s="19" t="s">
        <v>105</v>
      </c>
      <c r="G1406" s="21">
        <v>9.464611134E9</v>
      </c>
    </row>
    <row r="1407" ht="22.5" customHeight="1">
      <c r="A1407" s="22" t="s">
        <v>4997</v>
      </c>
      <c r="B1407" s="23" t="s">
        <v>10721</v>
      </c>
      <c r="C1407" s="24" t="s">
        <v>4998</v>
      </c>
      <c r="D1407" s="23" t="s">
        <v>4997</v>
      </c>
      <c r="E1407" s="23" t="s">
        <v>346</v>
      </c>
      <c r="F1407" s="23" t="s">
        <v>105</v>
      </c>
      <c r="G1407" s="25">
        <v>9.801312864E9</v>
      </c>
    </row>
    <row r="1408" ht="22.5" customHeight="1">
      <c r="A1408" s="18" t="s">
        <v>4912</v>
      </c>
      <c r="B1408" s="19" t="s">
        <v>10722</v>
      </c>
      <c r="C1408" s="20" t="s">
        <v>4914</v>
      </c>
      <c r="D1408" s="19" t="s">
        <v>4912</v>
      </c>
      <c r="E1408" s="19" t="s">
        <v>346</v>
      </c>
      <c r="F1408" s="19" t="s">
        <v>105</v>
      </c>
      <c r="G1408" s="21">
        <v>9.797784144E9</v>
      </c>
    </row>
    <row r="1409" ht="22.5" customHeight="1">
      <c r="A1409" s="22" t="s">
        <v>3537</v>
      </c>
      <c r="B1409" s="23" t="s">
        <v>10723</v>
      </c>
      <c r="C1409" s="24" t="s">
        <v>3538</v>
      </c>
      <c r="D1409" s="23" t="s">
        <v>10724</v>
      </c>
      <c r="E1409" s="23" t="s">
        <v>68</v>
      </c>
      <c r="F1409" s="23" t="s">
        <v>105</v>
      </c>
      <c r="G1409" s="25">
        <v>8.26702756E9</v>
      </c>
    </row>
    <row r="1410" ht="22.5" customHeight="1">
      <c r="A1410" s="18" t="s">
        <v>1107</v>
      </c>
      <c r="B1410" s="19" t="s">
        <v>10726</v>
      </c>
      <c r="C1410" s="20" t="s">
        <v>1109</v>
      </c>
      <c r="D1410" s="19" t="s">
        <v>10727</v>
      </c>
      <c r="E1410" s="19" t="s">
        <v>140</v>
      </c>
      <c r="F1410" s="19" t="s">
        <v>105</v>
      </c>
      <c r="G1410" s="21">
        <v>8.23382006E9</v>
      </c>
    </row>
    <row r="1411" ht="22.5" customHeight="1">
      <c r="A1411" s="22" t="s">
        <v>4628</v>
      </c>
      <c r="B1411" s="23" t="s">
        <v>10728</v>
      </c>
      <c r="C1411" s="24" t="s">
        <v>4630</v>
      </c>
      <c r="D1411" s="23" t="s">
        <v>10729</v>
      </c>
      <c r="E1411" s="23" t="s">
        <v>238</v>
      </c>
      <c r="F1411" s="23" t="s">
        <v>105</v>
      </c>
      <c r="G1411" s="25">
        <v>9.915888771E9</v>
      </c>
    </row>
    <row r="1412" ht="22.5" customHeight="1">
      <c r="A1412" s="18" t="s">
        <v>8728</v>
      </c>
      <c r="B1412" s="19" t="s">
        <v>8726</v>
      </c>
      <c r="C1412" s="20" t="s">
        <v>8730</v>
      </c>
      <c r="D1412" s="19" t="s">
        <v>10730</v>
      </c>
      <c r="E1412" s="19" t="s">
        <v>3118</v>
      </c>
      <c r="F1412" s="19" t="s">
        <v>105</v>
      </c>
      <c r="G1412" s="21">
        <v>9.815155536E9</v>
      </c>
    </row>
    <row r="1413" ht="22.5" customHeight="1">
      <c r="A1413" s="22" t="s">
        <v>1530</v>
      </c>
      <c r="B1413" s="23" t="s">
        <v>10731</v>
      </c>
      <c r="C1413" s="24" t="s">
        <v>1532</v>
      </c>
      <c r="D1413" s="23" t="s">
        <v>10732</v>
      </c>
      <c r="E1413" s="23" t="s">
        <v>75</v>
      </c>
      <c r="F1413" s="23" t="s">
        <v>105</v>
      </c>
      <c r="G1413" s="25">
        <v>9.517995525E9</v>
      </c>
    </row>
    <row r="1414" ht="22.5" customHeight="1">
      <c r="A1414" s="18" t="s">
        <v>8510</v>
      </c>
      <c r="B1414" s="19" t="s">
        <v>8508</v>
      </c>
      <c r="C1414" s="20" t="s">
        <v>8511</v>
      </c>
      <c r="D1414" s="19" t="s">
        <v>10733</v>
      </c>
      <c r="E1414" s="19" t="s">
        <v>81</v>
      </c>
      <c r="F1414" s="19" t="s">
        <v>105</v>
      </c>
      <c r="G1414" s="21">
        <v>7.006092199E9</v>
      </c>
    </row>
    <row r="1415" ht="22.5" customHeight="1">
      <c r="A1415" s="22" t="s">
        <v>4269</v>
      </c>
      <c r="B1415" s="23" t="s">
        <v>10734</v>
      </c>
      <c r="C1415" s="24" t="s">
        <v>4270</v>
      </c>
      <c r="D1415" s="23" t="s">
        <v>4269</v>
      </c>
      <c r="E1415" s="23" t="s">
        <v>1737</v>
      </c>
      <c r="F1415" s="23" t="s">
        <v>105</v>
      </c>
      <c r="G1415" s="25">
        <v>7.707802652E9</v>
      </c>
    </row>
    <row r="1416" ht="22.5" customHeight="1">
      <c r="A1416" s="18" t="s">
        <v>1837</v>
      </c>
      <c r="B1416" s="19" t="s">
        <v>10736</v>
      </c>
      <c r="C1416" s="20" t="s">
        <v>1838</v>
      </c>
      <c r="D1416" s="19" t="s">
        <v>10737</v>
      </c>
      <c r="E1416" s="19" t="s">
        <v>782</v>
      </c>
      <c r="F1416" s="19" t="s">
        <v>105</v>
      </c>
      <c r="G1416" s="21">
        <v>8.306594678E9</v>
      </c>
    </row>
    <row r="1417" ht="22.5" customHeight="1">
      <c r="A1417" s="22" t="s">
        <v>8054</v>
      </c>
      <c r="B1417" s="23" t="s">
        <v>10738</v>
      </c>
      <c r="C1417" s="24" t="s">
        <v>8055</v>
      </c>
      <c r="D1417" s="23" t="s">
        <v>10739</v>
      </c>
      <c r="E1417" s="23" t="s">
        <v>559</v>
      </c>
      <c r="F1417" s="23" t="s">
        <v>105</v>
      </c>
      <c r="G1417" s="25">
        <v>9.811509655E9</v>
      </c>
    </row>
    <row r="1418" ht="22.5" customHeight="1">
      <c r="A1418" s="18" t="s">
        <v>10740</v>
      </c>
      <c r="B1418" s="19" t="s">
        <v>10741</v>
      </c>
      <c r="C1418" s="20" t="s">
        <v>5796</v>
      </c>
      <c r="D1418" s="19" t="s">
        <v>10742</v>
      </c>
      <c r="E1418" s="19" t="s">
        <v>42</v>
      </c>
      <c r="F1418" s="19" t="s">
        <v>105</v>
      </c>
      <c r="G1418" s="21">
        <v>7.087145027E9</v>
      </c>
    </row>
    <row r="1419" ht="22.5" customHeight="1">
      <c r="A1419" s="22" t="s">
        <v>6555</v>
      </c>
      <c r="B1419" s="23" t="s">
        <v>10743</v>
      </c>
      <c r="C1419" s="24" t="s">
        <v>6556</v>
      </c>
      <c r="D1419" s="23" t="s">
        <v>10744</v>
      </c>
      <c r="E1419" s="23" t="s">
        <v>47</v>
      </c>
      <c r="F1419" s="23" t="s">
        <v>105</v>
      </c>
      <c r="G1419" s="25">
        <v>9.8710857E9</v>
      </c>
    </row>
    <row r="1420" ht="22.5" customHeight="1">
      <c r="A1420" s="18" t="s">
        <v>3158</v>
      </c>
      <c r="B1420" s="19" t="s">
        <v>10745</v>
      </c>
      <c r="C1420" s="20" t="s">
        <v>3159</v>
      </c>
      <c r="D1420" s="19" t="s">
        <v>10746</v>
      </c>
      <c r="E1420" s="19" t="s">
        <v>30</v>
      </c>
      <c r="F1420" s="19" t="s">
        <v>105</v>
      </c>
      <c r="G1420" s="21">
        <v>9.417202222E9</v>
      </c>
    </row>
    <row r="1421" ht="22.5" customHeight="1">
      <c r="A1421" s="22" t="s">
        <v>7845</v>
      </c>
      <c r="B1421" s="23" t="s">
        <v>10748</v>
      </c>
      <c r="C1421" s="24" t="s">
        <v>7846</v>
      </c>
      <c r="D1421" s="23" t="s">
        <v>7845</v>
      </c>
      <c r="E1421" s="23" t="s">
        <v>792</v>
      </c>
      <c r="F1421" s="23" t="s">
        <v>105</v>
      </c>
      <c r="G1421" s="25">
        <v>8.800401431E9</v>
      </c>
    </row>
    <row r="1422" ht="22.5" customHeight="1">
      <c r="A1422" s="18" t="s">
        <v>10749</v>
      </c>
      <c r="B1422" s="19" t="s">
        <v>10750</v>
      </c>
      <c r="C1422" s="20" t="s">
        <v>3281</v>
      </c>
      <c r="D1422" s="19" t="s">
        <v>10749</v>
      </c>
      <c r="E1422" s="19" t="s">
        <v>524</v>
      </c>
      <c r="F1422" s="19" t="s">
        <v>105</v>
      </c>
      <c r="G1422" s="21">
        <v>6.280860352E9</v>
      </c>
    </row>
    <row r="1423" ht="22.5" customHeight="1">
      <c r="A1423" s="22" t="s">
        <v>2675</v>
      </c>
      <c r="B1423" s="23" t="s">
        <v>10751</v>
      </c>
      <c r="C1423" s="24" t="s">
        <v>2676</v>
      </c>
      <c r="D1423" s="23" t="s">
        <v>10752</v>
      </c>
      <c r="E1423" s="23" t="s">
        <v>204</v>
      </c>
      <c r="F1423" s="23" t="s">
        <v>105</v>
      </c>
      <c r="G1423" s="25">
        <v>9.306543906E9</v>
      </c>
    </row>
    <row r="1424" ht="22.5" customHeight="1">
      <c r="A1424" s="18" t="s">
        <v>10753</v>
      </c>
      <c r="B1424" s="19" t="s">
        <v>256</v>
      </c>
      <c r="C1424" s="20" t="s">
        <v>259</v>
      </c>
      <c r="D1424" s="19" t="s">
        <v>10754</v>
      </c>
      <c r="E1424" s="19" t="s">
        <v>140</v>
      </c>
      <c r="F1424" s="19" t="s">
        <v>105</v>
      </c>
      <c r="G1424" s="21">
        <v>8.427708474E9</v>
      </c>
    </row>
    <row r="1425" ht="22.5" customHeight="1">
      <c r="A1425" s="22" t="s">
        <v>850</v>
      </c>
      <c r="B1425" s="23" t="s">
        <v>10755</v>
      </c>
      <c r="C1425" s="24" t="s">
        <v>851</v>
      </c>
      <c r="D1425" s="23" t="s">
        <v>10757</v>
      </c>
      <c r="E1425" s="23" t="s">
        <v>52</v>
      </c>
      <c r="F1425" s="23" t="s">
        <v>105</v>
      </c>
      <c r="G1425" s="25">
        <v>8.077176152E9</v>
      </c>
    </row>
    <row r="1426" ht="22.5" customHeight="1">
      <c r="A1426" s="18" t="s">
        <v>2000</v>
      </c>
      <c r="B1426" s="19" t="s">
        <v>10758</v>
      </c>
      <c r="C1426" s="20" t="s">
        <v>2002</v>
      </c>
      <c r="D1426" s="19" t="s">
        <v>10759</v>
      </c>
      <c r="E1426" s="19" t="s">
        <v>506</v>
      </c>
      <c r="F1426" s="19" t="s">
        <v>105</v>
      </c>
      <c r="G1426" s="21">
        <v>8.607912181E9</v>
      </c>
    </row>
    <row r="1427" ht="22.5" customHeight="1">
      <c r="A1427" s="22" t="s">
        <v>7687</v>
      </c>
      <c r="B1427" s="23" t="s">
        <v>10760</v>
      </c>
      <c r="C1427" s="24" t="s">
        <v>7688</v>
      </c>
      <c r="D1427" s="23" t="s">
        <v>10761</v>
      </c>
      <c r="E1427" s="23" t="s">
        <v>1064</v>
      </c>
      <c r="F1427" s="23" t="s">
        <v>105</v>
      </c>
      <c r="G1427" s="25">
        <v>9.056090394E9</v>
      </c>
    </row>
    <row r="1428" ht="22.5" customHeight="1">
      <c r="A1428" s="18" t="s">
        <v>5054</v>
      </c>
      <c r="B1428" s="19" t="s">
        <v>10762</v>
      </c>
      <c r="C1428" s="20" t="s">
        <v>5055</v>
      </c>
      <c r="D1428" s="19" t="s">
        <v>10763</v>
      </c>
      <c r="E1428" s="19" t="s">
        <v>1064</v>
      </c>
      <c r="F1428" s="19" t="s">
        <v>105</v>
      </c>
      <c r="G1428" s="21">
        <v>7.011379648E9</v>
      </c>
    </row>
    <row r="1429" ht="22.5" customHeight="1">
      <c r="A1429" s="22" t="s">
        <v>7647</v>
      </c>
      <c r="B1429" s="23" t="s">
        <v>10764</v>
      </c>
      <c r="C1429" s="24" t="s">
        <v>7648</v>
      </c>
      <c r="D1429" s="23" t="s">
        <v>10765</v>
      </c>
      <c r="E1429" s="23" t="s">
        <v>30</v>
      </c>
      <c r="F1429" s="23" t="s">
        <v>105</v>
      </c>
      <c r="G1429" s="25">
        <v>9.235726809E9</v>
      </c>
    </row>
    <row r="1430" ht="22.5" customHeight="1">
      <c r="A1430" s="18" t="s">
        <v>5851</v>
      </c>
      <c r="B1430" s="19" t="s">
        <v>10767</v>
      </c>
      <c r="C1430" s="20" t="s">
        <v>5853</v>
      </c>
      <c r="D1430" s="19" t="s">
        <v>10768</v>
      </c>
      <c r="E1430" s="19" t="s">
        <v>42</v>
      </c>
      <c r="F1430" s="19" t="s">
        <v>105</v>
      </c>
      <c r="G1430" s="21">
        <v>8.693877067E9</v>
      </c>
    </row>
    <row r="1431" ht="22.5" customHeight="1">
      <c r="A1431" s="22" t="s">
        <v>10769</v>
      </c>
      <c r="B1431" s="23" t="s">
        <v>10770</v>
      </c>
      <c r="C1431" s="24" t="s">
        <v>4872</v>
      </c>
      <c r="D1431" s="23" t="s">
        <v>10771</v>
      </c>
      <c r="E1431" s="23" t="s">
        <v>889</v>
      </c>
      <c r="F1431" s="23" t="s">
        <v>105</v>
      </c>
      <c r="G1431" s="25">
        <v>9.877357261E9</v>
      </c>
    </row>
    <row r="1432" ht="22.5" customHeight="1">
      <c r="A1432" s="18" t="s">
        <v>7565</v>
      </c>
      <c r="B1432" s="19" t="s">
        <v>7563</v>
      </c>
      <c r="C1432" s="20" t="s">
        <v>7566</v>
      </c>
      <c r="D1432" s="19" t="s">
        <v>10772</v>
      </c>
      <c r="E1432" s="19" t="s">
        <v>123</v>
      </c>
      <c r="F1432" s="19" t="s">
        <v>105</v>
      </c>
      <c r="G1432" s="21">
        <v>8.396019122E9</v>
      </c>
    </row>
    <row r="1433" ht="22.5" customHeight="1">
      <c r="A1433" s="22" t="s">
        <v>3942</v>
      </c>
      <c r="B1433" s="23" t="s">
        <v>10773</v>
      </c>
      <c r="C1433" s="24" t="s">
        <v>3943</v>
      </c>
      <c r="D1433" s="23" t="s">
        <v>10774</v>
      </c>
      <c r="E1433" s="23" t="s">
        <v>265</v>
      </c>
      <c r="F1433" s="23" t="s">
        <v>105</v>
      </c>
      <c r="G1433" s="25">
        <v>9.205485025E9</v>
      </c>
    </row>
    <row r="1434" ht="22.5" customHeight="1">
      <c r="A1434" s="18" t="s">
        <v>6226</v>
      </c>
      <c r="B1434" s="19" t="s">
        <v>10775</v>
      </c>
      <c r="C1434" s="20" t="s">
        <v>6227</v>
      </c>
      <c r="D1434" s="19" t="s">
        <v>10776</v>
      </c>
      <c r="E1434" s="19" t="s">
        <v>1002</v>
      </c>
      <c r="F1434" s="19" t="s">
        <v>105</v>
      </c>
      <c r="G1434" s="21">
        <v>9.0518303E9</v>
      </c>
    </row>
    <row r="1435" ht="22.5" customHeight="1">
      <c r="A1435" s="22" t="s">
        <v>1696</v>
      </c>
      <c r="B1435" s="23" t="s">
        <v>10778</v>
      </c>
      <c r="C1435" s="24" t="s">
        <v>1697</v>
      </c>
      <c r="D1435" s="23" t="s">
        <v>1696</v>
      </c>
      <c r="E1435" s="23" t="s">
        <v>782</v>
      </c>
      <c r="F1435" s="23" t="s">
        <v>105</v>
      </c>
      <c r="G1435" s="25">
        <v>9.815060447E9</v>
      </c>
    </row>
    <row r="1436" ht="22.5" customHeight="1">
      <c r="A1436" s="18" t="s">
        <v>10779</v>
      </c>
      <c r="B1436" s="19" t="s">
        <v>10780</v>
      </c>
      <c r="C1436" s="20" t="s">
        <v>5845</v>
      </c>
      <c r="D1436" s="19" t="s">
        <v>10781</v>
      </c>
      <c r="E1436" s="19" t="s">
        <v>42</v>
      </c>
      <c r="F1436" s="19" t="s">
        <v>105</v>
      </c>
      <c r="G1436" s="21">
        <v>8.30731009E9</v>
      </c>
    </row>
    <row r="1437" ht="22.5" customHeight="1">
      <c r="A1437" s="22" t="s">
        <v>10782</v>
      </c>
      <c r="B1437" s="23" t="s">
        <v>4116</v>
      </c>
      <c r="C1437" s="24" t="s">
        <v>4119</v>
      </c>
      <c r="D1437" s="23" t="s">
        <v>10783</v>
      </c>
      <c r="E1437" s="23" t="s">
        <v>365</v>
      </c>
      <c r="F1437" s="23" t="s">
        <v>105</v>
      </c>
      <c r="G1437" s="25">
        <v>9.463902041E9</v>
      </c>
    </row>
    <row r="1438" ht="22.5" customHeight="1">
      <c r="A1438" s="18" t="s">
        <v>7368</v>
      </c>
      <c r="B1438" s="19" t="s">
        <v>10784</v>
      </c>
      <c r="C1438" s="20" t="s">
        <v>7369</v>
      </c>
      <c r="D1438" s="19" t="s">
        <v>10785</v>
      </c>
      <c r="E1438" s="19" t="s">
        <v>523</v>
      </c>
      <c r="F1438" s="19" t="s">
        <v>105</v>
      </c>
      <c r="G1438" s="21">
        <v>8.899801327E9</v>
      </c>
    </row>
    <row r="1439" ht="22.5" customHeight="1">
      <c r="A1439" s="22" t="s">
        <v>10787</v>
      </c>
      <c r="B1439" s="23" t="s">
        <v>10788</v>
      </c>
      <c r="C1439" s="24" t="s">
        <v>10789</v>
      </c>
      <c r="D1439" s="23" t="s">
        <v>10790</v>
      </c>
      <c r="E1439" s="23" t="s">
        <v>384</v>
      </c>
      <c r="F1439" s="23" t="s">
        <v>105</v>
      </c>
      <c r="G1439" s="25">
        <v>9.501821355E9</v>
      </c>
    </row>
    <row r="1440" ht="22.5" customHeight="1">
      <c r="A1440" s="18" t="s">
        <v>705</v>
      </c>
      <c r="B1440" s="19" t="s">
        <v>703</v>
      </c>
      <c r="C1440" s="20" t="s">
        <v>707</v>
      </c>
      <c r="D1440" s="19" t="s">
        <v>10791</v>
      </c>
      <c r="E1440" s="19" t="s">
        <v>231</v>
      </c>
      <c r="F1440" s="19" t="s">
        <v>105</v>
      </c>
      <c r="G1440" s="21">
        <v>7.889098976E9</v>
      </c>
    </row>
    <row r="1441" ht="22.5" customHeight="1">
      <c r="A1441" s="22" t="s">
        <v>609</v>
      </c>
      <c r="B1441" s="23" t="s">
        <v>607</v>
      </c>
      <c r="C1441" s="24" t="s">
        <v>610</v>
      </c>
      <c r="D1441" s="23" t="s">
        <v>10792</v>
      </c>
      <c r="E1441" s="23" t="s">
        <v>219</v>
      </c>
      <c r="F1441" s="23" t="s">
        <v>105</v>
      </c>
      <c r="G1441" s="25">
        <v>9.769192559E9</v>
      </c>
    </row>
    <row r="1442" ht="22.5" customHeight="1">
      <c r="A1442" s="18" t="s">
        <v>10793</v>
      </c>
      <c r="B1442" s="19" t="s">
        <v>10794</v>
      </c>
      <c r="C1442" s="20" t="s">
        <v>6982</v>
      </c>
      <c r="D1442" s="19" t="s">
        <v>10795</v>
      </c>
      <c r="E1442" s="19" t="s">
        <v>3956</v>
      </c>
      <c r="F1442" s="19" t="s">
        <v>105</v>
      </c>
      <c r="G1442" s="21">
        <v>6.239946699E9</v>
      </c>
    </row>
    <row r="1443" ht="22.5" customHeight="1">
      <c r="A1443" s="22" t="s">
        <v>5250</v>
      </c>
      <c r="B1443" s="23" t="s">
        <v>10797</v>
      </c>
      <c r="C1443" s="24" t="s">
        <v>2521</v>
      </c>
      <c r="D1443" s="23" t="s">
        <v>10798</v>
      </c>
      <c r="E1443" s="23" t="s">
        <v>1071</v>
      </c>
      <c r="F1443" s="23" t="s">
        <v>105</v>
      </c>
      <c r="G1443" s="25">
        <v>7.8892606E9</v>
      </c>
    </row>
    <row r="1444" ht="22.5" customHeight="1">
      <c r="A1444" s="18" t="s">
        <v>2186</v>
      </c>
      <c r="B1444" s="19" t="s">
        <v>10799</v>
      </c>
      <c r="C1444" s="20" t="s">
        <v>2187</v>
      </c>
      <c r="D1444" s="19" t="s">
        <v>10800</v>
      </c>
      <c r="E1444" s="19" t="s">
        <v>304</v>
      </c>
      <c r="F1444" s="19" t="s">
        <v>105</v>
      </c>
      <c r="G1444" s="21">
        <v>7.009100236E9</v>
      </c>
    </row>
    <row r="1445" ht="22.5" customHeight="1">
      <c r="A1445" s="22" t="s">
        <v>7809</v>
      </c>
      <c r="B1445" s="23" t="s">
        <v>10801</v>
      </c>
      <c r="C1445" s="24" t="s">
        <v>7810</v>
      </c>
      <c r="D1445" s="23" t="s">
        <v>7809</v>
      </c>
      <c r="E1445" s="23" t="s">
        <v>792</v>
      </c>
      <c r="F1445" s="23" t="s">
        <v>105</v>
      </c>
      <c r="G1445" s="25">
        <v>8.70835976E9</v>
      </c>
    </row>
    <row r="1446" ht="22.5" customHeight="1">
      <c r="A1446" s="18" t="s">
        <v>8872</v>
      </c>
      <c r="B1446" s="19" t="s">
        <v>8869</v>
      </c>
      <c r="C1446" s="20" t="s">
        <v>8873</v>
      </c>
      <c r="D1446" s="19" t="s">
        <v>10802</v>
      </c>
      <c r="E1446" s="19" t="s">
        <v>1607</v>
      </c>
      <c r="F1446" s="19" t="s">
        <v>105</v>
      </c>
      <c r="G1446" s="21">
        <v>8.968111443E9</v>
      </c>
    </row>
    <row r="1447" ht="22.5" customHeight="1">
      <c r="A1447" s="22" t="s">
        <v>7917</v>
      </c>
      <c r="B1447" s="23" t="s">
        <v>10803</v>
      </c>
      <c r="C1447" s="24" t="s">
        <v>7918</v>
      </c>
      <c r="D1447" s="23" t="s">
        <v>7917</v>
      </c>
      <c r="E1447" s="23" t="s">
        <v>303</v>
      </c>
      <c r="F1447" s="23" t="s">
        <v>105</v>
      </c>
      <c r="G1447" s="25">
        <v>9.8788963E9</v>
      </c>
    </row>
    <row r="1448" ht="22.5" customHeight="1">
      <c r="A1448" s="18" t="s">
        <v>8450</v>
      </c>
      <c r="B1448" s="19" t="s">
        <v>8448</v>
      </c>
      <c r="C1448" s="20" t="s">
        <v>8452</v>
      </c>
      <c r="D1448" s="19" t="s">
        <v>10805</v>
      </c>
      <c r="E1448" s="19" t="s">
        <v>81</v>
      </c>
      <c r="F1448" s="19" t="s">
        <v>105</v>
      </c>
      <c r="G1448" s="21">
        <v>9.696909156E9</v>
      </c>
    </row>
    <row r="1449" ht="22.5" customHeight="1">
      <c r="A1449" s="22" t="s">
        <v>10806</v>
      </c>
      <c r="B1449" s="23" t="s">
        <v>64</v>
      </c>
      <c r="C1449" s="24" t="s">
        <v>67</v>
      </c>
      <c r="D1449" s="23" t="s">
        <v>10807</v>
      </c>
      <c r="E1449" s="23" t="s">
        <v>68</v>
      </c>
      <c r="F1449" s="23" t="s">
        <v>105</v>
      </c>
      <c r="G1449" s="25">
        <v>6.280811057E9</v>
      </c>
    </row>
    <row r="1450" ht="22.5" customHeight="1">
      <c r="A1450" s="18" t="s">
        <v>10808</v>
      </c>
      <c r="B1450" s="19" t="s">
        <v>10809</v>
      </c>
      <c r="C1450" s="20" t="s">
        <v>10810</v>
      </c>
      <c r="D1450" s="19" t="s">
        <v>10811</v>
      </c>
      <c r="E1450" s="19" t="s">
        <v>756</v>
      </c>
      <c r="F1450" s="19" t="s">
        <v>105</v>
      </c>
      <c r="G1450" s="21">
        <v>7.015293507E9</v>
      </c>
    </row>
    <row r="1451" ht="22.5" customHeight="1">
      <c r="A1451" s="22" t="s">
        <v>10812</v>
      </c>
      <c r="B1451" s="23" t="s">
        <v>10813</v>
      </c>
      <c r="C1451" s="24" t="s">
        <v>7386</v>
      </c>
      <c r="D1451" s="23" t="s">
        <v>10814</v>
      </c>
      <c r="E1451" s="23" t="s">
        <v>523</v>
      </c>
      <c r="F1451" s="23" t="s">
        <v>105</v>
      </c>
      <c r="G1451" s="25">
        <v>7.087378915E9</v>
      </c>
    </row>
    <row r="1452" ht="22.5" customHeight="1">
      <c r="A1452" s="18" t="s">
        <v>3025</v>
      </c>
      <c r="B1452" s="19" t="s">
        <v>10815</v>
      </c>
      <c r="C1452" s="20" t="s">
        <v>3026</v>
      </c>
      <c r="D1452" s="19" t="s">
        <v>10816</v>
      </c>
      <c r="E1452" s="19" t="s">
        <v>22</v>
      </c>
      <c r="F1452" s="19" t="s">
        <v>105</v>
      </c>
      <c r="G1452" s="21">
        <v>7.71731642E9</v>
      </c>
    </row>
    <row r="1453" ht="22.5" customHeight="1">
      <c r="A1453" s="22" t="s">
        <v>1112</v>
      </c>
      <c r="B1453" s="23" t="s">
        <v>10818</v>
      </c>
      <c r="C1453" s="24" t="s">
        <v>1113</v>
      </c>
      <c r="D1453" s="23" t="s">
        <v>10819</v>
      </c>
      <c r="E1453" s="23" t="s">
        <v>140</v>
      </c>
      <c r="F1453" s="23" t="s">
        <v>105</v>
      </c>
      <c r="G1453" s="25">
        <v>9.034263683E9</v>
      </c>
    </row>
    <row r="1454" ht="22.5" customHeight="1">
      <c r="A1454" s="18" t="s">
        <v>6632</v>
      </c>
      <c r="B1454" s="19" t="s">
        <v>10820</v>
      </c>
      <c r="C1454" s="20" t="s">
        <v>6633</v>
      </c>
      <c r="D1454" s="19" t="s">
        <v>10821</v>
      </c>
      <c r="E1454" s="19" t="s">
        <v>98</v>
      </c>
      <c r="F1454" s="19" t="s">
        <v>105</v>
      </c>
      <c r="G1454" s="21">
        <v>9.873472288E9</v>
      </c>
    </row>
    <row r="1455" ht="22.5" customHeight="1">
      <c r="A1455" s="22" t="s">
        <v>1167</v>
      </c>
      <c r="B1455" s="23" t="s">
        <v>10822</v>
      </c>
      <c r="C1455" s="24" t="s">
        <v>1168</v>
      </c>
      <c r="D1455" s="23" t="s">
        <v>10823</v>
      </c>
      <c r="E1455" s="23" t="s">
        <v>1149</v>
      </c>
      <c r="F1455" s="23" t="s">
        <v>105</v>
      </c>
      <c r="G1455" s="25">
        <v>7.340786272E9</v>
      </c>
    </row>
    <row r="1456" ht="22.5" customHeight="1">
      <c r="A1456" s="18" t="s">
        <v>8789</v>
      </c>
      <c r="B1456" s="19" t="s">
        <v>8787</v>
      </c>
      <c r="C1456" s="20" t="s">
        <v>8790</v>
      </c>
      <c r="D1456" s="19" t="s">
        <v>10824</v>
      </c>
      <c r="E1456" s="19" t="s">
        <v>3118</v>
      </c>
      <c r="F1456" s="19" t="s">
        <v>105</v>
      </c>
      <c r="G1456" s="21">
        <v>7.009977207E9</v>
      </c>
    </row>
    <row r="1457" ht="22.5" customHeight="1">
      <c r="A1457" s="22" t="s">
        <v>3716</v>
      </c>
      <c r="B1457" s="23" t="s">
        <v>10825</v>
      </c>
      <c r="C1457" s="24" t="s">
        <v>3717</v>
      </c>
      <c r="D1457" s="23" t="s">
        <v>10826</v>
      </c>
      <c r="E1457" s="23" t="s">
        <v>227</v>
      </c>
      <c r="F1457" s="23" t="s">
        <v>105</v>
      </c>
      <c r="G1457" s="25">
        <v>8.641001234E9</v>
      </c>
    </row>
    <row r="1458" ht="22.5" customHeight="1">
      <c r="A1458" s="18" t="s">
        <v>6694</v>
      </c>
      <c r="B1458" s="19" t="s">
        <v>10828</v>
      </c>
      <c r="C1458" s="20" t="s">
        <v>6696</v>
      </c>
      <c r="D1458" s="19" t="s">
        <v>10829</v>
      </c>
      <c r="E1458" s="19" t="s">
        <v>98</v>
      </c>
      <c r="F1458" s="19" t="s">
        <v>105</v>
      </c>
      <c r="G1458" s="21">
        <v>9.779027097E9</v>
      </c>
    </row>
    <row r="1459" ht="22.5" customHeight="1">
      <c r="A1459" s="22" t="s">
        <v>656</v>
      </c>
      <c r="B1459" s="23" t="s">
        <v>10830</v>
      </c>
      <c r="C1459" s="24" t="s">
        <v>657</v>
      </c>
      <c r="D1459" s="23" t="s">
        <v>10831</v>
      </c>
      <c r="E1459" s="23" t="s">
        <v>221</v>
      </c>
      <c r="F1459" s="23" t="s">
        <v>105</v>
      </c>
      <c r="G1459" s="25">
        <v>7.986574788E9</v>
      </c>
    </row>
    <row r="1460" ht="22.5" customHeight="1">
      <c r="A1460" s="18" t="s">
        <v>10832</v>
      </c>
      <c r="B1460" s="19" t="s">
        <v>10833</v>
      </c>
      <c r="C1460" s="20" t="s">
        <v>6294</v>
      </c>
      <c r="D1460" s="19" t="s">
        <v>10834</v>
      </c>
      <c r="E1460" s="19" t="s">
        <v>255</v>
      </c>
      <c r="F1460" s="19" t="s">
        <v>105</v>
      </c>
      <c r="G1460" s="21">
        <v>9.717433898E9</v>
      </c>
    </row>
    <row r="1461" ht="22.5" customHeight="1">
      <c r="A1461" s="22" t="s">
        <v>10835</v>
      </c>
      <c r="B1461" s="23" t="s">
        <v>10836</v>
      </c>
      <c r="C1461" s="24" t="s">
        <v>2710</v>
      </c>
      <c r="D1461" s="23" t="s">
        <v>10837</v>
      </c>
      <c r="E1461" s="23" t="s">
        <v>204</v>
      </c>
      <c r="F1461" s="23" t="s">
        <v>105</v>
      </c>
      <c r="G1461" s="25">
        <v>9.877985902E9</v>
      </c>
    </row>
    <row r="1462" ht="22.5" customHeight="1">
      <c r="A1462" s="18" t="s">
        <v>2840</v>
      </c>
      <c r="B1462" s="19" t="s">
        <v>10838</v>
      </c>
      <c r="C1462" s="20" t="s">
        <v>2841</v>
      </c>
      <c r="D1462" s="19" t="s">
        <v>10840</v>
      </c>
      <c r="E1462" s="19" t="s">
        <v>265</v>
      </c>
      <c r="F1462" s="19" t="s">
        <v>105</v>
      </c>
      <c r="G1462" s="21">
        <v>7.668045226E9</v>
      </c>
    </row>
    <row r="1463" ht="22.5" customHeight="1">
      <c r="A1463" s="22" t="s">
        <v>3609</v>
      </c>
      <c r="B1463" s="23" t="s">
        <v>10841</v>
      </c>
      <c r="C1463" s="24" t="s">
        <v>3610</v>
      </c>
      <c r="D1463" s="23" t="s">
        <v>10842</v>
      </c>
      <c r="E1463" s="23" t="s">
        <v>543</v>
      </c>
      <c r="F1463" s="23" t="s">
        <v>105</v>
      </c>
      <c r="G1463" s="25">
        <v>7.428039867E9</v>
      </c>
    </row>
    <row r="1464" ht="22.5" customHeight="1">
      <c r="A1464" s="18" t="s">
        <v>7128</v>
      </c>
      <c r="B1464" s="19" t="s">
        <v>10843</v>
      </c>
      <c r="C1464" s="20" t="s">
        <v>7129</v>
      </c>
      <c r="D1464" s="19" t="s">
        <v>10844</v>
      </c>
      <c r="E1464" s="19" t="s">
        <v>1326</v>
      </c>
      <c r="F1464" s="19" t="s">
        <v>105</v>
      </c>
      <c r="G1464" s="21">
        <v>9.817786223E9</v>
      </c>
    </row>
    <row r="1465" ht="22.5" customHeight="1">
      <c r="A1465" s="22" t="s">
        <v>5772</v>
      </c>
      <c r="B1465" s="23" t="s">
        <v>5769</v>
      </c>
      <c r="C1465" s="24" t="s">
        <v>5773</v>
      </c>
      <c r="D1465" s="23" t="s">
        <v>10845</v>
      </c>
      <c r="E1465" s="23" t="s">
        <v>42</v>
      </c>
      <c r="F1465" s="23" t="s">
        <v>105</v>
      </c>
      <c r="G1465" s="25">
        <v>9.053116719E9</v>
      </c>
    </row>
    <row r="1466" ht="22.5" customHeight="1">
      <c r="A1466" s="18" t="s">
        <v>6328</v>
      </c>
      <c r="B1466" s="19" t="s">
        <v>10846</v>
      </c>
      <c r="C1466" s="20" t="s">
        <v>6329</v>
      </c>
      <c r="D1466" s="19" t="s">
        <v>10847</v>
      </c>
      <c r="E1466" s="19" t="s">
        <v>255</v>
      </c>
      <c r="F1466" s="19" t="s">
        <v>105</v>
      </c>
      <c r="G1466" s="21">
        <v>7.814542815E9</v>
      </c>
    </row>
    <row r="1467" ht="22.5" customHeight="1">
      <c r="A1467" s="22" t="s">
        <v>7113</v>
      </c>
      <c r="B1467" s="23" t="s">
        <v>10849</v>
      </c>
      <c r="C1467" s="24" t="s">
        <v>7114</v>
      </c>
      <c r="D1467" s="23" t="s">
        <v>10850</v>
      </c>
      <c r="E1467" s="23" t="s">
        <v>1326</v>
      </c>
      <c r="F1467" s="23" t="s">
        <v>105</v>
      </c>
      <c r="G1467" s="25">
        <v>8.750422395E9</v>
      </c>
    </row>
    <row r="1468" ht="22.5" customHeight="1">
      <c r="A1468" s="18" t="s">
        <v>10851</v>
      </c>
      <c r="B1468" s="19" t="s">
        <v>10852</v>
      </c>
      <c r="C1468" s="20" t="s">
        <v>6715</v>
      </c>
      <c r="D1468" s="19" t="s">
        <v>10853</v>
      </c>
      <c r="E1468" s="19" t="s">
        <v>98</v>
      </c>
      <c r="F1468" s="19" t="s">
        <v>105</v>
      </c>
      <c r="G1468" s="21">
        <v>9.461306632E9</v>
      </c>
    </row>
    <row r="1469" ht="22.5" customHeight="1">
      <c r="A1469" s="22" t="s">
        <v>5026</v>
      </c>
      <c r="B1469" s="23" t="s">
        <v>10854</v>
      </c>
      <c r="C1469" s="24" t="s">
        <v>5027</v>
      </c>
      <c r="D1469" s="23" t="s">
        <v>10855</v>
      </c>
      <c r="E1469" s="23" t="s">
        <v>1064</v>
      </c>
      <c r="F1469" s="23" t="s">
        <v>105</v>
      </c>
      <c r="G1469" s="25">
        <v>9.810341842E9</v>
      </c>
    </row>
    <row r="1470" ht="22.5" customHeight="1">
      <c r="A1470" s="18" t="s">
        <v>3460</v>
      </c>
      <c r="B1470" s="19" t="s">
        <v>10856</v>
      </c>
      <c r="C1470" s="20" t="s">
        <v>3461</v>
      </c>
      <c r="D1470" s="19" t="s">
        <v>10857</v>
      </c>
      <c r="E1470" s="19" t="s">
        <v>37</v>
      </c>
      <c r="F1470" s="19" t="s">
        <v>105</v>
      </c>
      <c r="G1470" s="21">
        <v>8.360980871E9</v>
      </c>
    </row>
    <row r="1471" ht="22.5" customHeight="1">
      <c r="A1471" s="22" t="s">
        <v>7615</v>
      </c>
      <c r="B1471" s="23" t="s">
        <v>7613</v>
      </c>
      <c r="C1471" s="24" t="s">
        <v>7616</v>
      </c>
      <c r="D1471" s="23" t="s">
        <v>10859</v>
      </c>
      <c r="E1471" s="23" t="s">
        <v>123</v>
      </c>
      <c r="F1471" s="23" t="s">
        <v>105</v>
      </c>
      <c r="G1471" s="25">
        <v>7.81462389E9</v>
      </c>
    </row>
    <row r="1472" ht="22.5" customHeight="1">
      <c r="A1472" s="18" t="s">
        <v>2363</v>
      </c>
      <c r="B1472" s="19" t="s">
        <v>10860</v>
      </c>
      <c r="C1472" s="20" t="s">
        <v>10861</v>
      </c>
      <c r="D1472" s="19" t="s">
        <v>2363</v>
      </c>
      <c r="E1472" s="19" t="s">
        <v>1873</v>
      </c>
      <c r="F1472" s="19" t="s">
        <v>105</v>
      </c>
      <c r="G1472" s="21">
        <v>8.360492207E9</v>
      </c>
    </row>
    <row r="1473" ht="22.5" customHeight="1">
      <c r="A1473" s="22" t="s">
        <v>739</v>
      </c>
      <c r="B1473" s="23" t="s">
        <v>736</v>
      </c>
      <c r="C1473" s="24" t="s">
        <v>740</v>
      </c>
      <c r="D1473" s="23" t="s">
        <v>10862</v>
      </c>
      <c r="E1473" s="23" t="s">
        <v>543</v>
      </c>
      <c r="F1473" s="23" t="s">
        <v>105</v>
      </c>
      <c r="G1473" s="25">
        <v>7.901960844E9</v>
      </c>
    </row>
    <row r="1474" ht="22.5" customHeight="1">
      <c r="A1474" s="18" t="s">
        <v>6869</v>
      </c>
      <c r="B1474" s="19" t="s">
        <v>10863</v>
      </c>
      <c r="C1474" s="20" t="s">
        <v>6871</v>
      </c>
      <c r="D1474" s="19" t="s">
        <v>10864</v>
      </c>
      <c r="E1474" s="19" t="s">
        <v>1946</v>
      </c>
      <c r="F1474" s="19" t="s">
        <v>105</v>
      </c>
      <c r="G1474" s="21">
        <v>7.658829069E9</v>
      </c>
    </row>
    <row r="1475" ht="22.5" customHeight="1">
      <c r="A1475" s="22" t="s">
        <v>10866</v>
      </c>
      <c r="B1475" s="23" t="s">
        <v>10867</v>
      </c>
      <c r="C1475" s="24" t="s">
        <v>6584</v>
      </c>
      <c r="D1475" s="23" t="s">
        <v>10868</v>
      </c>
      <c r="E1475" s="23" t="s">
        <v>47</v>
      </c>
      <c r="F1475" s="23" t="s">
        <v>105</v>
      </c>
      <c r="G1475" s="25">
        <v>7.986144991E9</v>
      </c>
    </row>
    <row r="1476" ht="22.5" customHeight="1">
      <c r="A1476" s="18" t="s">
        <v>493</v>
      </c>
      <c r="B1476" s="19" t="s">
        <v>491</v>
      </c>
      <c r="C1476" s="20" t="s">
        <v>494</v>
      </c>
      <c r="D1476" s="19" t="s">
        <v>10869</v>
      </c>
      <c r="E1476" s="19" t="s">
        <v>57</v>
      </c>
      <c r="F1476" s="19" t="s">
        <v>105</v>
      </c>
      <c r="G1476" s="21">
        <v>9.91531182E9</v>
      </c>
    </row>
    <row r="1477" ht="22.5" customHeight="1">
      <c r="A1477" s="22" t="s">
        <v>4194</v>
      </c>
      <c r="B1477" s="23" t="s">
        <v>10870</v>
      </c>
      <c r="C1477" s="24" t="s">
        <v>4195</v>
      </c>
      <c r="D1477" s="23" t="s">
        <v>10871</v>
      </c>
      <c r="E1477" s="23" t="s">
        <v>1737</v>
      </c>
      <c r="F1477" s="23" t="s">
        <v>105</v>
      </c>
      <c r="G1477" s="25">
        <v>8.630288737E9</v>
      </c>
    </row>
    <row r="1478" ht="22.5" customHeight="1">
      <c r="A1478" s="18" t="s">
        <v>547</v>
      </c>
      <c r="B1478" s="19" t="s">
        <v>545</v>
      </c>
      <c r="C1478" s="20" t="s">
        <v>548</v>
      </c>
      <c r="D1478" s="19" t="s">
        <v>10873</v>
      </c>
      <c r="E1478" s="19" t="s">
        <v>314</v>
      </c>
      <c r="F1478" s="19" t="s">
        <v>105</v>
      </c>
      <c r="G1478" s="21">
        <v>9.501675367E9</v>
      </c>
    </row>
    <row r="1479" ht="22.5" customHeight="1">
      <c r="A1479" s="22" t="s">
        <v>6669</v>
      </c>
      <c r="B1479" s="23" t="s">
        <v>10874</v>
      </c>
      <c r="C1479" s="24" t="s">
        <v>6670</v>
      </c>
      <c r="D1479" s="23" t="s">
        <v>10875</v>
      </c>
      <c r="E1479" s="23" t="s">
        <v>204</v>
      </c>
      <c r="F1479" s="23" t="s">
        <v>105</v>
      </c>
      <c r="G1479" s="25">
        <v>7.275875244E9</v>
      </c>
    </row>
    <row r="1480" ht="22.5" customHeight="1">
      <c r="A1480" s="18" t="s">
        <v>3058</v>
      </c>
      <c r="B1480" s="19" t="s">
        <v>10876</v>
      </c>
      <c r="C1480" s="20" t="s">
        <v>3059</v>
      </c>
      <c r="D1480" s="19" t="s">
        <v>10877</v>
      </c>
      <c r="E1480" s="19" t="s">
        <v>22</v>
      </c>
      <c r="F1480" s="19" t="s">
        <v>105</v>
      </c>
      <c r="G1480" s="21">
        <v>9.460404544E9</v>
      </c>
    </row>
    <row r="1481" ht="22.5" customHeight="1">
      <c r="A1481" s="22" t="s">
        <v>5035</v>
      </c>
      <c r="B1481" s="23" t="s">
        <v>10878</v>
      </c>
      <c r="C1481" s="24" t="s">
        <v>5036</v>
      </c>
      <c r="D1481" s="23" t="s">
        <v>10879</v>
      </c>
      <c r="E1481" s="23" t="s">
        <v>1064</v>
      </c>
      <c r="F1481" s="23" t="s">
        <v>105</v>
      </c>
      <c r="G1481" s="25">
        <v>9.219180447E9</v>
      </c>
    </row>
    <row r="1482" ht="22.5" customHeight="1">
      <c r="A1482" s="18" t="s">
        <v>4008</v>
      </c>
      <c r="B1482" s="19" t="s">
        <v>10880</v>
      </c>
      <c r="C1482" s="20" t="s">
        <v>4009</v>
      </c>
      <c r="D1482" s="19" t="s">
        <v>4008</v>
      </c>
      <c r="E1482" s="19" t="s">
        <v>314</v>
      </c>
      <c r="F1482" s="19" t="s">
        <v>105</v>
      </c>
      <c r="G1482" s="21">
        <v>9.129873137E9</v>
      </c>
    </row>
    <row r="1483" ht="22.5" customHeight="1">
      <c r="A1483" s="22" t="s">
        <v>8348</v>
      </c>
      <c r="B1483" s="23" t="s">
        <v>8346</v>
      </c>
      <c r="C1483" s="24" t="s">
        <v>10881</v>
      </c>
      <c r="D1483" s="23" t="s">
        <v>10882</v>
      </c>
      <c r="E1483" s="23" t="s">
        <v>1303</v>
      </c>
      <c r="F1483" s="23" t="s">
        <v>105</v>
      </c>
      <c r="G1483" s="25">
        <v>8.126136041E9</v>
      </c>
    </row>
    <row r="1484" ht="22.5" customHeight="1">
      <c r="A1484" s="18" t="s">
        <v>3488</v>
      </c>
      <c r="B1484" s="19" t="s">
        <v>10884</v>
      </c>
      <c r="C1484" s="20" t="s">
        <v>3489</v>
      </c>
      <c r="D1484" s="19" t="s">
        <v>10885</v>
      </c>
      <c r="E1484" s="19" t="s">
        <v>68</v>
      </c>
      <c r="F1484" s="19" t="s">
        <v>105</v>
      </c>
      <c r="G1484" s="21">
        <v>9.998172039E9</v>
      </c>
    </row>
    <row r="1485" ht="22.5" customHeight="1">
      <c r="A1485" s="22" t="s">
        <v>6958</v>
      </c>
      <c r="B1485" s="23" t="s">
        <v>10886</v>
      </c>
      <c r="C1485" s="24" t="s">
        <v>6959</v>
      </c>
      <c r="D1485" s="23" t="s">
        <v>10887</v>
      </c>
      <c r="E1485" s="23" t="s">
        <v>1946</v>
      </c>
      <c r="F1485" s="23" t="s">
        <v>105</v>
      </c>
      <c r="G1485" s="25">
        <v>8.902220136E9</v>
      </c>
    </row>
    <row r="1486" ht="22.5" customHeight="1">
      <c r="A1486" s="18" t="s">
        <v>4646</v>
      </c>
      <c r="B1486" s="19" t="s">
        <v>10888</v>
      </c>
      <c r="C1486" s="20" t="s">
        <v>4647</v>
      </c>
      <c r="D1486" s="19" t="s">
        <v>10889</v>
      </c>
      <c r="E1486" s="19" t="s">
        <v>238</v>
      </c>
      <c r="F1486" s="19" t="s">
        <v>105</v>
      </c>
      <c r="G1486" s="21">
        <v>9.999913352E9</v>
      </c>
    </row>
    <row r="1487" ht="22.5" customHeight="1">
      <c r="A1487" s="22" t="s">
        <v>10890</v>
      </c>
      <c r="B1487" s="23" t="s">
        <v>10891</v>
      </c>
      <c r="C1487" s="24" t="s">
        <v>4498</v>
      </c>
      <c r="D1487" s="23" t="s">
        <v>10892</v>
      </c>
      <c r="E1487" s="23" t="s">
        <v>617</v>
      </c>
      <c r="F1487" s="23" t="s">
        <v>105</v>
      </c>
      <c r="G1487" s="25">
        <v>7.206049176E9</v>
      </c>
    </row>
    <row r="1488" ht="22.5" customHeight="1">
      <c r="A1488" s="18" t="s">
        <v>5744</v>
      </c>
      <c r="B1488" s="19" t="s">
        <v>10893</v>
      </c>
      <c r="C1488" s="20" t="s">
        <v>5745</v>
      </c>
      <c r="D1488" s="19" t="s">
        <v>10894</v>
      </c>
      <c r="E1488" s="19" t="s">
        <v>42</v>
      </c>
      <c r="F1488" s="19" t="s">
        <v>105</v>
      </c>
      <c r="G1488" s="21">
        <v>9.915107611E9</v>
      </c>
    </row>
    <row r="1489" ht="22.5" customHeight="1">
      <c r="A1489" s="22" t="s">
        <v>7194</v>
      </c>
      <c r="B1489" s="23" t="s">
        <v>10896</v>
      </c>
      <c r="C1489" s="24" t="s">
        <v>7195</v>
      </c>
      <c r="D1489" s="23" t="s">
        <v>10897</v>
      </c>
      <c r="E1489" s="23" t="s">
        <v>1326</v>
      </c>
      <c r="F1489" s="23" t="s">
        <v>105</v>
      </c>
      <c r="G1489" s="25">
        <v>9.582304985E9</v>
      </c>
    </row>
    <row r="1490" ht="22.5" customHeight="1">
      <c r="A1490" s="18" t="s">
        <v>5801</v>
      </c>
      <c r="B1490" s="19" t="s">
        <v>10898</v>
      </c>
      <c r="C1490" s="20" t="s">
        <v>5802</v>
      </c>
      <c r="D1490" s="19" t="s">
        <v>10899</v>
      </c>
      <c r="E1490" s="19" t="s">
        <v>1243</v>
      </c>
      <c r="F1490" s="19" t="s">
        <v>105</v>
      </c>
      <c r="G1490" s="21">
        <v>9.967664495E9</v>
      </c>
    </row>
    <row r="1491" ht="22.5" customHeight="1">
      <c r="A1491" s="22" t="s">
        <v>10900</v>
      </c>
      <c r="B1491" s="23" t="s">
        <v>10901</v>
      </c>
      <c r="C1491" s="24" t="s">
        <v>10902</v>
      </c>
      <c r="D1491" s="23" t="s">
        <v>10903</v>
      </c>
      <c r="E1491" s="23" t="s">
        <v>277</v>
      </c>
      <c r="F1491" s="23" t="s">
        <v>105</v>
      </c>
      <c r="G1491" s="25">
        <v>9.012636214E9</v>
      </c>
    </row>
    <row r="1492" ht="22.5" customHeight="1">
      <c r="A1492" s="18" t="s">
        <v>4274</v>
      </c>
      <c r="B1492" s="19" t="s">
        <v>10904</v>
      </c>
      <c r="C1492" s="20" t="s">
        <v>4275</v>
      </c>
      <c r="D1492" s="19" t="s">
        <v>10905</v>
      </c>
      <c r="E1492" s="19" t="s">
        <v>1737</v>
      </c>
      <c r="F1492" s="19" t="s">
        <v>105</v>
      </c>
      <c r="G1492" s="29"/>
    </row>
    <row r="1493" ht="22.5" customHeight="1">
      <c r="A1493" s="22" t="s">
        <v>4235</v>
      </c>
      <c r="B1493" s="23" t="s">
        <v>10906</v>
      </c>
      <c r="C1493" s="24" t="s">
        <v>4236</v>
      </c>
      <c r="D1493" s="23" t="s">
        <v>10908</v>
      </c>
      <c r="E1493" s="23" t="s">
        <v>1737</v>
      </c>
      <c r="F1493" s="23" t="s">
        <v>105</v>
      </c>
      <c r="G1493" s="25">
        <v>7.906360016E9</v>
      </c>
    </row>
    <row r="1494" ht="22.5" customHeight="1">
      <c r="A1494" s="18" t="s">
        <v>6402</v>
      </c>
      <c r="B1494" s="19" t="s">
        <v>10909</v>
      </c>
      <c r="C1494" s="20" t="s">
        <v>6403</v>
      </c>
      <c r="D1494" s="19" t="s">
        <v>10910</v>
      </c>
      <c r="E1494" s="19" t="s">
        <v>2970</v>
      </c>
      <c r="F1494" s="19" t="s">
        <v>105</v>
      </c>
      <c r="G1494" s="21">
        <v>7.717568379E9</v>
      </c>
    </row>
    <row r="1495" ht="22.5" customHeight="1">
      <c r="A1495" s="22" t="s">
        <v>146</v>
      </c>
      <c r="B1495" s="23" t="s">
        <v>144</v>
      </c>
      <c r="C1495" s="24" t="s">
        <v>147</v>
      </c>
      <c r="D1495" s="23" t="s">
        <v>146</v>
      </c>
      <c r="E1495" s="23" t="s">
        <v>106</v>
      </c>
      <c r="F1495" s="23" t="s">
        <v>105</v>
      </c>
      <c r="G1495" s="25">
        <v>8.586809708E9</v>
      </c>
    </row>
    <row r="1496" ht="22.5" customHeight="1">
      <c r="A1496" s="18" t="s">
        <v>3814</v>
      </c>
      <c r="B1496" s="19" t="s">
        <v>10911</v>
      </c>
      <c r="C1496" s="20" t="s">
        <v>3815</v>
      </c>
      <c r="D1496" s="19" t="s">
        <v>10912</v>
      </c>
      <c r="E1496" s="19" t="s">
        <v>221</v>
      </c>
      <c r="F1496" s="19" t="s">
        <v>105</v>
      </c>
      <c r="G1496" s="21">
        <v>9.78154042E9</v>
      </c>
    </row>
    <row r="1497" ht="22.5" customHeight="1">
      <c r="A1497" s="22" t="s">
        <v>4487</v>
      </c>
      <c r="B1497" s="23" t="s">
        <v>10913</v>
      </c>
      <c r="C1497" s="24" t="s">
        <v>4488</v>
      </c>
      <c r="D1497" s="23" t="s">
        <v>10914</v>
      </c>
      <c r="E1497" s="23" t="s">
        <v>617</v>
      </c>
      <c r="F1497" s="23" t="s">
        <v>105</v>
      </c>
      <c r="G1497" s="25">
        <v>7.417485354E9</v>
      </c>
    </row>
    <row r="1498" ht="22.5" customHeight="1">
      <c r="A1498" s="18" t="s">
        <v>7837</v>
      </c>
      <c r="B1498" s="19" t="s">
        <v>10915</v>
      </c>
      <c r="C1498" s="20" t="s">
        <v>7838</v>
      </c>
      <c r="D1498" s="19" t="s">
        <v>10916</v>
      </c>
      <c r="E1498" s="19" t="s">
        <v>792</v>
      </c>
      <c r="F1498" s="19" t="s">
        <v>105</v>
      </c>
      <c r="G1498" s="21">
        <v>8.527757571E9</v>
      </c>
    </row>
    <row r="1499" ht="22.5" customHeight="1">
      <c r="A1499" s="22" t="s">
        <v>3725</v>
      </c>
      <c r="B1499" s="23" t="s">
        <v>10917</v>
      </c>
      <c r="C1499" s="24" t="s">
        <v>3726</v>
      </c>
      <c r="D1499" s="23" t="s">
        <v>10918</v>
      </c>
      <c r="E1499" s="23" t="s">
        <v>227</v>
      </c>
      <c r="F1499" s="23" t="s">
        <v>105</v>
      </c>
      <c r="G1499" s="25">
        <v>9.877434269E9</v>
      </c>
    </row>
    <row r="1500" ht="22.5" customHeight="1">
      <c r="A1500" s="18" t="s">
        <v>7291</v>
      </c>
      <c r="B1500" s="19" t="s">
        <v>10919</v>
      </c>
      <c r="C1500" s="20" t="s">
        <v>7292</v>
      </c>
      <c r="D1500" s="19" t="s">
        <v>10920</v>
      </c>
      <c r="E1500" s="19" t="s">
        <v>1561</v>
      </c>
      <c r="F1500" s="19" t="s">
        <v>105</v>
      </c>
      <c r="G1500" s="21">
        <v>7.009941112E9</v>
      </c>
    </row>
    <row r="1501" ht="22.5" customHeight="1">
      <c r="A1501" s="22" t="s">
        <v>10921</v>
      </c>
      <c r="B1501" s="23" t="s">
        <v>10922</v>
      </c>
      <c r="C1501" s="24" t="s">
        <v>2939</v>
      </c>
      <c r="D1501" s="23" t="s">
        <v>10923</v>
      </c>
      <c r="E1501" s="23" t="s">
        <v>604</v>
      </c>
      <c r="F1501" s="23" t="s">
        <v>105</v>
      </c>
      <c r="G1501" s="25">
        <v>8.146173786E9</v>
      </c>
    </row>
    <row r="1502" ht="22.5" customHeight="1">
      <c r="A1502" s="18" t="s">
        <v>10924</v>
      </c>
      <c r="B1502" s="19" t="s">
        <v>10925</v>
      </c>
      <c r="C1502" s="20" t="s">
        <v>6552</v>
      </c>
      <c r="D1502" s="19" t="s">
        <v>10926</v>
      </c>
      <c r="E1502" s="19" t="s">
        <v>47</v>
      </c>
      <c r="F1502" s="19" t="s">
        <v>105</v>
      </c>
      <c r="G1502" s="21">
        <v>8.260000036E9</v>
      </c>
    </row>
    <row r="1503" ht="22.5" customHeight="1">
      <c r="A1503" s="22" t="s">
        <v>275</v>
      </c>
      <c r="B1503" s="23" t="s">
        <v>272</v>
      </c>
      <c r="C1503" s="24" t="s">
        <v>276</v>
      </c>
      <c r="D1503" s="23" t="s">
        <v>10927</v>
      </c>
      <c r="E1503" s="23" t="s">
        <v>277</v>
      </c>
      <c r="F1503" s="23" t="s">
        <v>105</v>
      </c>
      <c r="G1503" s="25">
        <v>8.840953083E9</v>
      </c>
    </row>
    <row r="1504" ht="22.5" customHeight="1">
      <c r="A1504" s="18" t="s">
        <v>2892</v>
      </c>
      <c r="B1504" s="19" t="s">
        <v>10928</v>
      </c>
      <c r="C1504" s="20" t="s">
        <v>2893</v>
      </c>
      <c r="D1504" s="19" t="s">
        <v>10929</v>
      </c>
      <c r="E1504" s="19" t="s">
        <v>604</v>
      </c>
      <c r="F1504" s="19" t="s">
        <v>105</v>
      </c>
      <c r="G1504" s="21">
        <v>8.968223102E9</v>
      </c>
    </row>
    <row r="1505" ht="22.5" customHeight="1">
      <c r="A1505" s="22" t="s">
        <v>6190</v>
      </c>
      <c r="B1505" s="23" t="s">
        <v>8690</v>
      </c>
      <c r="C1505" s="24" t="s">
        <v>6191</v>
      </c>
      <c r="D1505" s="23" t="s">
        <v>10930</v>
      </c>
      <c r="E1505" s="23" t="s">
        <v>1002</v>
      </c>
      <c r="F1505" s="23" t="s">
        <v>105</v>
      </c>
      <c r="G1505" s="25">
        <v>8.872072713E9</v>
      </c>
    </row>
    <row r="1506" ht="22.5" customHeight="1">
      <c r="A1506" s="18" t="s">
        <v>4113</v>
      </c>
      <c r="B1506" s="19" t="s">
        <v>10931</v>
      </c>
      <c r="C1506" s="20" t="s">
        <v>4114</v>
      </c>
      <c r="D1506" s="19" t="s">
        <v>10932</v>
      </c>
      <c r="E1506" s="19" t="s">
        <v>365</v>
      </c>
      <c r="F1506" s="19" t="s">
        <v>105</v>
      </c>
      <c r="G1506" s="21">
        <v>9.878081006E9</v>
      </c>
    </row>
    <row r="1507" ht="22.5" customHeight="1">
      <c r="A1507" s="22" t="s">
        <v>6027</v>
      </c>
      <c r="B1507" s="23" t="s">
        <v>10933</v>
      </c>
      <c r="C1507" s="24" t="s">
        <v>6028</v>
      </c>
      <c r="D1507" s="23" t="s">
        <v>10934</v>
      </c>
      <c r="E1507" s="23" t="s">
        <v>287</v>
      </c>
      <c r="F1507" s="23" t="s">
        <v>105</v>
      </c>
      <c r="G1507" s="25">
        <v>8.837576077E9</v>
      </c>
    </row>
    <row r="1508" ht="22.5" customHeight="1">
      <c r="A1508" s="18" t="s">
        <v>8692</v>
      </c>
      <c r="B1508" s="19" t="s">
        <v>8690</v>
      </c>
      <c r="C1508" s="20" t="s">
        <v>8693</v>
      </c>
      <c r="D1508" s="19" t="s">
        <v>10935</v>
      </c>
      <c r="E1508" s="19" t="s">
        <v>1303</v>
      </c>
      <c r="F1508" s="19" t="s">
        <v>105</v>
      </c>
      <c r="G1508" s="21">
        <v>9.350924216E9</v>
      </c>
    </row>
    <row r="1509" ht="22.5" customHeight="1">
      <c r="A1509" s="22" t="s">
        <v>10936</v>
      </c>
      <c r="B1509" s="23" t="s">
        <v>10937</v>
      </c>
      <c r="C1509" s="24" t="s">
        <v>3648</v>
      </c>
      <c r="D1509" s="23" t="s">
        <v>10938</v>
      </c>
      <c r="E1509" s="23" t="s">
        <v>543</v>
      </c>
      <c r="F1509" s="23" t="s">
        <v>105</v>
      </c>
      <c r="G1509" s="57"/>
    </row>
    <row r="1510" ht="22.5" customHeight="1">
      <c r="A1510" s="18" t="s">
        <v>2259</v>
      </c>
      <c r="B1510" s="19" t="s">
        <v>10939</v>
      </c>
      <c r="C1510" s="20" t="s">
        <v>2260</v>
      </c>
      <c r="D1510" s="19" t="s">
        <v>10940</v>
      </c>
      <c r="E1510" s="19" t="s">
        <v>304</v>
      </c>
      <c r="F1510" s="19" t="s">
        <v>105</v>
      </c>
      <c r="G1510" s="21">
        <v>9.77983091E9</v>
      </c>
    </row>
    <row r="1511" ht="22.5" customHeight="1">
      <c r="A1511" s="22" t="s">
        <v>2377</v>
      </c>
      <c r="B1511" s="23" t="s">
        <v>10941</v>
      </c>
      <c r="C1511" s="24" t="s">
        <v>2378</v>
      </c>
      <c r="D1511" s="23" t="s">
        <v>10942</v>
      </c>
      <c r="E1511" s="23" t="s">
        <v>1873</v>
      </c>
      <c r="F1511" s="23" t="s">
        <v>105</v>
      </c>
      <c r="G1511" s="25">
        <v>7.347450496E9</v>
      </c>
    </row>
    <row r="1512" ht="22.5" customHeight="1">
      <c r="A1512" s="18" t="s">
        <v>6471</v>
      </c>
      <c r="B1512" s="19" t="s">
        <v>10943</v>
      </c>
      <c r="C1512" s="20" t="s">
        <v>10943</v>
      </c>
      <c r="D1512" s="19" t="s">
        <v>10944</v>
      </c>
      <c r="E1512" s="19" t="s">
        <v>2970</v>
      </c>
      <c r="F1512" s="19" t="s">
        <v>105</v>
      </c>
      <c r="G1512" s="21">
        <v>9.625271265E9</v>
      </c>
    </row>
    <row r="1513" ht="22.5" customHeight="1">
      <c r="A1513" s="22" t="s">
        <v>8550</v>
      </c>
      <c r="B1513" s="23" t="s">
        <v>8548</v>
      </c>
      <c r="C1513" s="24" t="s">
        <v>8551</v>
      </c>
      <c r="D1513" s="23" t="s">
        <v>10945</v>
      </c>
      <c r="E1513" s="23" t="s">
        <v>1607</v>
      </c>
      <c r="F1513" s="23" t="s">
        <v>105</v>
      </c>
      <c r="G1513" s="25">
        <v>7.696137548E9</v>
      </c>
    </row>
    <row r="1514" ht="22.5" customHeight="1">
      <c r="A1514" s="18" t="s">
        <v>4391</v>
      </c>
      <c r="B1514" s="19" t="s">
        <v>10946</v>
      </c>
      <c r="C1514" s="20" t="s">
        <v>4393</v>
      </c>
      <c r="D1514" s="19" t="s">
        <v>10947</v>
      </c>
      <c r="E1514" s="19" t="s">
        <v>1462</v>
      </c>
      <c r="F1514" s="19" t="s">
        <v>105</v>
      </c>
      <c r="G1514" s="64" t="s">
        <v>10948</v>
      </c>
    </row>
    <row r="1515" ht="22.5" customHeight="1">
      <c r="A1515" s="22" t="s">
        <v>6827</v>
      </c>
      <c r="B1515" s="23" t="s">
        <v>10949</v>
      </c>
      <c r="C1515" s="24" t="s">
        <v>6828</v>
      </c>
      <c r="D1515" s="23" t="s">
        <v>10950</v>
      </c>
      <c r="E1515" s="23" t="s">
        <v>469</v>
      </c>
      <c r="F1515" s="23" t="s">
        <v>105</v>
      </c>
      <c r="G1515" s="25">
        <v>9.888109465E9</v>
      </c>
    </row>
    <row r="1516" ht="22.5" customHeight="1">
      <c r="A1516" s="18" t="s">
        <v>5827</v>
      </c>
      <c r="B1516" s="19" t="s">
        <v>10951</v>
      </c>
      <c r="C1516" s="20" t="s">
        <v>5828</v>
      </c>
      <c r="D1516" s="19" t="s">
        <v>10952</v>
      </c>
      <c r="E1516" s="19" t="s">
        <v>42</v>
      </c>
      <c r="F1516" s="19" t="s">
        <v>105</v>
      </c>
      <c r="G1516" s="21">
        <v>8.103137074E9</v>
      </c>
    </row>
    <row r="1517" ht="22.5" customHeight="1">
      <c r="A1517" s="22" t="s">
        <v>6968</v>
      </c>
      <c r="B1517" s="23" t="s">
        <v>10953</v>
      </c>
      <c r="C1517" s="24" t="s">
        <v>6969</v>
      </c>
      <c r="D1517" s="23" t="s">
        <v>6968</v>
      </c>
      <c r="E1517" s="23" t="s">
        <v>1946</v>
      </c>
      <c r="F1517" s="23" t="s">
        <v>105</v>
      </c>
      <c r="G1517" s="25">
        <v>9.877627707E9</v>
      </c>
    </row>
    <row r="1518" ht="22.5" customHeight="1">
      <c r="A1518" s="18" t="s">
        <v>6986</v>
      </c>
      <c r="B1518" s="19" t="s">
        <v>10954</v>
      </c>
      <c r="C1518" s="20" t="s">
        <v>6987</v>
      </c>
      <c r="D1518" s="19" t="s">
        <v>10955</v>
      </c>
      <c r="E1518" s="19" t="s">
        <v>3956</v>
      </c>
      <c r="F1518" s="19" t="s">
        <v>105</v>
      </c>
      <c r="G1518" s="21">
        <v>7.015340019E9</v>
      </c>
    </row>
    <row r="1519" ht="22.5" customHeight="1">
      <c r="A1519" s="22" t="s">
        <v>4857</v>
      </c>
      <c r="B1519" s="23" t="s">
        <v>10956</v>
      </c>
      <c r="C1519" s="24" t="s">
        <v>4859</v>
      </c>
      <c r="D1519" s="23" t="s">
        <v>10957</v>
      </c>
      <c r="E1519" s="23" t="s">
        <v>889</v>
      </c>
      <c r="F1519" s="23" t="s">
        <v>105</v>
      </c>
      <c r="G1519" s="25">
        <v>8.4204063E9</v>
      </c>
    </row>
    <row r="1520" ht="22.5" customHeight="1">
      <c r="A1520" s="18" t="s">
        <v>8506</v>
      </c>
      <c r="B1520" s="19" t="s">
        <v>8504</v>
      </c>
      <c r="C1520" s="20" t="s">
        <v>8507</v>
      </c>
      <c r="D1520" s="19" t="s">
        <v>10958</v>
      </c>
      <c r="E1520" s="19" t="s">
        <v>231</v>
      </c>
      <c r="F1520" s="19" t="s">
        <v>105</v>
      </c>
      <c r="G1520" s="21">
        <v>9.813036E9</v>
      </c>
    </row>
    <row r="1521" ht="22.5" customHeight="1">
      <c r="A1521" s="22" t="s">
        <v>5860</v>
      </c>
      <c r="B1521" s="23" t="s">
        <v>10959</v>
      </c>
      <c r="C1521" s="24" t="s">
        <v>5863</v>
      </c>
      <c r="D1521" s="23" t="s">
        <v>10960</v>
      </c>
      <c r="E1521" s="23" t="s">
        <v>277</v>
      </c>
      <c r="F1521" s="23" t="s">
        <v>105</v>
      </c>
      <c r="G1521" s="25">
        <v>9.814201827E9</v>
      </c>
    </row>
    <row r="1522" ht="22.5" customHeight="1">
      <c r="A1522" s="18" t="s">
        <v>3577</v>
      </c>
      <c r="B1522" s="19" t="s">
        <v>10961</v>
      </c>
      <c r="C1522" s="20" t="s">
        <v>3562</v>
      </c>
      <c r="D1522" s="19" t="s">
        <v>3577</v>
      </c>
      <c r="E1522" s="19" t="s">
        <v>68</v>
      </c>
      <c r="F1522" s="19" t="s">
        <v>105</v>
      </c>
      <c r="G1522" s="21">
        <v>8.97696508E9</v>
      </c>
    </row>
    <row r="1523" ht="22.5" customHeight="1">
      <c r="A1523" s="22" t="s">
        <v>3797</v>
      </c>
      <c r="B1523" s="23" t="s">
        <v>10962</v>
      </c>
      <c r="C1523" s="24" t="s">
        <v>3798</v>
      </c>
      <c r="D1523" s="23" t="s">
        <v>10963</v>
      </c>
      <c r="E1523" s="23" t="s">
        <v>221</v>
      </c>
      <c r="F1523" s="23" t="s">
        <v>105</v>
      </c>
      <c r="G1523" s="25">
        <v>6.205221245E9</v>
      </c>
    </row>
    <row r="1524" ht="22.5" customHeight="1">
      <c r="A1524" s="18" t="s">
        <v>7052</v>
      </c>
      <c r="B1524" s="19" t="s">
        <v>10964</v>
      </c>
      <c r="C1524" s="20" t="s">
        <v>7053</v>
      </c>
      <c r="D1524" s="19" t="s">
        <v>10965</v>
      </c>
      <c r="E1524" s="19" t="s">
        <v>3956</v>
      </c>
      <c r="F1524" s="19" t="s">
        <v>105</v>
      </c>
      <c r="G1524" s="21">
        <v>8.288051819E9</v>
      </c>
    </row>
    <row r="1525" ht="22.5" customHeight="1">
      <c r="A1525" s="22" t="s">
        <v>6577</v>
      </c>
      <c r="B1525" s="23" t="s">
        <v>10966</v>
      </c>
      <c r="C1525" s="24" t="s">
        <v>6578</v>
      </c>
      <c r="D1525" s="23" t="s">
        <v>10967</v>
      </c>
      <c r="E1525" s="23" t="s">
        <v>47</v>
      </c>
      <c r="F1525" s="23" t="s">
        <v>105</v>
      </c>
      <c r="G1525" s="25">
        <v>9.115409569E9</v>
      </c>
    </row>
    <row r="1526" ht="22.5" customHeight="1">
      <c r="A1526" s="18" t="s">
        <v>3546</v>
      </c>
      <c r="B1526" s="19" t="s">
        <v>10968</v>
      </c>
      <c r="C1526" s="20" t="s">
        <v>3547</v>
      </c>
      <c r="D1526" s="19" t="s">
        <v>10969</v>
      </c>
      <c r="E1526" s="19" t="s">
        <v>68</v>
      </c>
      <c r="F1526" s="19" t="s">
        <v>105</v>
      </c>
      <c r="G1526" s="21">
        <v>6.283426592E9</v>
      </c>
    </row>
    <row r="1527" ht="22.5" customHeight="1">
      <c r="A1527" s="22" t="s">
        <v>3664</v>
      </c>
      <c r="B1527" s="23" t="s">
        <v>10970</v>
      </c>
      <c r="C1527" s="24" t="s">
        <v>3665</v>
      </c>
      <c r="D1527" s="23" t="s">
        <v>10971</v>
      </c>
      <c r="E1527" s="23" t="s">
        <v>543</v>
      </c>
      <c r="F1527" s="23" t="s">
        <v>105</v>
      </c>
      <c r="G1527" s="25">
        <v>6.280363134E9</v>
      </c>
    </row>
    <row r="1528" ht="22.5" customHeight="1">
      <c r="A1528" s="18" t="s">
        <v>8154</v>
      </c>
      <c r="B1528" s="19" t="s">
        <v>10972</v>
      </c>
      <c r="C1528" s="20" t="s">
        <v>8155</v>
      </c>
      <c r="D1528" s="19" t="s">
        <v>10973</v>
      </c>
      <c r="E1528" s="19" t="s">
        <v>4200</v>
      </c>
      <c r="F1528" s="19" t="s">
        <v>105</v>
      </c>
      <c r="G1528" s="21">
        <v>9.650152983E9</v>
      </c>
    </row>
    <row r="1529" ht="22.5" customHeight="1">
      <c r="A1529" s="22" t="s">
        <v>7457</v>
      </c>
      <c r="B1529" s="23" t="s">
        <v>10974</v>
      </c>
      <c r="C1529" s="24" t="s">
        <v>7458</v>
      </c>
      <c r="D1529" s="23" t="s">
        <v>10975</v>
      </c>
      <c r="E1529" s="23" t="s">
        <v>523</v>
      </c>
      <c r="F1529" s="23" t="s">
        <v>105</v>
      </c>
      <c r="G1529" s="25">
        <v>9.013290112E9</v>
      </c>
    </row>
    <row r="1530" ht="22.5" customHeight="1">
      <c r="A1530" s="18" t="s">
        <v>10976</v>
      </c>
      <c r="B1530" s="19" t="s">
        <v>10977</v>
      </c>
      <c r="C1530" s="20" t="s">
        <v>3675</v>
      </c>
      <c r="D1530" s="19" t="s">
        <v>10978</v>
      </c>
      <c r="E1530" s="19" t="s">
        <v>227</v>
      </c>
      <c r="F1530" s="19" t="s">
        <v>105</v>
      </c>
      <c r="G1530" s="21">
        <v>7.340782147E9</v>
      </c>
    </row>
    <row r="1531" ht="22.5" customHeight="1">
      <c r="A1531" s="22" t="s">
        <v>10979</v>
      </c>
      <c r="B1531" s="23" t="s">
        <v>10980</v>
      </c>
      <c r="C1531" s="24" t="s">
        <v>10981</v>
      </c>
      <c r="D1531" s="23" t="s">
        <v>10982</v>
      </c>
      <c r="E1531" s="23" t="s">
        <v>384</v>
      </c>
      <c r="F1531" s="23" t="s">
        <v>105</v>
      </c>
      <c r="G1531" s="25">
        <v>6.370431016E9</v>
      </c>
    </row>
    <row r="1532" ht="22.5" customHeight="1">
      <c r="A1532" s="18" t="s">
        <v>2193</v>
      </c>
      <c r="B1532" s="19" t="s">
        <v>10983</v>
      </c>
      <c r="C1532" s="20" t="s">
        <v>2194</v>
      </c>
      <c r="D1532" s="19" t="s">
        <v>10984</v>
      </c>
      <c r="E1532" s="19" t="s">
        <v>304</v>
      </c>
      <c r="F1532" s="19" t="s">
        <v>105</v>
      </c>
      <c r="G1532" s="21">
        <v>8.847675339E9</v>
      </c>
    </row>
    <row r="1533" ht="22.5" customHeight="1">
      <c r="A1533" s="22" t="s">
        <v>6648</v>
      </c>
      <c r="B1533" s="23" t="s">
        <v>10985</v>
      </c>
      <c r="C1533" s="24" t="s">
        <v>6649</v>
      </c>
      <c r="D1533" s="23" t="s">
        <v>10986</v>
      </c>
      <c r="E1533" s="23" t="s">
        <v>98</v>
      </c>
      <c r="F1533" s="23" t="s">
        <v>105</v>
      </c>
      <c r="G1533" s="25">
        <v>6.006066917E9</v>
      </c>
    </row>
    <row r="1534" ht="22.5" customHeight="1">
      <c r="A1534" s="18" t="s">
        <v>7025</v>
      </c>
      <c r="B1534" s="19" t="s">
        <v>10987</v>
      </c>
      <c r="C1534" s="20" t="s">
        <v>7026</v>
      </c>
      <c r="D1534" s="19" t="s">
        <v>10988</v>
      </c>
      <c r="E1534" s="19" t="s">
        <v>3956</v>
      </c>
      <c r="F1534" s="19" t="s">
        <v>105</v>
      </c>
      <c r="G1534" s="21">
        <v>7.018804034E9</v>
      </c>
    </row>
    <row r="1535" ht="22.5" customHeight="1">
      <c r="A1535" s="22" t="s">
        <v>2921</v>
      </c>
      <c r="B1535" s="23" t="s">
        <v>10989</v>
      </c>
      <c r="C1535" s="24" t="s">
        <v>2922</v>
      </c>
      <c r="D1535" s="23" t="s">
        <v>10990</v>
      </c>
      <c r="E1535" s="23" t="s">
        <v>22</v>
      </c>
      <c r="F1535" s="23" t="s">
        <v>105</v>
      </c>
      <c r="G1535" s="25">
        <v>7.303022769E9</v>
      </c>
    </row>
    <row r="1536" ht="22.5" customHeight="1">
      <c r="A1536" s="18" t="s">
        <v>6273</v>
      </c>
      <c r="B1536" s="19" t="s">
        <v>10991</v>
      </c>
      <c r="C1536" s="20" t="s">
        <v>6275</v>
      </c>
      <c r="D1536" s="19" t="s">
        <v>10992</v>
      </c>
      <c r="E1536" s="19" t="s">
        <v>255</v>
      </c>
      <c r="F1536" s="19" t="s">
        <v>105</v>
      </c>
      <c r="G1536" s="21">
        <v>8.684889004E9</v>
      </c>
    </row>
    <row r="1537" ht="22.5" customHeight="1">
      <c r="A1537" s="22" t="s">
        <v>3195</v>
      </c>
      <c r="B1537" s="23" t="s">
        <v>10993</v>
      </c>
      <c r="C1537" s="24" t="s">
        <v>3196</v>
      </c>
      <c r="D1537" s="23" t="s">
        <v>10994</v>
      </c>
      <c r="E1537" s="23" t="s">
        <v>30</v>
      </c>
      <c r="F1537" s="23" t="s">
        <v>105</v>
      </c>
      <c r="G1537" s="25">
        <v>9.034517937E9</v>
      </c>
    </row>
    <row r="1538" ht="22.5" customHeight="1">
      <c r="A1538" s="18" t="s">
        <v>10995</v>
      </c>
      <c r="B1538" s="19" t="s">
        <v>10996</v>
      </c>
      <c r="C1538" s="20" t="s">
        <v>4625</v>
      </c>
      <c r="D1538" s="19" t="s">
        <v>10997</v>
      </c>
      <c r="E1538" s="19" t="s">
        <v>238</v>
      </c>
      <c r="F1538" s="19" t="s">
        <v>105</v>
      </c>
      <c r="G1538" s="21">
        <v>7.986197309E9</v>
      </c>
    </row>
    <row r="1539" ht="22.5" customHeight="1">
      <c r="A1539" s="22" t="s">
        <v>8795</v>
      </c>
      <c r="B1539" s="23" t="s">
        <v>8793</v>
      </c>
      <c r="C1539" s="24" t="s">
        <v>8796</v>
      </c>
      <c r="D1539" s="23" t="s">
        <v>10998</v>
      </c>
      <c r="E1539" s="23" t="s">
        <v>3118</v>
      </c>
      <c r="F1539" s="23" t="s">
        <v>105</v>
      </c>
      <c r="G1539" s="25">
        <v>9.878924631E9</v>
      </c>
    </row>
    <row r="1540" ht="22.5" customHeight="1">
      <c r="A1540" s="18" t="s">
        <v>1817</v>
      </c>
      <c r="B1540" s="19" t="s">
        <v>10999</v>
      </c>
      <c r="C1540" s="20" t="s">
        <v>1818</v>
      </c>
      <c r="D1540" s="19" t="s">
        <v>11000</v>
      </c>
      <c r="E1540" s="19" t="s">
        <v>1653</v>
      </c>
      <c r="F1540" s="19" t="s">
        <v>105</v>
      </c>
      <c r="G1540" s="21">
        <v>9.625265601E9</v>
      </c>
    </row>
    <row r="1541" ht="22.5" customHeight="1">
      <c r="A1541" s="22" t="s">
        <v>3518</v>
      </c>
      <c r="B1541" s="23" t="s">
        <v>11001</v>
      </c>
      <c r="C1541" s="24" t="s">
        <v>3519</v>
      </c>
      <c r="D1541" s="23" t="s">
        <v>11002</v>
      </c>
      <c r="E1541" s="23" t="s">
        <v>68</v>
      </c>
      <c r="F1541" s="23" t="s">
        <v>105</v>
      </c>
      <c r="G1541" s="25">
        <v>6.280842919E9</v>
      </c>
    </row>
    <row r="1542" ht="22.5" customHeight="1">
      <c r="A1542" s="18" t="s">
        <v>7446</v>
      </c>
      <c r="B1542" s="19" t="s">
        <v>11003</v>
      </c>
      <c r="C1542" s="20" t="s">
        <v>7447</v>
      </c>
      <c r="D1542" s="19" t="s">
        <v>11004</v>
      </c>
      <c r="E1542" s="19" t="s">
        <v>523</v>
      </c>
      <c r="F1542" s="19" t="s">
        <v>105</v>
      </c>
      <c r="G1542" s="21">
        <v>9.680432273E9</v>
      </c>
    </row>
    <row r="1543" ht="22.5" customHeight="1">
      <c r="A1543" s="22" t="s">
        <v>5915</v>
      </c>
      <c r="B1543" s="23" t="s">
        <v>11005</v>
      </c>
      <c r="C1543" s="24" t="s">
        <v>5916</v>
      </c>
      <c r="D1543" s="23" t="s">
        <v>11006</v>
      </c>
      <c r="E1543" s="23" t="s">
        <v>277</v>
      </c>
      <c r="F1543" s="23" t="s">
        <v>105</v>
      </c>
      <c r="G1543" s="25">
        <v>6.375971152E9</v>
      </c>
    </row>
    <row r="1544" ht="22.5" customHeight="1">
      <c r="A1544" s="18" t="s">
        <v>5720</v>
      </c>
      <c r="B1544" s="19" t="s">
        <v>11007</v>
      </c>
      <c r="C1544" s="20" t="s">
        <v>5721</v>
      </c>
      <c r="D1544" s="19" t="s">
        <v>11008</v>
      </c>
      <c r="E1544" s="19" t="s">
        <v>1243</v>
      </c>
      <c r="F1544" s="19" t="s">
        <v>105</v>
      </c>
      <c r="G1544" s="21">
        <v>8.968379248E9</v>
      </c>
    </row>
    <row r="1545" ht="22.5" customHeight="1">
      <c r="A1545" s="22" t="s">
        <v>6252</v>
      </c>
      <c r="B1545" s="23" t="s">
        <v>11009</v>
      </c>
      <c r="C1545" s="24" t="s">
        <v>6253</v>
      </c>
      <c r="D1545" s="23" t="s">
        <v>11010</v>
      </c>
      <c r="E1545" s="23" t="s">
        <v>255</v>
      </c>
      <c r="F1545" s="23" t="s">
        <v>105</v>
      </c>
      <c r="G1545" s="25">
        <v>9.66704094E9</v>
      </c>
    </row>
    <row r="1546" ht="22.5" customHeight="1">
      <c r="A1546" s="18" t="s">
        <v>1403</v>
      </c>
      <c r="B1546" s="19" t="s">
        <v>11011</v>
      </c>
      <c r="C1546" s="20" t="s">
        <v>1404</v>
      </c>
      <c r="D1546" s="19" t="s">
        <v>11012</v>
      </c>
      <c r="E1546" s="19" t="s">
        <v>389</v>
      </c>
      <c r="F1546" s="19" t="s">
        <v>105</v>
      </c>
      <c r="G1546" s="21">
        <v>7.852021011E9</v>
      </c>
    </row>
    <row r="1547" ht="22.5" customHeight="1">
      <c r="A1547" s="22" t="s">
        <v>324</v>
      </c>
      <c r="B1547" s="23" t="s">
        <v>321</v>
      </c>
      <c r="C1547" s="24" t="s">
        <v>325</v>
      </c>
      <c r="D1547" s="23" t="s">
        <v>11013</v>
      </c>
      <c r="E1547" s="23" t="s">
        <v>106</v>
      </c>
      <c r="F1547" s="23" t="s">
        <v>105</v>
      </c>
      <c r="G1547" s="25">
        <v>7.717480939E9</v>
      </c>
    </row>
    <row r="1548" ht="22.5" customHeight="1">
      <c r="A1548" s="18" t="s">
        <v>11014</v>
      </c>
      <c r="B1548" s="19" t="s">
        <v>11015</v>
      </c>
      <c r="C1548" s="20" t="s">
        <v>11016</v>
      </c>
      <c r="D1548" s="19" t="s">
        <v>11017</v>
      </c>
      <c r="E1548" s="19" t="s">
        <v>11018</v>
      </c>
      <c r="F1548" s="19" t="s">
        <v>105</v>
      </c>
      <c r="G1548" s="21">
        <v>8.815169756E9</v>
      </c>
    </row>
    <row r="1549" ht="22.5" customHeight="1">
      <c r="A1549" s="22" t="s">
        <v>11019</v>
      </c>
      <c r="B1549" s="23" t="s">
        <v>11020</v>
      </c>
      <c r="C1549" s="24" t="s">
        <v>986</v>
      </c>
      <c r="D1549" s="23" t="s">
        <v>11021</v>
      </c>
      <c r="E1549" s="23" t="s">
        <v>140</v>
      </c>
      <c r="F1549" s="23" t="s">
        <v>105</v>
      </c>
      <c r="G1549" s="57"/>
    </row>
    <row r="1550" ht="22.5" customHeight="1">
      <c r="A1550" s="18" t="s">
        <v>7971</v>
      </c>
      <c r="B1550" s="19" t="s">
        <v>11022</v>
      </c>
      <c r="C1550" s="20" t="s">
        <v>7972</v>
      </c>
      <c r="D1550" s="19" t="s">
        <v>11023</v>
      </c>
      <c r="E1550" s="19" t="s">
        <v>559</v>
      </c>
      <c r="F1550" s="19" t="s">
        <v>105</v>
      </c>
      <c r="G1550" s="21">
        <v>7.889123561E9</v>
      </c>
    </row>
    <row r="1551" ht="22.5" customHeight="1">
      <c r="A1551" s="22" t="s">
        <v>11024</v>
      </c>
      <c r="B1551" s="23" t="s">
        <v>11025</v>
      </c>
      <c r="C1551" s="24" t="s">
        <v>6691</v>
      </c>
      <c r="D1551" s="23" t="s">
        <v>11026</v>
      </c>
      <c r="E1551" s="23" t="s">
        <v>98</v>
      </c>
      <c r="F1551" s="23" t="s">
        <v>105</v>
      </c>
      <c r="G1551" s="25">
        <v>9.186036817E9</v>
      </c>
    </row>
    <row r="1552" ht="22.5" customHeight="1">
      <c r="A1552" s="18" t="s">
        <v>1772</v>
      </c>
      <c r="B1552" s="19" t="s">
        <v>11027</v>
      </c>
      <c r="C1552" s="20" t="s">
        <v>1773</v>
      </c>
      <c r="D1552" s="19" t="s">
        <v>11028</v>
      </c>
      <c r="E1552" s="19" t="s">
        <v>1653</v>
      </c>
      <c r="F1552" s="19" t="s">
        <v>105</v>
      </c>
      <c r="G1552" s="21">
        <v>9.111693168E9</v>
      </c>
    </row>
    <row r="1553" ht="22.5" customHeight="1">
      <c r="A1553" s="22" t="s">
        <v>1516</v>
      </c>
      <c r="B1553" s="23" t="s">
        <v>11029</v>
      </c>
      <c r="C1553" s="24" t="s">
        <v>1517</v>
      </c>
      <c r="D1553" s="23" t="s">
        <v>11030</v>
      </c>
      <c r="E1553" s="23" t="s">
        <v>75</v>
      </c>
      <c r="F1553" s="23" t="s">
        <v>105</v>
      </c>
      <c r="G1553" s="25">
        <v>7.973445728E9</v>
      </c>
    </row>
    <row r="1554" ht="22.5" customHeight="1">
      <c r="A1554" s="18" t="s">
        <v>467</v>
      </c>
      <c r="B1554" s="19" t="s">
        <v>11031</v>
      </c>
      <c r="C1554" s="20" t="s">
        <v>468</v>
      </c>
      <c r="D1554" s="19" t="s">
        <v>11032</v>
      </c>
      <c r="E1554" s="19" t="s">
        <v>57</v>
      </c>
      <c r="F1554" s="19" t="s">
        <v>105</v>
      </c>
      <c r="G1554" s="21">
        <v>6.280091052E9</v>
      </c>
    </row>
    <row r="1555" ht="22.5" customHeight="1">
      <c r="A1555" s="22" t="s">
        <v>7329</v>
      </c>
      <c r="B1555" s="23" t="s">
        <v>11033</v>
      </c>
      <c r="C1555" s="24" t="s">
        <v>7331</v>
      </c>
      <c r="D1555" s="23" t="s">
        <v>11034</v>
      </c>
      <c r="E1555" s="23" t="s">
        <v>1561</v>
      </c>
      <c r="F1555" s="23" t="s">
        <v>105</v>
      </c>
      <c r="G1555" s="25">
        <v>7.889141706E9</v>
      </c>
    </row>
    <row r="1556" ht="22.5" customHeight="1">
      <c r="A1556" s="18" t="s">
        <v>766</v>
      </c>
      <c r="B1556" s="19" t="s">
        <v>763</v>
      </c>
      <c r="C1556" s="20" t="s">
        <v>767</v>
      </c>
      <c r="D1556" s="19" t="s">
        <v>11035</v>
      </c>
      <c r="E1556" s="19" t="s">
        <v>57</v>
      </c>
      <c r="F1556" s="19" t="s">
        <v>105</v>
      </c>
      <c r="G1556" s="21">
        <v>9.779773201E9</v>
      </c>
    </row>
    <row r="1557" ht="22.5" customHeight="1">
      <c r="A1557" s="22" t="s">
        <v>4147</v>
      </c>
      <c r="B1557" s="23" t="s">
        <v>11036</v>
      </c>
      <c r="C1557" s="24" t="s">
        <v>4148</v>
      </c>
      <c r="D1557" s="23" t="s">
        <v>4147</v>
      </c>
      <c r="E1557" s="23" t="s">
        <v>365</v>
      </c>
      <c r="F1557" s="23" t="s">
        <v>105</v>
      </c>
      <c r="G1557" s="25">
        <v>7.905130789E9</v>
      </c>
    </row>
    <row r="1558" ht="22.5" customHeight="1">
      <c r="A1558" s="18" t="s">
        <v>11037</v>
      </c>
      <c r="B1558" s="19" t="s">
        <v>11038</v>
      </c>
      <c r="C1558" s="20" t="s">
        <v>2436</v>
      </c>
      <c r="D1558" s="19" t="s">
        <v>11039</v>
      </c>
      <c r="E1558" s="19" t="s">
        <v>184</v>
      </c>
      <c r="F1558" s="19" t="s">
        <v>105</v>
      </c>
      <c r="G1558" s="21">
        <v>7.380079444E9</v>
      </c>
    </row>
    <row r="1559" ht="22.5" customHeight="1">
      <c r="A1559" s="22" t="s">
        <v>7085</v>
      </c>
      <c r="B1559" s="23" t="s">
        <v>11040</v>
      </c>
      <c r="C1559" s="24" t="s">
        <v>7086</v>
      </c>
      <c r="D1559" s="23" t="s">
        <v>11041</v>
      </c>
      <c r="E1559" s="23" t="s">
        <v>3956</v>
      </c>
      <c r="F1559" s="23" t="s">
        <v>105</v>
      </c>
      <c r="G1559" s="25">
        <v>8.699172008E9</v>
      </c>
    </row>
    <row r="1560" ht="22.5" customHeight="1">
      <c r="A1560" s="18" t="s">
        <v>6334</v>
      </c>
      <c r="B1560" s="19" t="s">
        <v>11042</v>
      </c>
      <c r="C1560" s="20" t="s">
        <v>6335</v>
      </c>
      <c r="D1560" s="19" t="s">
        <v>11043</v>
      </c>
      <c r="E1560" s="19" t="s">
        <v>255</v>
      </c>
      <c r="F1560" s="19" t="s">
        <v>105</v>
      </c>
      <c r="G1560" s="21">
        <v>7.988818113E9</v>
      </c>
    </row>
    <row r="1561" ht="22.5" customHeight="1">
      <c r="A1561" s="22" t="s">
        <v>2886</v>
      </c>
      <c r="B1561" s="23" t="s">
        <v>11044</v>
      </c>
      <c r="C1561" s="24" t="s">
        <v>2887</v>
      </c>
      <c r="D1561" s="23" t="s">
        <v>11045</v>
      </c>
      <c r="E1561" s="23" t="s">
        <v>604</v>
      </c>
      <c r="F1561" s="23" t="s">
        <v>105</v>
      </c>
      <c r="G1561" s="25">
        <v>9.9967187E9</v>
      </c>
    </row>
    <row r="1562" ht="22.5" customHeight="1">
      <c r="A1562" s="18" t="s">
        <v>7634</v>
      </c>
      <c r="B1562" s="19" t="s">
        <v>11046</v>
      </c>
      <c r="C1562" s="20" t="s">
        <v>7635</v>
      </c>
      <c r="D1562" s="19" t="s">
        <v>11047</v>
      </c>
      <c r="E1562" s="19" t="s">
        <v>123</v>
      </c>
      <c r="F1562" s="19" t="s">
        <v>105</v>
      </c>
      <c r="G1562" s="21">
        <v>9.850659911E9</v>
      </c>
    </row>
    <row r="1563" ht="22.5" customHeight="1">
      <c r="A1563" s="22" t="s">
        <v>11048</v>
      </c>
      <c r="B1563" s="23" t="s">
        <v>11049</v>
      </c>
      <c r="C1563" s="24" t="s">
        <v>1659</v>
      </c>
      <c r="D1563" s="23" t="s">
        <v>11050</v>
      </c>
      <c r="E1563" s="23" t="s">
        <v>1653</v>
      </c>
      <c r="F1563" s="23" t="s">
        <v>105</v>
      </c>
      <c r="G1563" s="25">
        <v>8.780879902E9</v>
      </c>
    </row>
    <row r="1564" ht="22.5" customHeight="1">
      <c r="A1564" s="18" t="s">
        <v>2909</v>
      </c>
      <c r="B1564" s="19" t="s">
        <v>11051</v>
      </c>
      <c r="C1564" s="20" t="s">
        <v>2910</v>
      </c>
      <c r="D1564" s="19" t="s">
        <v>11052</v>
      </c>
      <c r="E1564" s="19" t="s">
        <v>604</v>
      </c>
      <c r="F1564" s="19" t="s">
        <v>105</v>
      </c>
      <c r="G1564" s="21">
        <v>8.054074184E9</v>
      </c>
    </row>
    <row r="1565" ht="22.5" customHeight="1">
      <c r="A1565" s="22" t="s">
        <v>8094</v>
      </c>
      <c r="B1565" s="23" t="s">
        <v>11053</v>
      </c>
      <c r="C1565" s="24" t="s">
        <v>8095</v>
      </c>
      <c r="D1565" s="23" t="s">
        <v>11054</v>
      </c>
      <c r="E1565" s="23" t="s">
        <v>4200</v>
      </c>
      <c r="F1565" s="23" t="s">
        <v>105</v>
      </c>
      <c r="G1565" s="25">
        <v>9.656500002E9</v>
      </c>
    </row>
    <row r="1566" ht="22.5" customHeight="1">
      <c r="A1566" s="18" t="s">
        <v>4524</v>
      </c>
      <c r="B1566" s="19" t="s">
        <v>11055</v>
      </c>
      <c r="C1566" s="20" t="s">
        <v>4525</v>
      </c>
      <c r="D1566" s="19" t="s">
        <v>11056</v>
      </c>
      <c r="E1566" s="19" t="s">
        <v>617</v>
      </c>
      <c r="F1566" s="19" t="s">
        <v>105</v>
      </c>
      <c r="G1566" s="21">
        <v>9.119777727E9</v>
      </c>
    </row>
    <row r="1567" ht="22.5" customHeight="1">
      <c r="A1567" s="22" t="s">
        <v>7925</v>
      </c>
      <c r="B1567" s="23" t="s">
        <v>11057</v>
      </c>
      <c r="C1567" s="24" t="s">
        <v>7926</v>
      </c>
      <c r="D1567" s="23" t="s">
        <v>11058</v>
      </c>
      <c r="E1567" s="23" t="s">
        <v>303</v>
      </c>
      <c r="F1567" s="23" t="s">
        <v>105</v>
      </c>
      <c r="G1567" s="25">
        <v>8.284878989E9</v>
      </c>
    </row>
    <row r="1568" ht="22.5" customHeight="1">
      <c r="A1568" s="18" t="s">
        <v>2583</v>
      </c>
      <c r="B1568" s="19" t="s">
        <v>11059</v>
      </c>
      <c r="C1568" s="20" t="s">
        <v>2584</v>
      </c>
      <c r="D1568" s="19" t="s">
        <v>11060</v>
      </c>
      <c r="E1568" s="19" t="s">
        <v>63</v>
      </c>
      <c r="F1568" s="19" t="s">
        <v>105</v>
      </c>
      <c r="G1568" s="21">
        <v>9.653790565E9</v>
      </c>
    </row>
    <row r="1569" ht="22.5" customHeight="1">
      <c r="A1569" s="22" t="s">
        <v>11061</v>
      </c>
      <c r="B1569" s="23" t="s">
        <v>11062</v>
      </c>
      <c r="C1569" s="24" t="s">
        <v>3891</v>
      </c>
      <c r="D1569" s="23" t="s">
        <v>11061</v>
      </c>
      <c r="E1569" s="23" t="s">
        <v>282</v>
      </c>
      <c r="F1569" s="23" t="s">
        <v>105</v>
      </c>
      <c r="G1569" s="25">
        <v>9.915825534E9</v>
      </c>
    </row>
    <row r="1570" ht="22.5" customHeight="1">
      <c r="A1570" s="18" t="s">
        <v>78</v>
      </c>
      <c r="B1570" s="19" t="s">
        <v>76</v>
      </c>
      <c r="C1570" s="20" t="s">
        <v>80</v>
      </c>
      <c r="D1570" s="19" t="s">
        <v>11063</v>
      </c>
      <c r="E1570" s="19" t="s">
        <v>81</v>
      </c>
      <c r="F1570" s="19" t="s">
        <v>105</v>
      </c>
      <c r="G1570" s="21">
        <v>8.307531115E9</v>
      </c>
    </row>
    <row r="1571" ht="22.5" customHeight="1">
      <c r="A1571" s="22" t="s">
        <v>382</v>
      </c>
      <c r="B1571" s="23" t="s">
        <v>11064</v>
      </c>
      <c r="C1571" s="24" t="s">
        <v>383</v>
      </c>
      <c r="D1571" s="23" t="s">
        <v>11065</v>
      </c>
      <c r="E1571" s="23" t="s">
        <v>231</v>
      </c>
      <c r="F1571" s="23" t="s">
        <v>105</v>
      </c>
      <c r="G1571" s="25">
        <v>9.915392082E9</v>
      </c>
    </row>
    <row r="1572" ht="22.5" customHeight="1">
      <c r="A1572" s="18" t="s">
        <v>4018</v>
      </c>
      <c r="B1572" s="19" t="s">
        <v>11066</v>
      </c>
      <c r="C1572" s="20" t="s">
        <v>4019</v>
      </c>
      <c r="D1572" s="19" t="s">
        <v>11067</v>
      </c>
      <c r="E1572" s="19" t="s">
        <v>314</v>
      </c>
      <c r="F1572" s="19" t="s">
        <v>105</v>
      </c>
      <c r="G1572" s="21">
        <v>9.877950769E9</v>
      </c>
    </row>
    <row r="1573" ht="22.5" customHeight="1">
      <c r="A1573" s="22" t="s">
        <v>5342</v>
      </c>
      <c r="B1573" s="23" t="s">
        <v>11066</v>
      </c>
      <c r="C1573" s="24" t="s">
        <v>2800</v>
      </c>
      <c r="D1573" s="23" t="s">
        <v>11068</v>
      </c>
      <c r="E1573" s="23" t="s">
        <v>1379</v>
      </c>
      <c r="F1573" s="23" t="s">
        <v>105</v>
      </c>
      <c r="G1573" s="25">
        <v>8.847506683E9</v>
      </c>
    </row>
    <row r="1574" ht="22.5" customHeight="1">
      <c r="A1574" s="18" t="s">
        <v>5403</v>
      </c>
      <c r="B1574" s="19" t="s">
        <v>11069</v>
      </c>
      <c r="C1574" s="20" t="s">
        <v>2972</v>
      </c>
      <c r="D1574" s="19" t="s">
        <v>11070</v>
      </c>
      <c r="E1574" s="19" t="s">
        <v>1622</v>
      </c>
      <c r="F1574" s="19" t="s">
        <v>105</v>
      </c>
      <c r="G1574" s="21">
        <v>7.657918467E9</v>
      </c>
    </row>
    <row r="1575" ht="22.5" customHeight="1">
      <c r="A1575" s="22" t="s">
        <v>4123</v>
      </c>
      <c r="B1575" s="23" t="s">
        <v>11071</v>
      </c>
      <c r="C1575" s="24" t="s">
        <v>4124</v>
      </c>
      <c r="D1575" s="23" t="s">
        <v>11072</v>
      </c>
      <c r="E1575" s="23" t="s">
        <v>365</v>
      </c>
      <c r="F1575" s="23" t="s">
        <v>105</v>
      </c>
      <c r="G1575" s="25">
        <v>9.785863803E9</v>
      </c>
    </row>
    <row r="1576" ht="22.5" customHeight="1">
      <c r="A1576" s="18" t="s">
        <v>3959</v>
      </c>
      <c r="B1576" s="19" t="s">
        <v>11073</v>
      </c>
      <c r="C1576" s="20" t="s">
        <v>3960</v>
      </c>
      <c r="D1576" s="19" t="s">
        <v>11074</v>
      </c>
      <c r="E1576" s="19" t="s">
        <v>365</v>
      </c>
      <c r="F1576" s="19" t="s">
        <v>105</v>
      </c>
      <c r="G1576" s="29"/>
    </row>
    <row r="1577" ht="22.5" customHeight="1">
      <c r="A1577" s="22" t="s">
        <v>5598</v>
      </c>
      <c r="B1577" s="23" t="s">
        <v>11075</v>
      </c>
      <c r="C1577" s="24" t="s">
        <v>5599</v>
      </c>
      <c r="D1577" s="23" t="s">
        <v>11076</v>
      </c>
      <c r="E1577" s="23" t="s">
        <v>689</v>
      </c>
      <c r="F1577" s="23" t="s">
        <v>105</v>
      </c>
      <c r="G1577" s="25">
        <v>9.501870446E9</v>
      </c>
    </row>
    <row r="1578" ht="22.5" customHeight="1">
      <c r="A1578" s="18" t="s">
        <v>11077</v>
      </c>
      <c r="B1578" s="19" t="s">
        <v>11078</v>
      </c>
      <c r="C1578" s="20" t="s">
        <v>2635</v>
      </c>
      <c r="D1578" s="19" t="s">
        <v>11077</v>
      </c>
      <c r="E1578" s="19" t="s">
        <v>1071</v>
      </c>
      <c r="F1578" s="19" t="s">
        <v>105</v>
      </c>
      <c r="G1578" s="21">
        <v>8.968679587E9</v>
      </c>
    </row>
    <row r="1579" ht="22.5" customHeight="1">
      <c r="A1579" s="22" t="s">
        <v>1020</v>
      </c>
      <c r="B1579" s="23" t="s">
        <v>11079</v>
      </c>
      <c r="C1579" s="24" t="s">
        <v>1021</v>
      </c>
      <c r="D1579" s="23" t="s">
        <v>11080</v>
      </c>
      <c r="E1579" s="23" t="s">
        <v>140</v>
      </c>
      <c r="F1579" s="23" t="s">
        <v>105</v>
      </c>
      <c r="G1579" s="25">
        <v>7.888676306E9</v>
      </c>
    </row>
    <row r="1580" ht="22.5" customHeight="1">
      <c r="A1580" s="18" t="s">
        <v>4377</v>
      </c>
      <c r="B1580" s="19" t="s">
        <v>11081</v>
      </c>
      <c r="C1580" s="20" t="s">
        <v>4378</v>
      </c>
      <c r="D1580" s="19" t="s">
        <v>11082</v>
      </c>
      <c r="E1580" s="19" t="s">
        <v>282</v>
      </c>
      <c r="F1580" s="19" t="s">
        <v>105</v>
      </c>
      <c r="G1580" s="21">
        <v>8.837510414E9</v>
      </c>
    </row>
    <row r="1581" ht="22.5" customHeight="1">
      <c r="A1581" s="22" t="s">
        <v>8808</v>
      </c>
      <c r="B1581" s="23" t="s">
        <v>8806</v>
      </c>
      <c r="C1581" s="24" t="s">
        <v>8809</v>
      </c>
      <c r="D1581" s="23" t="s">
        <v>11083</v>
      </c>
      <c r="E1581" s="23" t="s">
        <v>1303</v>
      </c>
      <c r="F1581" s="23" t="s">
        <v>105</v>
      </c>
      <c r="G1581" s="25">
        <v>6.283982891E9</v>
      </c>
    </row>
    <row r="1582" ht="22.5" customHeight="1">
      <c r="A1582" s="18" t="s">
        <v>4690</v>
      </c>
      <c r="B1582" s="19" t="s">
        <v>11084</v>
      </c>
      <c r="C1582" s="20" t="s">
        <v>4691</v>
      </c>
      <c r="D1582" s="19" t="s">
        <v>11085</v>
      </c>
      <c r="E1582" s="19" t="s">
        <v>506</v>
      </c>
      <c r="F1582" s="19" t="s">
        <v>105</v>
      </c>
      <c r="G1582" s="21">
        <v>9.646180374E9</v>
      </c>
    </row>
    <row r="1583" ht="22.5" customHeight="1">
      <c r="A1583" s="22" t="s">
        <v>5413</v>
      </c>
      <c r="B1583" s="23" t="s">
        <v>11086</v>
      </c>
      <c r="C1583" s="24" t="s">
        <v>3004</v>
      </c>
      <c r="D1583" s="23" t="s">
        <v>5413</v>
      </c>
      <c r="E1583" s="23" t="s">
        <v>1622</v>
      </c>
      <c r="F1583" s="23" t="s">
        <v>105</v>
      </c>
      <c r="G1583" s="25">
        <v>9.115151556E9</v>
      </c>
    </row>
    <row r="1584" ht="22.5" customHeight="1">
      <c r="A1584" s="18" t="s">
        <v>370</v>
      </c>
      <c r="B1584" s="19" t="s">
        <v>368</v>
      </c>
      <c r="C1584" s="20" t="s">
        <v>371</v>
      </c>
      <c r="D1584" s="19" t="s">
        <v>11087</v>
      </c>
      <c r="E1584" s="19" t="s">
        <v>47</v>
      </c>
      <c r="F1584" s="19" t="s">
        <v>105</v>
      </c>
      <c r="G1584" s="21">
        <v>7.696518189E9</v>
      </c>
    </row>
    <row r="1585" ht="22.5" customHeight="1">
      <c r="A1585" s="22" t="s">
        <v>4829</v>
      </c>
      <c r="B1585" s="23" t="s">
        <v>11088</v>
      </c>
      <c r="C1585" s="24" t="s">
        <v>4830</v>
      </c>
      <c r="D1585" s="23" t="s">
        <v>11089</v>
      </c>
      <c r="E1585" s="23" t="s">
        <v>889</v>
      </c>
      <c r="F1585" s="23" t="s">
        <v>105</v>
      </c>
      <c r="G1585" s="25">
        <v>9.478361985E9</v>
      </c>
    </row>
    <row r="1586" ht="22.5" customHeight="1">
      <c r="A1586" s="18" t="s">
        <v>7033</v>
      </c>
      <c r="B1586" s="19" t="s">
        <v>10815</v>
      </c>
      <c r="C1586" s="20" t="s">
        <v>7034</v>
      </c>
      <c r="D1586" s="19" t="s">
        <v>11090</v>
      </c>
      <c r="E1586" s="19" t="s">
        <v>3956</v>
      </c>
      <c r="F1586" s="19" t="s">
        <v>105</v>
      </c>
      <c r="G1586" s="21">
        <v>8.816061622E9</v>
      </c>
    </row>
    <row r="1587" ht="22.5" customHeight="1">
      <c r="A1587" s="22" t="s">
        <v>6656</v>
      </c>
      <c r="B1587" s="23" t="s">
        <v>11091</v>
      </c>
      <c r="C1587" s="24" t="s">
        <v>6657</v>
      </c>
      <c r="D1587" s="23" t="s">
        <v>11092</v>
      </c>
      <c r="E1587" s="23" t="s">
        <v>98</v>
      </c>
      <c r="F1587" s="23" t="s">
        <v>105</v>
      </c>
      <c r="G1587" s="25">
        <v>9.99611703E9</v>
      </c>
    </row>
    <row r="1588" ht="22.5" customHeight="1">
      <c r="A1588" s="18" t="s">
        <v>11093</v>
      </c>
      <c r="B1588" s="19" t="s">
        <v>11091</v>
      </c>
      <c r="C1588" s="20" t="s">
        <v>6385</v>
      </c>
      <c r="D1588" s="19" t="s">
        <v>11094</v>
      </c>
      <c r="E1588" s="19" t="s">
        <v>2970</v>
      </c>
      <c r="F1588" s="19" t="s">
        <v>105</v>
      </c>
      <c r="G1588" s="21">
        <v>9.988739437E9</v>
      </c>
    </row>
    <row r="1589" ht="22.5" customHeight="1">
      <c r="A1589" s="22" t="s">
        <v>5162</v>
      </c>
      <c r="B1589" s="23" t="s">
        <v>799</v>
      </c>
      <c r="C1589" s="24" t="s">
        <v>2339</v>
      </c>
      <c r="D1589" s="23" t="s">
        <v>5162</v>
      </c>
      <c r="E1589" s="23" t="s">
        <v>219</v>
      </c>
      <c r="F1589" s="23" t="s">
        <v>105</v>
      </c>
      <c r="G1589" s="25">
        <v>9.818205918E9</v>
      </c>
    </row>
    <row r="1590" ht="22.5" customHeight="1">
      <c r="A1590" s="18" t="s">
        <v>7706</v>
      </c>
      <c r="B1590" s="19" t="s">
        <v>11095</v>
      </c>
      <c r="C1590" s="20" t="s">
        <v>7707</v>
      </c>
      <c r="D1590" s="19" t="s">
        <v>11096</v>
      </c>
      <c r="E1590" s="19" t="s">
        <v>3956</v>
      </c>
      <c r="F1590" s="19" t="s">
        <v>105</v>
      </c>
      <c r="G1590" s="21">
        <v>7.988967071E9</v>
      </c>
    </row>
    <row r="1591" ht="22.5" customHeight="1">
      <c r="A1591" s="22" t="s">
        <v>897</v>
      </c>
      <c r="B1591" s="23" t="s">
        <v>11097</v>
      </c>
      <c r="C1591" s="24" t="s">
        <v>898</v>
      </c>
      <c r="D1591" s="23" t="s">
        <v>897</v>
      </c>
      <c r="E1591" s="23" t="s">
        <v>1653</v>
      </c>
      <c r="F1591" s="23" t="s">
        <v>105</v>
      </c>
      <c r="G1591" s="25">
        <v>6.280967791E9</v>
      </c>
    </row>
    <row r="1592" ht="22.5" customHeight="1">
      <c r="A1592" s="18" t="s">
        <v>4361</v>
      </c>
      <c r="B1592" s="19" t="s">
        <v>11098</v>
      </c>
      <c r="C1592" s="20" t="s">
        <v>4362</v>
      </c>
      <c r="D1592" s="19" t="s">
        <v>11099</v>
      </c>
      <c r="E1592" s="19" t="s">
        <v>1462</v>
      </c>
      <c r="F1592" s="19" t="s">
        <v>105</v>
      </c>
      <c r="G1592" s="21">
        <v>9.340307669E9</v>
      </c>
    </row>
    <row r="1593" ht="22.5" customHeight="1">
      <c r="A1593" s="22" t="s">
        <v>6564</v>
      </c>
      <c r="B1593" s="23" t="s">
        <v>11100</v>
      </c>
      <c r="C1593" s="24" t="s">
        <v>6565</v>
      </c>
      <c r="D1593" s="23" t="s">
        <v>11101</v>
      </c>
      <c r="E1593" s="23" t="s">
        <v>47</v>
      </c>
      <c r="F1593" s="23" t="s">
        <v>105</v>
      </c>
      <c r="G1593" s="25">
        <v>9.45995026E9</v>
      </c>
    </row>
    <row r="1594" ht="22.5" customHeight="1">
      <c r="A1594" s="18" t="s">
        <v>5241</v>
      </c>
      <c r="B1594" s="19" t="s">
        <v>11102</v>
      </c>
      <c r="C1594" s="20" t="s">
        <v>2493</v>
      </c>
      <c r="D1594" s="19" t="s">
        <v>5241</v>
      </c>
      <c r="E1594" s="19" t="s">
        <v>1071</v>
      </c>
      <c r="F1594" s="19" t="s">
        <v>105</v>
      </c>
      <c r="G1594" s="21">
        <v>7.837070085E9</v>
      </c>
    </row>
    <row r="1595" ht="22.5" customHeight="1">
      <c r="A1595" s="22" t="s">
        <v>7436</v>
      </c>
      <c r="B1595" s="23" t="s">
        <v>11103</v>
      </c>
      <c r="C1595" s="24" t="s">
        <v>7437</v>
      </c>
      <c r="D1595" s="23" t="s">
        <v>11104</v>
      </c>
      <c r="E1595" s="23" t="s">
        <v>523</v>
      </c>
      <c r="F1595" s="23" t="s">
        <v>105</v>
      </c>
      <c r="G1595" s="25">
        <v>9.056496528E9</v>
      </c>
    </row>
    <row r="1596" ht="22.5" customHeight="1">
      <c r="A1596" s="18" t="s">
        <v>11105</v>
      </c>
      <c r="B1596" s="19" t="s">
        <v>11106</v>
      </c>
      <c r="C1596" s="20" t="s">
        <v>6653</v>
      </c>
      <c r="D1596" s="19" t="s">
        <v>11107</v>
      </c>
      <c r="E1596" s="19" t="s">
        <v>98</v>
      </c>
      <c r="F1596" s="19" t="s">
        <v>105</v>
      </c>
      <c r="G1596" s="21">
        <v>9.599587176E9</v>
      </c>
    </row>
    <row r="1597" ht="22.5" customHeight="1">
      <c r="A1597" s="22" t="s">
        <v>2177</v>
      </c>
      <c r="B1597" s="23" t="s">
        <v>11108</v>
      </c>
      <c r="C1597" s="24" t="s">
        <v>2178</v>
      </c>
      <c r="D1597" s="23" t="s">
        <v>11109</v>
      </c>
      <c r="E1597" s="23" t="s">
        <v>304</v>
      </c>
      <c r="F1597" s="23" t="s">
        <v>105</v>
      </c>
      <c r="G1597" s="25">
        <v>9.46453687E9</v>
      </c>
    </row>
    <row r="1598" ht="22.5" customHeight="1">
      <c r="A1598" s="18" t="s">
        <v>4381</v>
      </c>
      <c r="B1598" s="19" t="s">
        <v>11110</v>
      </c>
      <c r="C1598" s="20" t="s">
        <v>4382</v>
      </c>
      <c r="D1598" s="19" t="s">
        <v>11111</v>
      </c>
      <c r="E1598" s="19" t="s">
        <v>1462</v>
      </c>
      <c r="F1598" s="19" t="s">
        <v>105</v>
      </c>
      <c r="G1598" s="21">
        <v>9.815092601E9</v>
      </c>
    </row>
    <row r="1599" ht="22.5" customHeight="1">
      <c r="A1599" s="22" t="s">
        <v>2075</v>
      </c>
      <c r="B1599" s="23" t="s">
        <v>11112</v>
      </c>
      <c r="C1599" s="24" t="s">
        <v>2076</v>
      </c>
      <c r="D1599" s="23" t="s">
        <v>11113</v>
      </c>
      <c r="E1599" s="23" t="s">
        <v>17</v>
      </c>
      <c r="F1599" s="23" t="s">
        <v>105</v>
      </c>
      <c r="G1599" s="25">
        <v>8.69923374E9</v>
      </c>
    </row>
    <row r="1600" ht="22.5" customHeight="1">
      <c r="A1600" s="18" t="s">
        <v>4397</v>
      </c>
      <c r="B1600" s="19" t="s">
        <v>11114</v>
      </c>
      <c r="C1600" s="20" t="s">
        <v>4398</v>
      </c>
      <c r="D1600" s="19" t="s">
        <v>11115</v>
      </c>
      <c r="E1600" s="19" t="s">
        <v>204</v>
      </c>
      <c r="F1600" s="19" t="s">
        <v>105</v>
      </c>
      <c r="G1600" s="21">
        <v>7.719561621E9</v>
      </c>
    </row>
    <row r="1601" ht="22.5" customHeight="1">
      <c r="A1601" s="22" t="s">
        <v>6074</v>
      </c>
      <c r="B1601" s="23" t="s">
        <v>11116</v>
      </c>
      <c r="C1601" s="24" t="s">
        <v>6075</v>
      </c>
      <c r="D1601" s="23" t="s">
        <v>11117</v>
      </c>
      <c r="E1601" s="23" t="s">
        <v>287</v>
      </c>
      <c r="F1601" s="23" t="s">
        <v>105</v>
      </c>
      <c r="G1601" s="25">
        <v>9.357008751E9</v>
      </c>
    </row>
    <row r="1602" ht="22.5" customHeight="1">
      <c r="A1602" s="18" t="s">
        <v>11118</v>
      </c>
      <c r="B1602" s="19" t="s">
        <v>11119</v>
      </c>
      <c r="C1602" s="20" t="s">
        <v>6615</v>
      </c>
      <c r="D1602" s="19" t="s">
        <v>11120</v>
      </c>
      <c r="E1602" s="19" t="s">
        <v>98</v>
      </c>
      <c r="F1602" s="19" t="s">
        <v>105</v>
      </c>
      <c r="G1602" s="21">
        <v>7.009221685E9</v>
      </c>
    </row>
    <row r="1603" ht="22.5" customHeight="1">
      <c r="A1603" s="22" t="s">
        <v>2309</v>
      </c>
      <c r="B1603" s="23" t="s">
        <v>11103</v>
      </c>
      <c r="C1603" s="24" t="s">
        <v>2310</v>
      </c>
      <c r="D1603" s="23" t="s">
        <v>11121</v>
      </c>
      <c r="E1603" s="23" t="s">
        <v>1873</v>
      </c>
      <c r="F1603" s="23" t="s">
        <v>105</v>
      </c>
      <c r="G1603" s="25">
        <v>7.696652431E9</v>
      </c>
    </row>
    <row r="1604" ht="22.5" customHeight="1">
      <c r="A1604" s="18" t="s">
        <v>4003</v>
      </c>
      <c r="B1604" s="19" t="s">
        <v>11122</v>
      </c>
      <c r="C1604" s="20" t="s">
        <v>4004</v>
      </c>
      <c r="D1604" s="19" t="s">
        <v>4003</v>
      </c>
      <c r="E1604" s="19" t="s">
        <v>314</v>
      </c>
      <c r="F1604" s="19" t="s">
        <v>105</v>
      </c>
      <c r="G1604" s="21">
        <v>7.696051211E9</v>
      </c>
    </row>
    <row r="1605" ht="22.5" customHeight="1">
      <c r="A1605" s="22" t="s">
        <v>504</v>
      </c>
      <c r="B1605" s="23" t="s">
        <v>502</v>
      </c>
      <c r="C1605" s="24" t="s">
        <v>505</v>
      </c>
      <c r="D1605" s="23" t="s">
        <v>11123</v>
      </c>
      <c r="E1605" s="23" t="s">
        <v>506</v>
      </c>
      <c r="F1605" s="23" t="s">
        <v>105</v>
      </c>
      <c r="G1605" s="25">
        <v>9.87033681E9</v>
      </c>
    </row>
    <row r="1606" ht="22.5" customHeight="1">
      <c r="A1606" s="18" t="s">
        <v>8655</v>
      </c>
      <c r="B1606" s="19" t="s">
        <v>8653</v>
      </c>
      <c r="C1606" s="20" t="s">
        <v>8656</v>
      </c>
      <c r="D1606" s="19" t="s">
        <v>11124</v>
      </c>
      <c r="E1606" s="19" t="s">
        <v>100</v>
      </c>
      <c r="F1606" s="19" t="s">
        <v>105</v>
      </c>
      <c r="G1606" s="21">
        <v>8.83753576E9</v>
      </c>
    </row>
    <row r="1607" ht="22.5" customHeight="1">
      <c r="A1607" s="22" t="s">
        <v>2491</v>
      </c>
      <c r="B1607" s="23" t="s">
        <v>11125</v>
      </c>
      <c r="C1607" s="24" t="s">
        <v>2492</v>
      </c>
      <c r="D1607" s="23" t="s">
        <v>11126</v>
      </c>
      <c r="E1607" s="23" t="s">
        <v>63</v>
      </c>
      <c r="F1607" s="23" t="s">
        <v>105</v>
      </c>
      <c r="G1607" s="25">
        <v>8.619491164E9</v>
      </c>
    </row>
    <row r="1608" ht="22.5" customHeight="1">
      <c r="A1608" s="18" t="s">
        <v>7252</v>
      </c>
      <c r="B1608" s="19" t="s">
        <v>11127</v>
      </c>
      <c r="C1608" s="20" t="s">
        <v>7253</v>
      </c>
      <c r="D1608" s="19" t="s">
        <v>11128</v>
      </c>
      <c r="E1608" s="19" t="s">
        <v>1561</v>
      </c>
      <c r="F1608" s="19" t="s">
        <v>105</v>
      </c>
      <c r="G1608" s="21">
        <v>7.846982505E9</v>
      </c>
    </row>
    <row r="1609" ht="22.5" customHeight="1">
      <c r="A1609" s="22" t="s">
        <v>6312</v>
      </c>
      <c r="B1609" s="23" t="s">
        <v>11129</v>
      </c>
      <c r="C1609" s="24" t="s">
        <v>6314</v>
      </c>
      <c r="D1609" s="23" t="s">
        <v>11130</v>
      </c>
      <c r="E1609" s="23" t="s">
        <v>255</v>
      </c>
      <c r="F1609" s="23" t="s">
        <v>105</v>
      </c>
      <c r="G1609" s="25">
        <v>7.681938594E9</v>
      </c>
    </row>
    <row r="1610" ht="22.5" customHeight="1">
      <c r="A1610" s="18" t="s">
        <v>573</v>
      </c>
      <c r="B1610" s="19" t="s">
        <v>571</v>
      </c>
      <c r="C1610" s="20" t="s">
        <v>574</v>
      </c>
      <c r="D1610" s="19" t="s">
        <v>11131</v>
      </c>
      <c r="E1610" s="19" t="s">
        <v>81</v>
      </c>
      <c r="F1610" s="19" t="s">
        <v>105</v>
      </c>
      <c r="G1610" s="21">
        <v>9.311035648E9</v>
      </c>
    </row>
    <row r="1611" ht="22.5" customHeight="1">
      <c r="A1611" s="22" t="s">
        <v>8172</v>
      </c>
      <c r="B1611" s="23" t="s">
        <v>11132</v>
      </c>
      <c r="C1611" s="24" t="s">
        <v>11133</v>
      </c>
      <c r="D1611" s="23" t="s">
        <v>11134</v>
      </c>
      <c r="E1611" s="23" t="s">
        <v>2522</v>
      </c>
      <c r="F1611" s="23" t="s">
        <v>105</v>
      </c>
      <c r="G1611" s="25">
        <v>9.2112875E9</v>
      </c>
    </row>
    <row r="1612" ht="22.5" customHeight="1">
      <c r="A1612" s="18" t="s">
        <v>6045</v>
      </c>
      <c r="B1612" s="19" t="s">
        <v>11135</v>
      </c>
      <c r="C1612" s="20" t="s">
        <v>6046</v>
      </c>
      <c r="D1612" s="19" t="s">
        <v>11136</v>
      </c>
      <c r="E1612" s="19" t="s">
        <v>287</v>
      </c>
      <c r="F1612" s="19" t="s">
        <v>105</v>
      </c>
      <c r="G1612" s="21">
        <v>7.814352067E9</v>
      </c>
    </row>
    <row r="1613" ht="22.5" customHeight="1">
      <c r="A1613" s="22" t="s">
        <v>285</v>
      </c>
      <c r="B1613" s="23" t="s">
        <v>10794</v>
      </c>
      <c r="C1613" s="24" t="s">
        <v>286</v>
      </c>
      <c r="D1613" s="23" t="s">
        <v>11137</v>
      </c>
      <c r="E1613" s="23" t="s">
        <v>287</v>
      </c>
      <c r="F1613" s="23" t="s">
        <v>105</v>
      </c>
      <c r="G1613" s="25">
        <v>7.988104834E9</v>
      </c>
    </row>
    <row r="1614" ht="22.5" customHeight="1">
      <c r="A1614" s="18" t="s">
        <v>1313</v>
      </c>
      <c r="B1614" s="19" t="s">
        <v>11138</v>
      </c>
      <c r="C1614" s="20" t="s">
        <v>1314</v>
      </c>
      <c r="D1614" s="19" t="s">
        <v>11139</v>
      </c>
      <c r="E1614" s="19" t="s">
        <v>389</v>
      </c>
      <c r="F1614" s="19" t="s">
        <v>105</v>
      </c>
      <c r="G1614" s="21">
        <v>7.900188112E9</v>
      </c>
    </row>
    <row r="1615" ht="22.5" customHeight="1">
      <c r="A1615" s="22" t="s">
        <v>4278</v>
      </c>
      <c r="B1615" s="23" t="s">
        <v>11140</v>
      </c>
      <c r="C1615" s="24" t="s">
        <v>4279</v>
      </c>
      <c r="D1615" s="23" t="s">
        <v>11141</v>
      </c>
      <c r="E1615" s="23" t="s">
        <v>1737</v>
      </c>
      <c r="F1615" s="23" t="s">
        <v>105</v>
      </c>
      <c r="G1615" s="25">
        <v>8.36010868E9</v>
      </c>
    </row>
    <row r="1616" ht="22.5" customHeight="1">
      <c r="A1616" s="18" t="s">
        <v>11142</v>
      </c>
      <c r="B1616" s="19" t="s">
        <v>11143</v>
      </c>
      <c r="C1616" s="20" t="s">
        <v>2172</v>
      </c>
      <c r="D1616" s="19" t="s">
        <v>11144</v>
      </c>
      <c r="E1616" s="19" t="s">
        <v>304</v>
      </c>
      <c r="F1616" s="19" t="s">
        <v>105</v>
      </c>
      <c r="G1616" s="21">
        <v>7.740053521E9</v>
      </c>
    </row>
    <row r="1617" ht="22.5" customHeight="1">
      <c r="A1617" s="22" t="s">
        <v>484</v>
      </c>
      <c r="B1617" s="23" t="s">
        <v>11145</v>
      </c>
      <c r="C1617" s="24" t="s">
        <v>485</v>
      </c>
      <c r="D1617" s="23" t="s">
        <v>11146</v>
      </c>
      <c r="E1617" s="23" t="s">
        <v>231</v>
      </c>
      <c r="F1617" s="23" t="s">
        <v>105</v>
      </c>
      <c r="G1617" s="25">
        <v>6.37766387E9</v>
      </c>
    </row>
    <row r="1618" ht="22.5" customHeight="1">
      <c r="A1618" s="18" t="s">
        <v>11147</v>
      </c>
      <c r="B1618" s="19" t="s">
        <v>11148</v>
      </c>
      <c r="C1618" s="20" t="s">
        <v>3080</v>
      </c>
      <c r="D1618" s="19" t="s">
        <v>11149</v>
      </c>
      <c r="E1618" s="19" t="s">
        <v>1622</v>
      </c>
      <c r="F1618" s="19" t="s">
        <v>105</v>
      </c>
      <c r="G1618" s="21">
        <v>9.815948703E9</v>
      </c>
    </row>
    <row r="1619" ht="22.5" customHeight="1">
      <c r="A1619" s="22" t="s">
        <v>3878</v>
      </c>
      <c r="B1619" s="23" t="s">
        <v>11150</v>
      </c>
      <c r="C1619" s="24" t="s">
        <v>3879</v>
      </c>
      <c r="D1619" s="23" t="s">
        <v>11151</v>
      </c>
      <c r="E1619" s="23" t="s">
        <v>282</v>
      </c>
      <c r="F1619" s="23" t="s">
        <v>105</v>
      </c>
      <c r="G1619" s="25">
        <v>7.814034965E9</v>
      </c>
    </row>
    <row r="1620" ht="22.5" customHeight="1">
      <c r="A1620" s="18" t="s">
        <v>5315</v>
      </c>
      <c r="B1620" s="19" t="s">
        <v>11152</v>
      </c>
      <c r="C1620" s="20" t="s">
        <v>2701</v>
      </c>
      <c r="D1620" s="19" t="s">
        <v>5315</v>
      </c>
      <c r="E1620" s="19" t="s">
        <v>1071</v>
      </c>
      <c r="F1620" s="19" t="s">
        <v>105</v>
      </c>
      <c r="G1620" s="21">
        <v>9.46833571E9</v>
      </c>
    </row>
    <row r="1621" ht="22.5" customHeight="1">
      <c r="A1621" s="22" t="s">
        <v>2833</v>
      </c>
      <c r="B1621" s="23" t="s">
        <v>11153</v>
      </c>
      <c r="C1621" s="24" t="s">
        <v>2834</v>
      </c>
      <c r="D1621" s="23" t="s">
        <v>11154</v>
      </c>
      <c r="E1621" s="23" t="s">
        <v>265</v>
      </c>
      <c r="F1621" s="23" t="s">
        <v>105</v>
      </c>
      <c r="G1621" s="25">
        <v>9.779454053E9</v>
      </c>
    </row>
    <row r="1622" ht="22.5" customHeight="1">
      <c r="A1622" s="18" t="s">
        <v>11155</v>
      </c>
      <c r="B1622" s="19" t="s">
        <v>11156</v>
      </c>
      <c r="C1622" s="20" t="s">
        <v>3220</v>
      </c>
      <c r="D1622" s="19" t="s">
        <v>11157</v>
      </c>
      <c r="E1622" s="19" t="s">
        <v>30</v>
      </c>
      <c r="F1622" s="19" t="s">
        <v>105</v>
      </c>
      <c r="G1622" s="21">
        <v>7.597474756E9</v>
      </c>
    </row>
    <row r="1623" ht="22.5" customHeight="1">
      <c r="A1623" s="22" t="s">
        <v>8758</v>
      </c>
      <c r="B1623" s="23" t="s">
        <v>8756</v>
      </c>
      <c r="C1623" s="24" t="s">
        <v>8759</v>
      </c>
      <c r="D1623" s="23" t="s">
        <v>11158</v>
      </c>
      <c r="E1623" s="23" t="s">
        <v>3118</v>
      </c>
      <c r="F1623" s="23" t="s">
        <v>105</v>
      </c>
      <c r="G1623" s="25">
        <v>9.871314749E9</v>
      </c>
    </row>
    <row r="1624" ht="22.5" customHeight="1">
      <c r="A1624" s="18" t="s">
        <v>5076</v>
      </c>
      <c r="B1624" s="19" t="s">
        <v>11159</v>
      </c>
      <c r="C1624" s="20" t="s">
        <v>5077</v>
      </c>
      <c r="D1624" s="19" t="s">
        <v>11160</v>
      </c>
      <c r="E1624" s="19" t="s">
        <v>1064</v>
      </c>
      <c r="F1624" s="19" t="s">
        <v>105</v>
      </c>
      <c r="G1624" s="21">
        <v>7.009692965E9</v>
      </c>
    </row>
    <row r="1625" ht="22.5" customHeight="1">
      <c r="A1625" s="22" t="s">
        <v>528</v>
      </c>
      <c r="B1625" s="23" t="s">
        <v>525</v>
      </c>
      <c r="C1625" s="24" t="s">
        <v>530</v>
      </c>
      <c r="D1625" s="23" t="s">
        <v>528</v>
      </c>
      <c r="E1625" s="23" t="s">
        <v>57</v>
      </c>
      <c r="F1625" s="23" t="s">
        <v>105</v>
      </c>
      <c r="G1625" s="25">
        <v>8.708978308E9</v>
      </c>
    </row>
    <row r="1626" ht="22.5" customHeight="1">
      <c r="A1626" s="18" t="s">
        <v>7675</v>
      </c>
      <c r="B1626" s="19" t="s">
        <v>11161</v>
      </c>
      <c r="C1626" s="20" t="s">
        <v>7676</v>
      </c>
      <c r="D1626" s="19" t="s">
        <v>11162</v>
      </c>
      <c r="E1626" s="19" t="s">
        <v>889</v>
      </c>
      <c r="F1626" s="19" t="s">
        <v>105</v>
      </c>
      <c r="G1626" s="21">
        <v>9.2115845E9</v>
      </c>
    </row>
    <row r="1627" ht="22.5" customHeight="1">
      <c r="A1627" s="22" t="s">
        <v>1765</v>
      </c>
      <c r="B1627" s="23" t="s">
        <v>11163</v>
      </c>
      <c r="C1627" s="24" t="s">
        <v>1766</v>
      </c>
      <c r="D1627" s="23" t="s">
        <v>11164</v>
      </c>
      <c r="E1627" s="23" t="s">
        <v>1653</v>
      </c>
      <c r="F1627" s="23" t="s">
        <v>105</v>
      </c>
      <c r="G1627" s="25">
        <v>9.069285286E9</v>
      </c>
    </row>
    <row r="1628" ht="22.5" customHeight="1">
      <c r="A1628" s="18" t="s">
        <v>7682</v>
      </c>
      <c r="B1628" s="19" t="s">
        <v>11165</v>
      </c>
      <c r="C1628" s="20" t="s">
        <v>7683</v>
      </c>
      <c r="D1628" s="19" t="s">
        <v>11166</v>
      </c>
      <c r="E1628" s="19" t="s">
        <v>1064</v>
      </c>
      <c r="F1628" s="19" t="s">
        <v>105</v>
      </c>
      <c r="G1628" s="21">
        <v>9.129447815E9</v>
      </c>
    </row>
    <row r="1629" ht="22.5" customHeight="1">
      <c r="A1629" s="22" t="s">
        <v>7696</v>
      </c>
      <c r="B1629" s="23" t="s">
        <v>11167</v>
      </c>
      <c r="C1629" s="24" t="s">
        <v>7697</v>
      </c>
      <c r="D1629" s="23" t="s">
        <v>11168</v>
      </c>
      <c r="E1629" s="23" t="s">
        <v>277</v>
      </c>
      <c r="F1629" s="23" t="s">
        <v>105</v>
      </c>
      <c r="G1629" s="25">
        <v>6.307609963E9</v>
      </c>
    </row>
    <row r="1630" ht="22.5" customHeight="1">
      <c r="A1630" s="18" t="s">
        <v>3073</v>
      </c>
      <c r="B1630" s="19" t="s">
        <v>11169</v>
      </c>
      <c r="C1630" s="20" t="s">
        <v>3075</v>
      </c>
      <c r="D1630" s="19" t="s">
        <v>11170</v>
      </c>
      <c r="E1630" s="19" t="s">
        <v>22</v>
      </c>
      <c r="F1630" s="19" t="s">
        <v>105</v>
      </c>
      <c r="G1630" s="21">
        <v>6.283515645E9</v>
      </c>
    </row>
    <row r="1631" ht="22.5" customHeight="1">
      <c r="A1631" s="22" t="s">
        <v>4848</v>
      </c>
      <c r="B1631" s="23" t="s">
        <v>11171</v>
      </c>
      <c r="C1631" s="24" t="s">
        <v>4849</v>
      </c>
      <c r="D1631" s="23" t="s">
        <v>11172</v>
      </c>
      <c r="E1631" s="23" t="s">
        <v>889</v>
      </c>
      <c r="F1631" s="23" t="s">
        <v>105</v>
      </c>
      <c r="G1631" s="25">
        <v>7.206971926E9</v>
      </c>
    </row>
    <row r="1632" ht="22.5" customHeight="1">
      <c r="A1632" s="18" t="s">
        <v>1604</v>
      </c>
      <c r="B1632" s="19" t="s">
        <v>11173</v>
      </c>
      <c r="C1632" s="20" t="s">
        <v>1605</v>
      </c>
      <c r="D1632" s="19" t="s">
        <v>11174</v>
      </c>
      <c r="E1632" s="19" t="s">
        <v>75</v>
      </c>
      <c r="F1632" s="19" t="s">
        <v>105</v>
      </c>
      <c r="G1632" s="21">
        <v>6.284816812E9</v>
      </c>
    </row>
    <row r="1633" ht="22.5" customHeight="1">
      <c r="A1633" s="22" t="s">
        <v>7047</v>
      </c>
      <c r="B1633" s="23" t="s">
        <v>11175</v>
      </c>
      <c r="C1633" s="24" t="s">
        <v>7048</v>
      </c>
      <c r="D1633" s="23" t="s">
        <v>11176</v>
      </c>
      <c r="E1633" s="23" t="s">
        <v>3956</v>
      </c>
      <c r="F1633" s="23" t="s">
        <v>105</v>
      </c>
      <c r="G1633" s="25">
        <v>7.743076196E9</v>
      </c>
    </row>
    <row r="1634" ht="22.5" customHeight="1">
      <c r="A1634" s="18" t="s">
        <v>5320</v>
      </c>
      <c r="B1634" s="19" t="s">
        <v>11177</v>
      </c>
      <c r="C1634" s="20" t="s">
        <v>2721</v>
      </c>
      <c r="D1634" s="19" t="s">
        <v>11178</v>
      </c>
      <c r="E1634" s="19" t="s">
        <v>1379</v>
      </c>
      <c r="F1634" s="19" t="s">
        <v>105</v>
      </c>
      <c r="G1634" s="21">
        <v>8.448876744E9</v>
      </c>
    </row>
    <row r="1635" ht="22.5" customHeight="1">
      <c r="A1635" s="22" t="s">
        <v>8321</v>
      </c>
      <c r="B1635" s="23" t="s">
        <v>8319</v>
      </c>
      <c r="C1635" s="24" t="s">
        <v>8322</v>
      </c>
      <c r="D1635" s="23" t="s">
        <v>11179</v>
      </c>
      <c r="E1635" s="23" t="s">
        <v>1607</v>
      </c>
      <c r="F1635" s="23" t="s">
        <v>105</v>
      </c>
      <c r="G1635" s="25">
        <v>7.889216978E9</v>
      </c>
    </row>
    <row r="1636" ht="22.5" customHeight="1">
      <c r="A1636" s="18" t="s">
        <v>11180</v>
      </c>
      <c r="B1636" s="19" t="s">
        <v>11181</v>
      </c>
      <c r="C1636" s="20" t="s">
        <v>11182</v>
      </c>
      <c r="D1636" s="19" t="s">
        <v>11183</v>
      </c>
      <c r="E1636" s="19" t="s">
        <v>384</v>
      </c>
      <c r="F1636" s="19" t="s">
        <v>105</v>
      </c>
      <c r="G1636" s="21">
        <v>8.84757642E9</v>
      </c>
    </row>
    <row r="1637" ht="22.5" customHeight="1">
      <c r="A1637" s="22" t="s">
        <v>11184</v>
      </c>
      <c r="B1637" s="23" t="s">
        <v>11185</v>
      </c>
      <c r="C1637" s="24" t="s">
        <v>5812</v>
      </c>
      <c r="D1637" s="23" t="s">
        <v>11186</v>
      </c>
      <c r="E1637" s="23" t="s">
        <v>42</v>
      </c>
      <c r="F1637" s="23" t="s">
        <v>105</v>
      </c>
      <c r="G1637" s="25">
        <v>7.300720376E9</v>
      </c>
    </row>
    <row r="1638" ht="22.5" customHeight="1">
      <c r="A1638" s="18" t="s">
        <v>4893</v>
      </c>
      <c r="B1638" s="19" t="s">
        <v>11187</v>
      </c>
      <c r="C1638" s="20" t="s">
        <v>4894</v>
      </c>
      <c r="D1638" s="19" t="s">
        <v>11188</v>
      </c>
      <c r="E1638" s="19" t="s">
        <v>889</v>
      </c>
      <c r="F1638" s="19" t="s">
        <v>105</v>
      </c>
      <c r="G1638" s="21">
        <v>8.696333557E9</v>
      </c>
    </row>
    <row r="1639" ht="22.5" customHeight="1">
      <c r="A1639" s="22" t="s">
        <v>11189</v>
      </c>
      <c r="B1639" s="23" t="s">
        <v>11190</v>
      </c>
      <c r="C1639" s="24" t="s">
        <v>11191</v>
      </c>
      <c r="D1639" s="23" t="s">
        <v>11192</v>
      </c>
      <c r="E1639" s="23" t="s">
        <v>384</v>
      </c>
      <c r="F1639" s="23" t="s">
        <v>105</v>
      </c>
      <c r="G1639" s="25">
        <v>7.009164812E9</v>
      </c>
    </row>
    <row r="1640" ht="22.5" customHeight="1">
      <c r="A1640" s="18" t="s">
        <v>11193</v>
      </c>
      <c r="B1640" s="19" t="s">
        <v>11194</v>
      </c>
      <c r="C1640" s="20" t="s">
        <v>2325</v>
      </c>
      <c r="D1640" s="19" t="s">
        <v>11195</v>
      </c>
      <c r="E1640" s="19" t="s">
        <v>219</v>
      </c>
      <c r="F1640" s="19" t="s">
        <v>105</v>
      </c>
      <c r="G1640" s="21">
        <v>9.318426407E9</v>
      </c>
    </row>
    <row r="1641" ht="22.5" customHeight="1">
      <c r="A1641" s="22" t="s">
        <v>4747</v>
      </c>
      <c r="B1641" s="23" t="s">
        <v>11196</v>
      </c>
      <c r="C1641" s="24" t="s">
        <v>4748</v>
      </c>
      <c r="D1641" s="23" t="s">
        <v>11197</v>
      </c>
      <c r="E1641" s="23" t="s">
        <v>506</v>
      </c>
      <c r="F1641" s="23" t="s">
        <v>105</v>
      </c>
      <c r="G1641" s="25">
        <v>7.889066713E9</v>
      </c>
    </row>
    <row r="1642" ht="22.5" customHeight="1">
      <c r="A1642" s="18" t="s">
        <v>6995</v>
      </c>
      <c r="B1642" s="19" t="s">
        <v>11198</v>
      </c>
      <c r="C1642" s="20" t="s">
        <v>6996</v>
      </c>
      <c r="D1642" s="19" t="s">
        <v>11199</v>
      </c>
      <c r="E1642" s="19" t="s">
        <v>3956</v>
      </c>
      <c r="F1642" s="19" t="s">
        <v>105</v>
      </c>
      <c r="G1642" s="21">
        <v>9.878437613E9</v>
      </c>
    </row>
    <row r="1643" ht="22.5" customHeight="1">
      <c r="A1643" s="22" t="s">
        <v>4695</v>
      </c>
      <c r="B1643" s="23" t="s">
        <v>11200</v>
      </c>
      <c r="C1643" s="24" t="s">
        <v>4697</v>
      </c>
      <c r="D1643" s="23" t="s">
        <v>11201</v>
      </c>
      <c r="E1643" s="23" t="s">
        <v>506</v>
      </c>
      <c r="F1643" s="23" t="s">
        <v>105</v>
      </c>
      <c r="G1643" s="25">
        <v>7.838103809E9</v>
      </c>
    </row>
    <row r="1644" ht="22.5" customHeight="1">
      <c r="A1644" s="18" t="s">
        <v>5370</v>
      </c>
      <c r="B1644" s="19" t="s">
        <v>11202</v>
      </c>
      <c r="C1644" s="20" t="s">
        <v>2883</v>
      </c>
      <c r="D1644" s="19" t="s">
        <v>11203</v>
      </c>
      <c r="E1644" s="19" t="s">
        <v>1379</v>
      </c>
      <c r="F1644" s="19" t="s">
        <v>105</v>
      </c>
      <c r="G1644" s="21">
        <v>7.011769937E9</v>
      </c>
    </row>
    <row r="1645" ht="22.5" customHeight="1">
      <c r="A1645" s="22" t="s">
        <v>11204</v>
      </c>
      <c r="B1645" s="23" t="s">
        <v>11205</v>
      </c>
      <c r="C1645" s="24" t="s">
        <v>4552</v>
      </c>
      <c r="D1645" s="23" t="s">
        <v>11206</v>
      </c>
      <c r="E1645" s="23" t="s">
        <v>365</v>
      </c>
      <c r="F1645" s="23" t="s">
        <v>105</v>
      </c>
      <c r="G1645" s="25">
        <v>6.230759804E9</v>
      </c>
    </row>
    <row r="1646" ht="22.5" customHeight="1">
      <c r="A1646" s="18" t="s">
        <v>6437</v>
      </c>
      <c r="B1646" s="19" t="s">
        <v>11207</v>
      </c>
      <c r="C1646" s="20" t="s">
        <v>6438</v>
      </c>
      <c r="D1646" s="19" t="s">
        <v>11208</v>
      </c>
      <c r="E1646" s="19" t="s">
        <v>2970</v>
      </c>
      <c r="F1646" s="19" t="s">
        <v>105</v>
      </c>
      <c r="G1646" s="21">
        <v>9.555992941E9</v>
      </c>
    </row>
    <row r="1647" ht="22.5" customHeight="1">
      <c r="A1647" s="22" t="s">
        <v>11209</v>
      </c>
      <c r="B1647" s="23" t="s">
        <v>11210</v>
      </c>
      <c r="C1647" s="24" t="s">
        <v>2360</v>
      </c>
      <c r="D1647" s="23" t="s">
        <v>11211</v>
      </c>
      <c r="E1647" s="23" t="s">
        <v>1071</v>
      </c>
      <c r="F1647" s="23" t="s">
        <v>105</v>
      </c>
      <c r="G1647" s="25">
        <v>8.810911842E9</v>
      </c>
    </row>
    <row r="1648" ht="22.5" customHeight="1">
      <c r="A1648" s="18" t="s">
        <v>3636</v>
      </c>
      <c r="B1648" s="19" t="s">
        <v>11212</v>
      </c>
      <c r="C1648" s="20" t="s">
        <v>3637</v>
      </c>
      <c r="D1648" s="19" t="s">
        <v>11213</v>
      </c>
      <c r="E1648" s="19" t="s">
        <v>543</v>
      </c>
      <c r="F1648" s="19" t="s">
        <v>105</v>
      </c>
      <c r="G1648" s="21">
        <v>7.763089223E9</v>
      </c>
    </row>
    <row r="1649" ht="22.5" customHeight="1">
      <c r="A1649" s="22" t="s">
        <v>11214</v>
      </c>
      <c r="B1649" s="23" t="s">
        <v>11215</v>
      </c>
      <c r="C1649" s="24" t="s">
        <v>4479</v>
      </c>
      <c r="D1649" s="23" t="s">
        <v>11214</v>
      </c>
      <c r="E1649" s="23" t="s">
        <v>617</v>
      </c>
      <c r="F1649" s="23" t="s">
        <v>105</v>
      </c>
      <c r="G1649" s="25">
        <v>7.973807712E9</v>
      </c>
    </row>
    <row r="1650" ht="22.5" customHeight="1">
      <c r="A1650" s="18" t="s">
        <v>4180</v>
      </c>
      <c r="B1650" s="19" t="s">
        <v>11216</v>
      </c>
      <c r="C1650" s="20" t="s">
        <v>4181</v>
      </c>
      <c r="D1650" s="19" t="s">
        <v>11217</v>
      </c>
      <c r="E1650" s="19" t="s">
        <v>1737</v>
      </c>
      <c r="F1650" s="19" t="s">
        <v>105</v>
      </c>
      <c r="G1650" s="21">
        <v>8.011008384E9</v>
      </c>
    </row>
    <row r="1651" ht="22.5" customHeight="1">
      <c r="A1651" s="22" t="s">
        <v>3261</v>
      </c>
      <c r="B1651" s="23" t="s">
        <v>11218</v>
      </c>
      <c r="C1651" s="24" t="s">
        <v>3262</v>
      </c>
      <c r="D1651" s="23" t="s">
        <v>11219</v>
      </c>
      <c r="E1651" s="23" t="s">
        <v>524</v>
      </c>
      <c r="F1651" s="23" t="s">
        <v>105</v>
      </c>
      <c r="G1651" s="25">
        <v>9.810881607E9</v>
      </c>
    </row>
    <row r="1652" ht="22.5" customHeight="1">
      <c r="A1652" s="18" t="s">
        <v>6003</v>
      </c>
      <c r="B1652" s="19" t="s">
        <v>11220</v>
      </c>
      <c r="C1652" s="20" t="s">
        <v>6004</v>
      </c>
      <c r="D1652" s="19" t="s">
        <v>11221</v>
      </c>
      <c r="E1652" s="19" t="s">
        <v>287</v>
      </c>
      <c r="F1652" s="19" t="s">
        <v>105</v>
      </c>
      <c r="G1652" s="29"/>
    </row>
    <row r="1653" ht="22.5" customHeight="1">
      <c r="A1653" s="22" t="s">
        <v>1039</v>
      </c>
      <c r="B1653" s="23" t="s">
        <v>11222</v>
      </c>
      <c r="C1653" s="24" t="s">
        <v>1040</v>
      </c>
      <c r="D1653" s="23" t="s">
        <v>11223</v>
      </c>
      <c r="E1653" s="23" t="s">
        <v>140</v>
      </c>
      <c r="F1653" s="23" t="s">
        <v>105</v>
      </c>
      <c r="G1653" s="25">
        <v>9.04180667E9</v>
      </c>
    </row>
    <row r="1654" ht="22.5" customHeight="1">
      <c r="A1654" s="18" t="s">
        <v>3522</v>
      </c>
      <c r="B1654" s="19" t="s">
        <v>11224</v>
      </c>
      <c r="C1654" s="20" t="s">
        <v>3523</v>
      </c>
      <c r="D1654" s="19" t="s">
        <v>11225</v>
      </c>
      <c r="E1654" s="19" t="s">
        <v>68</v>
      </c>
      <c r="F1654" s="19" t="s">
        <v>105</v>
      </c>
      <c r="G1654" s="21">
        <v>9.814001085E9</v>
      </c>
    </row>
    <row r="1655" ht="22.5" customHeight="1">
      <c r="A1655" s="22" t="s">
        <v>4652</v>
      </c>
      <c r="B1655" s="23" t="s">
        <v>11226</v>
      </c>
      <c r="C1655" s="24" t="s">
        <v>4653</v>
      </c>
      <c r="D1655" s="23" t="s">
        <v>11227</v>
      </c>
      <c r="E1655" s="23" t="s">
        <v>238</v>
      </c>
      <c r="F1655" s="23" t="s">
        <v>105</v>
      </c>
      <c r="G1655" s="25">
        <v>6.280290458E9</v>
      </c>
    </row>
    <row r="1656" ht="22.5" customHeight="1">
      <c r="A1656" s="30" t="s">
        <v>5329</v>
      </c>
      <c r="B1656" s="19" t="s">
        <v>11228</v>
      </c>
      <c r="C1656" s="20" t="s">
        <v>2761</v>
      </c>
      <c r="D1656" s="19" t="s">
        <v>11229</v>
      </c>
      <c r="E1656" s="19" t="s">
        <v>1379</v>
      </c>
      <c r="F1656" s="19" t="s">
        <v>105</v>
      </c>
      <c r="G1656" s="21">
        <v>7.075764785E9</v>
      </c>
    </row>
    <row r="1657" ht="22.5" customHeight="1">
      <c r="A1657" s="22" t="s">
        <v>11230</v>
      </c>
      <c r="B1657" s="23" t="s">
        <v>11231</v>
      </c>
      <c r="C1657" s="24" t="s">
        <v>8129</v>
      </c>
      <c r="D1657" s="23" t="s">
        <v>11232</v>
      </c>
      <c r="E1657" s="23" t="s">
        <v>4200</v>
      </c>
      <c r="F1657" s="23" t="s">
        <v>105</v>
      </c>
      <c r="G1657" s="25">
        <v>8.264853914E9</v>
      </c>
    </row>
    <row r="1658" ht="22.5" customHeight="1">
      <c r="A1658" s="18" t="s">
        <v>5479</v>
      </c>
      <c r="B1658" s="19" t="s">
        <v>5477</v>
      </c>
      <c r="C1658" s="20" t="s">
        <v>5480</v>
      </c>
      <c r="D1658" s="19" t="s">
        <v>11233</v>
      </c>
      <c r="E1658" s="19" t="s">
        <v>512</v>
      </c>
      <c r="F1658" s="19" t="s">
        <v>105</v>
      </c>
      <c r="G1658" s="21">
        <v>6.284937424E9</v>
      </c>
    </row>
    <row r="1659" ht="22.5" customHeight="1">
      <c r="A1659" s="22" t="s">
        <v>4812</v>
      </c>
      <c r="B1659" s="23" t="s">
        <v>11234</v>
      </c>
      <c r="C1659" s="24" t="s">
        <v>4813</v>
      </c>
      <c r="D1659" s="23" t="s">
        <v>11235</v>
      </c>
      <c r="E1659" s="23" t="s">
        <v>889</v>
      </c>
      <c r="F1659" s="23" t="s">
        <v>105</v>
      </c>
      <c r="G1659" s="25">
        <v>9.315233154E9</v>
      </c>
    </row>
    <row r="1660" ht="22.5" customHeight="1">
      <c r="A1660" s="18" t="s">
        <v>8848</v>
      </c>
      <c r="B1660" s="19" t="s">
        <v>8846</v>
      </c>
      <c r="C1660" s="20" t="s">
        <v>8849</v>
      </c>
      <c r="D1660" s="19" t="s">
        <v>11236</v>
      </c>
      <c r="E1660" s="19" t="s">
        <v>1303</v>
      </c>
      <c r="F1660" s="19" t="s">
        <v>105</v>
      </c>
      <c r="G1660" s="21">
        <v>7.404522279E9</v>
      </c>
    </row>
    <row r="1661" ht="22.5" customHeight="1">
      <c r="A1661" s="22" t="s">
        <v>6480</v>
      </c>
      <c r="B1661" s="23" t="s">
        <v>11237</v>
      </c>
      <c r="C1661" s="24" t="s">
        <v>6481</v>
      </c>
      <c r="D1661" s="23" t="s">
        <v>11238</v>
      </c>
      <c r="E1661" s="23" t="s">
        <v>2970</v>
      </c>
      <c r="F1661" s="23" t="s">
        <v>105</v>
      </c>
      <c r="G1661" s="25">
        <v>8.264698372E9</v>
      </c>
    </row>
    <row r="1662" ht="22.5" customHeight="1">
      <c r="A1662" s="18" t="s">
        <v>6977</v>
      </c>
      <c r="B1662" s="19" t="s">
        <v>11239</v>
      </c>
      <c r="C1662" s="20" t="s">
        <v>6978</v>
      </c>
      <c r="D1662" s="19" t="s">
        <v>11240</v>
      </c>
      <c r="E1662" s="19" t="s">
        <v>3956</v>
      </c>
      <c r="F1662" s="19" t="s">
        <v>105</v>
      </c>
      <c r="G1662" s="21">
        <v>6.283232791E9</v>
      </c>
    </row>
    <row r="1663" ht="22.5" customHeight="1">
      <c r="A1663" s="22" t="s">
        <v>11241</v>
      </c>
      <c r="B1663" s="23" t="s">
        <v>11242</v>
      </c>
      <c r="C1663" s="24" t="s">
        <v>4058</v>
      </c>
      <c r="D1663" s="23" t="s">
        <v>11241</v>
      </c>
      <c r="E1663" s="23" t="s">
        <v>365</v>
      </c>
      <c r="F1663" s="23" t="s">
        <v>105</v>
      </c>
      <c r="G1663" s="25">
        <v>7.527000053E9</v>
      </c>
    </row>
    <row r="1664" ht="22.5" customHeight="1">
      <c r="A1664" s="18" t="s">
        <v>6526</v>
      </c>
      <c r="B1664" s="19" t="s">
        <v>11243</v>
      </c>
      <c r="C1664" s="20" t="s">
        <v>6527</v>
      </c>
      <c r="D1664" s="19" t="s">
        <v>11244</v>
      </c>
      <c r="E1664" s="19" t="s">
        <v>47</v>
      </c>
      <c r="F1664" s="19" t="s">
        <v>105</v>
      </c>
      <c r="G1664" s="21">
        <v>7.087537133E9</v>
      </c>
    </row>
    <row r="1665" ht="22.5" customHeight="1">
      <c r="A1665" s="22" t="s">
        <v>1126</v>
      </c>
      <c r="B1665" s="23" t="s">
        <v>11245</v>
      </c>
      <c r="C1665" s="24" t="s">
        <v>1127</v>
      </c>
      <c r="D1665" s="23" t="s">
        <v>11246</v>
      </c>
      <c r="E1665" s="23" t="s">
        <v>140</v>
      </c>
      <c r="F1665" s="23" t="s">
        <v>105</v>
      </c>
      <c r="G1665" s="25">
        <v>9.501809482E9</v>
      </c>
    </row>
    <row r="1666" ht="22.5" customHeight="1">
      <c r="A1666" s="18" t="s">
        <v>262</v>
      </c>
      <c r="B1666" s="19" t="s">
        <v>260</v>
      </c>
      <c r="C1666" s="20" t="s">
        <v>263</v>
      </c>
      <c r="D1666" s="19" t="s">
        <v>11247</v>
      </c>
      <c r="E1666" s="19" t="s">
        <v>265</v>
      </c>
      <c r="F1666" s="19" t="s">
        <v>105</v>
      </c>
      <c r="G1666" s="21">
        <v>7.986549193E9</v>
      </c>
    </row>
    <row r="1667" ht="22.5" customHeight="1">
      <c r="A1667" s="22" t="s">
        <v>5059</v>
      </c>
      <c r="B1667" s="23" t="s">
        <v>11248</v>
      </c>
      <c r="C1667" s="24" t="s">
        <v>5060</v>
      </c>
      <c r="D1667" s="23" t="s">
        <v>11249</v>
      </c>
      <c r="E1667" s="23" t="s">
        <v>1064</v>
      </c>
      <c r="F1667" s="23" t="s">
        <v>105</v>
      </c>
      <c r="G1667" s="25">
        <v>9.145879272E9</v>
      </c>
    </row>
    <row r="1668" ht="22.5" customHeight="1">
      <c r="A1668" s="18" t="s">
        <v>6819</v>
      </c>
      <c r="B1668" s="19" t="s">
        <v>11250</v>
      </c>
      <c r="C1668" s="20" t="s">
        <v>6820</v>
      </c>
      <c r="D1668" s="19" t="s">
        <v>11251</v>
      </c>
      <c r="E1668" s="19" t="s">
        <v>469</v>
      </c>
      <c r="F1668" s="19" t="s">
        <v>105</v>
      </c>
      <c r="G1668" s="21">
        <v>9.877030542E9</v>
      </c>
    </row>
    <row r="1669" ht="22.5" customHeight="1">
      <c r="A1669" s="22" t="s">
        <v>3237</v>
      </c>
      <c r="B1669" s="23" t="s">
        <v>11252</v>
      </c>
      <c r="C1669" s="24" t="s">
        <v>3238</v>
      </c>
      <c r="D1669" s="23" t="s">
        <v>11253</v>
      </c>
      <c r="E1669" s="23" t="s">
        <v>30</v>
      </c>
      <c r="F1669" s="23" t="s">
        <v>105</v>
      </c>
      <c r="G1669" s="25">
        <v>7.696232361E9</v>
      </c>
    </row>
    <row r="1670" ht="22.5" customHeight="1">
      <c r="A1670" s="18" t="s">
        <v>2512</v>
      </c>
      <c r="B1670" s="19" t="s">
        <v>11254</v>
      </c>
      <c r="C1670" s="20" t="s">
        <v>2513</v>
      </c>
      <c r="D1670" s="19" t="s">
        <v>11255</v>
      </c>
      <c r="E1670" s="19" t="s">
        <v>63</v>
      </c>
      <c r="F1670" s="19" t="s">
        <v>105</v>
      </c>
      <c r="G1670" s="21">
        <v>9.91026548E9</v>
      </c>
    </row>
    <row r="1671" ht="22.5" customHeight="1">
      <c r="A1671" s="22" t="s">
        <v>4345</v>
      </c>
      <c r="B1671" s="23" t="s">
        <v>11256</v>
      </c>
      <c r="C1671" s="24" t="s">
        <v>4346</v>
      </c>
      <c r="D1671" s="23" t="s">
        <v>11257</v>
      </c>
      <c r="E1671" s="23" t="s">
        <v>1462</v>
      </c>
      <c r="F1671" s="23" t="s">
        <v>105</v>
      </c>
      <c r="G1671" s="25">
        <v>6.280988871E9</v>
      </c>
    </row>
    <row r="1672" ht="22.5" customHeight="1">
      <c r="A1672" s="18" t="s">
        <v>4315</v>
      </c>
      <c r="B1672" s="19" t="s">
        <v>11258</v>
      </c>
      <c r="C1672" s="20" t="s">
        <v>4316</v>
      </c>
      <c r="D1672" s="19" t="s">
        <v>11259</v>
      </c>
      <c r="E1672" s="19" t="s">
        <v>1462</v>
      </c>
      <c r="F1672" s="19" t="s">
        <v>105</v>
      </c>
      <c r="G1672" s="21">
        <v>9.910125466E9</v>
      </c>
    </row>
    <row r="1673" ht="22.5" customHeight="1">
      <c r="A1673" s="22" t="s">
        <v>8216</v>
      </c>
      <c r="B1673" s="23" t="s">
        <v>11260</v>
      </c>
      <c r="C1673" s="24" t="s">
        <v>8217</v>
      </c>
      <c r="D1673" s="23" t="s">
        <v>11261</v>
      </c>
      <c r="E1673" s="23" t="s">
        <v>1149</v>
      </c>
      <c r="F1673" s="23" t="s">
        <v>105</v>
      </c>
      <c r="G1673" s="25">
        <v>8.130084948E9</v>
      </c>
    </row>
    <row r="1674" ht="22.5" customHeight="1">
      <c r="A1674" s="18" t="s">
        <v>7514</v>
      </c>
      <c r="B1674" s="19" t="s">
        <v>7512</v>
      </c>
      <c r="C1674" s="20" t="s">
        <v>7515</v>
      </c>
      <c r="D1674" s="19" t="s">
        <v>11262</v>
      </c>
      <c r="E1674" s="19" t="s">
        <v>756</v>
      </c>
      <c r="F1674" s="19" t="s">
        <v>105</v>
      </c>
      <c r="G1674" s="21">
        <v>8.492936333E9</v>
      </c>
    </row>
    <row r="1675" ht="22.5" customHeight="1">
      <c r="A1675" s="22" t="s">
        <v>1067</v>
      </c>
      <c r="B1675" s="23" t="s">
        <v>11263</v>
      </c>
      <c r="C1675" s="24" t="s">
        <v>1069</v>
      </c>
      <c r="D1675" s="23" t="s">
        <v>11264</v>
      </c>
      <c r="E1675" s="23" t="s">
        <v>140</v>
      </c>
      <c r="F1675" s="23" t="s">
        <v>105</v>
      </c>
      <c r="G1675" s="25">
        <v>9.407564648E9</v>
      </c>
    </row>
    <row r="1676" ht="22.5" customHeight="1">
      <c r="A1676" s="18" t="s">
        <v>1730</v>
      </c>
      <c r="B1676" s="19" t="s">
        <v>11265</v>
      </c>
      <c r="C1676" s="20" t="s">
        <v>1732</v>
      </c>
      <c r="D1676" s="19" t="s">
        <v>1730</v>
      </c>
      <c r="E1676" s="19" t="s">
        <v>1653</v>
      </c>
      <c r="F1676" s="19" t="s">
        <v>105</v>
      </c>
      <c r="G1676" s="21">
        <v>7.973937665E9</v>
      </c>
    </row>
    <row r="1677" ht="22.5" customHeight="1">
      <c r="A1677" s="22" t="s">
        <v>3110</v>
      </c>
      <c r="B1677" s="23" t="s">
        <v>11266</v>
      </c>
      <c r="C1677" s="24" t="s">
        <v>3111</v>
      </c>
      <c r="D1677" s="23" t="s">
        <v>11267</v>
      </c>
      <c r="E1677" s="23" t="s">
        <v>22</v>
      </c>
      <c r="F1677" s="23" t="s">
        <v>105</v>
      </c>
      <c r="G1677" s="25">
        <v>9.8783452E9</v>
      </c>
    </row>
    <row r="1678" ht="22.5" customHeight="1">
      <c r="A1678" s="18" t="s">
        <v>6121</v>
      </c>
      <c r="B1678" s="19" t="s">
        <v>11268</v>
      </c>
      <c r="C1678" s="20" t="s">
        <v>6122</v>
      </c>
      <c r="D1678" s="19" t="s">
        <v>11269</v>
      </c>
      <c r="E1678" s="19" t="s">
        <v>1002</v>
      </c>
      <c r="F1678" s="19" t="s">
        <v>105</v>
      </c>
      <c r="G1678" s="21">
        <v>7.71961412E9</v>
      </c>
    </row>
    <row r="1679" ht="22.5" customHeight="1">
      <c r="A1679" s="22" t="s">
        <v>8650</v>
      </c>
      <c r="B1679" s="23" t="s">
        <v>8648</v>
      </c>
      <c r="C1679" s="24" t="s">
        <v>8651</v>
      </c>
      <c r="D1679" s="23" t="s">
        <v>11270</v>
      </c>
      <c r="E1679" s="23" t="s">
        <v>100</v>
      </c>
      <c r="F1679" s="23" t="s">
        <v>105</v>
      </c>
      <c r="G1679" s="25">
        <v>9.815880742E9</v>
      </c>
    </row>
    <row r="1680" ht="22.5" customHeight="1">
      <c r="A1680" s="18" t="s">
        <v>6031</v>
      </c>
      <c r="B1680" s="19" t="s">
        <v>11271</v>
      </c>
      <c r="C1680" s="20" t="s">
        <v>6032</v>
      </c>
      <c r="D1680" s="19" t="s">
        <v>11272</v>
      </c>
      <c r="E1680" s="19" t="s">
        <v>287</v>
      </c>
      <c r="F1680" s="19" t="s">
        <v>105</v>
      </c>
      <c r="G1680" s="21">
        <v>9.3893286E9</v>
      </c>
    </row>
    <row r="1681" ht="22.5" customHeight="1">
      <c r="A1681" s="22" t="s">
        <v>11273</v>
      </c>
      <c r="B1681" s="23" t="s">
        <v>11274</v>
      </c>
      <c r="C1681" s="24" t="s">
        <v>6036</v>
      </c>
      <c r="D1681" s="23" t="s">
        <v>11275</v>
      </c>
      <c r="E1681" s="23" t="s">
        <v>287</v>
      </c>
      <c r="F1681" s="23" t="s">
        <v>105</v>
      </c>
      <c r="G1681" s="25">
        <v>9.814232098E9</v>
      </c>
    </row>
    <row r="1682" ht="22.5" customHeight="1">
      <c r="A1682" s="18" t="s">
        <v>912</v>
      </c>
      <c r="B1682" s="19" t="s">
        <v>11276</v>
      </c>
      <c r="C1682" s="20" t="s">
        <v>913</v>
      </c>
      <c r="D1682" s="19" t="s">
        <v>11277</v>
      </c>
      <c r="E1682" s="19" t="s">
        <v>52</v>
      </c>
      <c r="F1682" s="19" t="s">
        <v>105</v>
      </c>
      <c r="G1682" s="21">
        <v>9.855661665E9</v>
      </c>
    </row>
    <row r="1683" ht="22.5" customHeight="1">
      <c r="A1683" s="22" t="s">
        <v>7933</v>
      </c>
      <c r="B1683" s="23" t="s">
        <v>11278</v>
      </c>
      <c r="C1683" s="24" t="s">
        <v>7934</v>
      </c>
      <c r="D1683" s="23" t="s">
        <v>11279</v>
      </c>
      <c r="E1683" s="23" t="s">
        <v>303</v>
      </c>
      <c r="F1683" s="23" t="s">
        <v>105</v>
      </c>
      <c r="G1683" s="25">
        <v>8.146951353E9</v>
      </c>
    </row>
    <row r="1684" ht="22.5" customHeight="1">
      <c r="A1684" s="18" t="s">
        <v>11280</v>
      </c>
      <c r="B1684" s="19" t="s">
        <v>11281</v>
      </c>
      <c r="C1684" s="20" t="s">
        <v>3681</v>
      </c>
      <c r="D1684" s="19" t="s">
        <v>11282</v>
      </c>
      <c r="E1684" s="19" t="s">
        <v>227</v>
      </c>
      <c r="F1684" s="19" t="s">
        <v>105</v>
      </c>
      <c r="G1684" s="21">
        <v>9.318304564E9</v>
      </c>
    </row>
    <row r="1685" ht="22.5" customHeight="1">
      <c r="A1685" s="22" t="s">
        <v>11283</v>
      </c>
      <c r="B1685" s="23" t="s">
        <v>11284</v>
      </c>
      <c r="C1685" s="24" t="s">
        <v>6734</v>
      </c>
      <c r="D1685" s="23" t="s">
        <v>11285</v>
      </c>
      <c r="E1685" s="23" t="s">
        <v>98</v>
      </c>
      <c r="F1685" s="23" t="s">
        <v>105</v>
      </c>
      <c r="G1685" s="25">
        <v>8.373992305E9</v>
      </c>
    </row>
    <row r="1686" ht="22.5" customHeight="1">
      <c r="A1686" s="18" t="s">
        <v>5656</v>
      </c>
      <c r="B1686" s="19" t="s">
        <v>93</v>
      </c>
      <c r="C1686" s="20" t="s">
        <v>5657</v>
      </c>
      <c r="D1686" s="19" t="s">
        <v>11286</v>
      </c>
      <c r="E1686" s="19" t="s">
        <v>1243</v>
      </c>
      <c r="F1686" s="19" t="s">
        <v>105</v>
      </c>
      <c r="G1686" s="21">
        <v>9.373490001E9</v>
      </c>
    </row>
    <row r="1687" ht="22.5" customHeight="1">
      <c r="A1687" s="22" t="s">
        <v>6665</v>
      </c>
      <c r="B1687" s="23" t="s">
        <v>11287</v>
      </c>
      <c r="C1687" s="24" t="s">
        <v>6666</v>
      </c>
      <c r="D1687" s="23" t="s">
        <v>11288</v>
      </c>
      <c r="E1687" s="23" t="s">
        <v>98</v>
      </c>
      <c r="F1687" s="23" t="s">
        <v>105</v>
      </c>
      <c r="G1687" s="25">
        <v>9.058274235E9</v>
      </c>
    </row>
    <row r="1688" ht="22.5" customHeight="1">
      <c r="A1688" s="18" t="s">
        <v>8373</v>
      </c>
      <c r="B1688" s="19" t="s">
        <v>8371</v>
      </c>
      <c r="C1688" s="20" t="s">
        <v>8374</v>
      </c>
      <c r="D1688" s="19" t="s">
        <v>11289</v>
      </c>
      <c r="E1688" s="19" t="s">
        <v>57</v>
      </c>
      <c r="F1688" s="19" t="s">
        <v>105</v>
      </c>
      <c r="G1688" s="21">
        <v>9.955067874E9</v>
      </c>
    </row>
    <row r="1689" ht="22.5" customHeight="1">
      <c r="A1689" s="22" t="s">
        <v>2877</v>
      </c>
      <c r="B1689" s="23" t="s">
        <v>11290</v>
      </c>
      <c r="C1689" s="24" t="s">
        <v>2878</v>
      </c>
      <c r="D1689" s="23" t="s">
        <v>11291</v>
      </c>
      <c r="E1689" s="23" t="s">
        <v>604</v>
      </c>
      <c r="F1689" s="23" t="s">
        <v>105</v>
      </c>
      <c r="G1689" s="25">
        <v>6.239739201E9</v>
      </c>
    </row>
    <row r="1690" ht="22.5" customHeight="1">
      <c r="A1690" s="18" t="s">
        <v>11292</v>
      </c>
      <c r="B1690" s="19" t="s">
        <v>11293</v>
      </c>
      <c r="C1690" s="20" t="s">
        <v>3090</v>
      </c>
      <c r="D1690" s="19" t="s">
        <v>11294</v>
      </c>
      <c r="E1690" s="19" t="s">
        <v>22</v>
      </c>
      <c r="F1690" s="19" t="s">
        <v>105</v>
      </c>
      <c r="G1690" s="21">
        <v>9.828500093E9</v>
      </c>
    </row>
    <row r="1691" ht="22.5" customHeight="1">
      <c r="A1691" s="22" t="s">
        <v>5101</v>
      </c>
      <c r="B1691" s="23" t="s">
        <v>11295</v>
      </c>
      <c r="C1691" s="24" t="s">
        <v>5102</v>
      </c>
      <c r="D1691" s="23" t="s">
        <v>11296</v>
      </c>
      <c r="E1691" s="23" t="s">
        <v>1064</v>
      </c>
      <c r="F1691" s="23" t="s">
        <v>105</v>
      </c>
      <c r="G1691" s="25">
        <v>8.699031809E9</v>
      </c>
    </row>
    <row r="1692" ht="22.5" customHeight="1">
      <c r="A1692" s="18" t="s">
        <v>11297</v>
      </c>
      <c r="B1692" s="19" t="s">
        <v>11298</v>
      </c>
      <c r="C1692" s="20" t="s">
        <v>3390</v>
      </c>
      <c r="D1692" s="19" t="s">
        <v>11299</v>
      </c>
      <c r="E1692" s="19" t="s">
        <v>37</v>
      </c>
      <c r="F1692" s="19" t="s">
        <v>105</v>
      </c>
      <c r="G1692" s="21">
        <v>9.784831122E9</v>
      </c>
    </row>
    <row r="1693" ht="22.5" customHeight="1">
      <c r="A1693" s="22" t="s">
        <v>5690</v>
      </c>
      <c r="B1693" s="23" t="s">
        <v>11300</v>
      </c>
      <c r="C1693" s="24" t="s">
        <v>5691</v>
      </c>
      <c r="D1693" s="23" t="s">
        <v>11301</v>
      </c>
      <c r="E1693" s="23" t="s">
        <v>1243</v>
      </c>
      <c r="F1693" s="23" t="s">
        <v>105</v>
      </c>
      <c r="G1693" s="25">
        <v>7.009359172E9</v>
      </c>
    </row>
    <row r="1694" ht="22.5" customHeight="1">
      <c r="A1694" s="18" t="s">
        <v>7602</v>
      </c>
      <c r="B1694" s="19" t="s">
        <v>7600</v>
      </c>
      <c r="C1694" s="20" t="s">
        <v>7603</v>
      </c>
      <c r="D1694" s="19" t="s">
        <v>11302</v>
      </c>
      <c r="E1694" s="19" t="s">
        <v>123</v>
      </c>
      <c r="F1694" s="19" t="s">
        <v>105</v>
      </c>
      <c r="G1694" s="21">
        <v>7.986050534E9</v>
      </c>
    </row>
    <row r="1695" ht="22.5" customHeight="1">
      <c r="A1695" s="22" t="s">
        <v>4082</v>
      </c>
      <c r="B1695" s="23" t="s">
        <v>11303</v>
      </c>
      <c r="C1695" s="24" t="s">
        <v>4083</v>
      </c>
      <c r="D1695" s="23" t="s">
        <v>4082</v>
      </c>
      <c r="E1695" s="23" t="s">
        <v>365</v>
      </c>
      <c r="F1695" s="23" t="s">
        <v>105</v>
      </c>
      <c r="G1695" s="25">
        <v>9.50101629E9</v>
      </c>
    </row>
    <row r="1696" ht="22.5" customHeight="1">
      <c r="A1696" s="18" t="s">
        <v>2411</v>
      </c>
      <c r="B1696" s="19" t="s">
        <v>11304</v>
      </c>
      <c r="C1696" s="20" t="s">
        <v>2412</v>
      </c>
      <c r="D1696" s="19" t="s">
        <v>11305</v>
      </c>
      <c r="E1696" s="19" t="s">
        <v>1873</v>
      </c>
      <c r="F1696" s="19" t="s">
        <v>105</v>
      </c>
      <c r="G1696" s="21">
        <v>7.340768863E9</v>
      </c>
    </row>
    <row r="1697" ht="22.5" customHeight="1">
      <c r="A1697" s="22" t="s">
        <v>332</v>
      </c>
      <c r="B1697" s="23" t="s">
        <v>330</v>
      </c>
      <c r="C1697" s="24" t="s">
        <v>333</v>
      </c>
      <c r="D1697" s="23" t="s">
        <v>11306</v>
      </c>
      <c r="E1697" s="23" t="s">
        <v>106</v>
      </c>
      <c r="F1697" s="23" t="s">
        <v>105</v>
      </c>
      <c r="G1697" s="25">
        <v>8.847236123E9</v>
      </c>
    </row>
    <row r="1698" ht="22.5" customHeight="1">
      <c r="A1698" s="18" t="s">
        <v>3861</v>
      </c>
      <c r="B1698" s="19" t="s">
        <v>11307</v>
      </c>
      <c r="C1698" s="20" t="s">
        <v>3862</v>
      </c>
      <c r="D1698" s="19" t="s">
        <v>11308</v>
      </c>
      <c r="E1698" s="19" t="s">
        <v>282</v>
      </c>
      <c r="F1698" s="19" t="s">
        <v>105</v>
      </c>
      <c r="G1698" s="21">
        <v>9.878418627E9</v>
      </c>
    </row>
    <row r="1699" ht="22.5" customHeight="1">
      <c r="A1699" s="22" t="s">
        <v>7535</v>
      </c>
      <c r="B1699" s="23" t="s">
        <v>7533</v>
      </c>
      <c r="C1699" s="24" t="s">
        <v>7536</v>
      </c>
      <c r="D1699" s="23" t="s">
        <v>11309</v>
      </c>
      <c r="E1699" s="23" t="s">
        <v>756</v>
      </c>
      <c r="F1699" s="23" t="s">
        <v>105</v>
      </c>
      <c r="G1699" s="34" t="str">
        <f>+91 9056467100</f>
        <v>#ERROR!</v>
      </c>
    </row>
    <row r="1700" ht="22.5" customHeight="1">
      <c r="A1700" s="18" t="s">
        <v>8688</v>
      </c>
      <c r="B1700" s="19" t="s">
        <v>8686</v>
      </c>
      <c r="C1700" s="20" t="s">
        <v>8689</v>
      </c>
      <c r="D1700" s="19" t="s">
        <v>11310</v>
      </c>
      <c r="E1700" s="19" t="s">
        <v>1303</v>
      </c>
      <c r="F1700" s="19" t="s">
        <v>105</v>
      </c>
      <c r="G1700" s="21">
        <v>9.485906364E9</v>
      </c>
    </row>
    <row r="1701" ht="22.5" customHeight="1">
      <c r="A1701" s="22" t="s">
        <v>11311</v>
      </c>
      <c r="B1701" s="23" t="s">
        <v>11303</v>
      </c>
      <c r="C1701" s="24" t="s">
        <v>8068</v>
      </c>
      <c r="D1701" s="23" t="s">
        <v>11312</v>
      </c>
      <c r="E1701" s="23" t="s">
        <v>559</v>
      </c>
      <c r="F1701" s="23" t="s">
        <v>105</v>
      </c>
      <c r="G1701" s="25">
        <v>9.041900142E9</v>
      </c>
    </row>
    <row r="1702" ht="22.5" customHeight="1">
      <c r="A1702" s="18" t="s">
        <v>8714</v>
      </c>
      <c r="B1702" s="19" t="s">
        <v>93</v>
      </c>
      <c r="C1702" s="20" t="s">
        <v>8715</v>
      </c>
      <c r="D1702" s="19" t="s">
        <v>11313</v>
      </c>
      <c r="E1702" s="19" t="s">
        <v>3118</v>
      </c>
      <c r="F1702" s="19" t="s">
        <v>105</v>
      </c>
      <c r="G1702" s="21">
        <v>7.814617642E9</v>
      </c>
    </row>
    <row r="1703" ht="22.5" customHeight="1">
      <c r="A1703" s="22" t="s">
        <v>96</v>
      </c>
      <c r="B1703" s="23" t="s">
        <v>93</v>
      </c>
      <c r="C1703" s="24" t="s">
        <v>97</v>
      </c>
      <c r="D1703" s="23" t="s">
        <v>11314</v>
      </c>
      <c r="E1703" s="23" t="s">
        <v>98</v>
      </c>
      <c r="F1703" s="23" t="s">
        <v>105</v>
      </c>
      <c r="G1703" s="25">
        <v>8.283833797E9</v>
      </c>
    </row>
    <row r="1704" ht="22.5" customHeight="1">
      <c r="A1704" s="18" t="s">
        <v>61</v>
      </c>
      <c r="B1704" s="19" t="s">
        <v>11315</v>
      </c>
      <c r="C1704" s="20" t="s">
        <v>62</v>
      </c>
      <c r="D1704" s="19" t="s">
        <v>11316</v>
      </c>
      <c r="E1704" s="19" t="s">
        <v>63</v>
      </c>
      <c r="F1704" s="19" t="s">
        <v>105</v>
      </c>
      <c r="G1704" s="21">
        <v>7.982864035E9</v>
      </c>
    </row>
    <row r="1705" ht="22.5" customHeight="1">
      <c r="A1705" s="22" t="s">
        <v>2735</v>
      </c>
      <c r="B1705" s="23" t="s">
        <v>11317</v>
      </c>
      <c r="C1705" s="24" t="s">
        <v>2736</v>
      </c>
      <c r="D1705" s="23" t="s">
        <v>11318</v>
      </c>
      <c r="E1705" s="23" t="s">
        <v>204</v>
      </c>
      <c r="F1705" s="23" t="s">
        <v>105</v>
      </c>
      <c r="G1705" s="25">
        <v>8.837630412E9</v>
      </c>
    </row>
    <row r="1706" ht="22.5" customHeight="1">
      <c r="A1706" s="18" t="s">
        <v>8446</v>
      </c>
      <c r="B1706" s="19" t="s">
        <v>8444</v>
      </c>
      <c r="C1706" s="20" t="s">
        <v>8447</v>
      </c>
      <c r="D1706" s="19" t="s">
        <v>11319</v>
      </c>
      <c r="E1706" s="19" t="s">
        <v>231</v>
      </c>
      <c r="F1706" s="19" t="s">
        <v>105</v>
      </c>
      <c r="G1706" s="21">
        <v>9.518045304E9</v>
      </c>
    </row>
    <row r="1707" ht="22.5" customHeight="1">
      <c r="A1707" s="22" t="s">
        <v>5614</v>
      </c>
      <c r="B1707" s="23" t="s">
        <v>11320</v>
      </c>
      <c r="C1707" s="24" t="s">
        <v>5615</v>
      </c>
      <c r="D1707" s="23" t="s">
        <v>11321</v>
      </c>
      <c r="E1707" s="23" t="s">
        <v>1243</v>
      </c>
      <c r="F1707" s="23" t="s">
        <v>105</v>
      </c>
      <c r="G1707" s="25">
        <v>7.6268501E9</v>
      </c>
    </row>
    <row r="1708" ht="22.5" customHeight="1">
      <c r="A1708" s="18" t="s">
        <v>1788</v>
      </c>
      <c r="B1708" s="19" t="s">
        <v>11322</v>
      </c>
      <c r="C1708" s="20" t="s">
        <v>1789</v>
      </c>
      <c r="D1708" s="19" t="s">
        <v>1788</v>
      </c>
      <c r="E1708" s="19" t="s">
        <v>1653</v>
      </c>
      <c r="F1708" s="19" t="s">
        <v>105</v>
      </c>
      <c r="G1708" s="21">
        <v>7.206035644E9</v>
      </c>
    </row>
    <row r="1709" ht="22.5" customHeight="1">
      <c r="A1709" s="22" t="s">
        <v>5535</v>
      </c>
      <c r="B1709" s="23" t="s">
        <v>11323</v>
      </c>
      <c r="C1709" s="24" t="s">
        <v>5536</v>
      </c>
      <c r="D1709" s="23" t="s">
        <v>11324</v>
      </c>
      <c r="E1709" s="23" t="s">
        <v>512</v>
      </c>
      <c r="F1709" s="23" t="s">
        <v>105</v>
      </c>
      <c r="G1709" s="25">
        <v>9.702700786E9</v>
      </c>
    </row>
    <row r="1710" ht="22.5" customHeight="1">
      <c r="A1710" s="18" t="s">
        <v>11325</v>
      </c>
      <c r="B1710" s="19" t="s">
        <v>11326</v>
      </c>
      <c r="C1710" s="20" t="s">
        <v>7587</v>
      </c>
      <c r="D1710" s="19" t="s">
        <v>11327</v>
      </c>
      <c r="E1710" s="19" t="s">
        <v>123</v>
      </c>
      <c r="F1710" s="19" t="s">
        <v>105</v>
      </c>
      <c r="G1710" s="21">
        <v>8.899299261E9</v>
      </c>
    </row>
    <row r="1711" ht="22.5" customHeight="1">
      <c r="A1711" s="22" t="s">
        <v>7411</v>
      </c>
      <c r="B1711" s="23" t="s">
        <v>11328</v>
      </c>
      <c r="C1711" s="24" t="s">
        <v>7412</v>
      </c>
      <c r="D1711" s="23" t="s">
        <v>11329</v>
      </c>
      <c r="E1711" s="23" t="s">
        <v>523</v>
      </c>
      <c r="F1711" s="23" t="s">
        <v>105</v>
      </c>
      <c r="G1711" s="25">
        <v>9.866267337E9</v>
      </c>
    </row>
    <row r="1712" ht="22.5" customHeight="1">
      <c r="A1712" s="18" t="s">
        <v>5183</v>
      </c>
      <c r="B1712" s="19" t="s">
        <v>11330</v>
      </c>
      <c r="C1712" s="20" t="s">
        <v>2379</v>
      </c>
      <c r="D1712" s="19" t="s">
        <v>11331</v>
      </c>
      <c r="E1712" s="19" t="s">
        <v>184</v>
      </c>
      <c r="F1712" s="19" t="s">
        <v>105</v>
      </c>
      <c r="G1712" s="21">
        <v>6.280770245E9</v>
      </c>
    </row>
    <row r="1713" ht="22.5" customHeight="1">
      <c r="A1713" s="22" t="s">
        <v>11332</v>
      </c>
      <c r="B1713" s="23" t="s">
        <v>11333</v>
      </c>
      <c r="C1713" s="24" t="s">
        <v>3553</v>
      </c>
      <c r="D1713" s="23" t="s">
        <v>11334</v>
      </c>
      <c r="E1713" s="23" t="s">
        <v>68</v>
      </c>
      <c r="F1713" s="23" t="s">
        <v>105</v>
      </c>
      <c r="G1713" s="25">
        <v>9.355128484E9</v>
      </c>
    </row>
    <row r="1714" ht="22.5" customHeight="1">
      <c r="A1714" s="18" t="s">
        <v>2217</v>
      </c>
      <c r="B1714" s="19" t="s">
        <v>11335</v>
      </c>
      <c r="C1714" s="20" t="s">
        <v>2218</v>
      </c>
      <c r="D1714" s="19" t="s">
        <v>11336</v>
      </c>
      <c r="E1714" s="19" t="s">
        <v>304</v>
      </c>
      <c r="F1714" s="19" t="s">
        <v>105</v>
      </c>
      <c r="G1714" s="21">
        <v>9.350497252E9</v>
      </c>
    </row>
    <row r="1715" ht="22.5" customHeight="1">
      <c r="A1715" s="22" t="s">
        <v>3275</v>
      </c>
      <c r="B1715" s="23" t="s">
        <v>11337</v>
      </c>
      <c r="C1715" s="24" t="s">
        <v>3276</v>
      </c>
      <c r="D1715" s="23" t="s">
        <v>3275</v>
      </c>
      <c r="E1715" s="23" t="s">
        <v>524</v>
      </c>
      <c r="F1715" s="23" t="s">
        <v>105</v>
      </c>
      <c r="G1715" s="25">
        <v>6.239935083E9</v>
      </c>
    </row>
    <row r="1716" ht="22.5" customHeight="1">
      <c r="A1716" s="18" t="s">
        <v>11338</v>
      </c>
      <c r="B1716" s="19" t="s">
        <v>11339</v>
      </c>
      <c r="C1716" s="20" t="s">
        <v>6143</v>
      </c>
      <c r="D1716" s="19" t="s">
        <v>11340</v>
      </c>
      <c r="E1716" s="19" t="s">
        <v>1002</v>
      </c>
      <c r="F1716" s="19" t="s">
        <v>105</v>
      </c>
      <c r="G1716" s="21">
        <v>7.696862814E9</v>
      </c>
    </row>
    <row r="1717" ht="22.5" customHeight="1">
      <c r="A1717" s="22" t="s">
        <v>1005</v>
      </c>
      <c r="B1717" s="23" t="s">
        <v>11341</v>
      </c>
      <c r="C1717" s="24" t="s">
        <v>1007</v>
      </c>
      <c r="D1717" s="23" t="s">
        <v>11342</v>
      </c>
      <c r="E1717" s="23" t="s">
        <v>140</v>
      </c>
      <c r="F1717" s="23" t="s">
        <v>105</v>
      </c>
      <c r="G1717" s="25">
        <v>8.369592154E9</v>
      </c>
    </row>
    <row r="1718" ht="22.5" customHeight="1">
      <c r="A1718" s="30" t="s">
        <v>8626</v>
      </c>
      <c r="B1718" s="19" t="s">
        <v>8623</v>
      </c>
      <c r="C1718" s="20" t="s">
        <v>8627</v>
      </c>
      <c r="D1718" s="19" t="s">
        <v>11343</v>
      </c>
      <c r="E1718" s="19" t="s">
        <v>100</v>
      </c>
      <c r="F1718" s="19" t="s">
        <v>105</v>
      </c>
      <c r="G1718" s="21">
        <v>9.87717721E9</v>
      </c>
    </row>
    <row r="1719" ht="22.5" customHeight="1">
      <c r="A1719" s="22" t="s">
        <v>11344</v>
      </c>
      <c r="B1719" s="23" t="s">
        <v>11345</v>
      </c>
      <c r="C1719" s="24" t="s">
        <v>3095</v>
      </c>
      <c r="D1719" s="23" t="s">
        <v>11344</v>
      </c>
      <c r="E1719" s="23" t="s">
        <v>22</v>
      </c>
      <c r="F1719" s="23" t="s">
        <v>105</v>
      </c>
      <c r="G1719" s="25">
        <v>9.888555476E9</v>
      </c>
    </row>
    <row r="1720" ht="22.5" customHeight="1">
      <c r="A1720" s="18" t="s">
        <v>6345</v>
      </c>
      <c r="B1720" s="19" t="s">
        <v>11346</v>
      </c>
      <c r="C1720" s="20" t="s">
        <v>6347</v>
      </c>
      <c r="D1720" s="19" t="s">
        <v>11347</v>
      </c>
      <c r="E1720" s="19" t="s">
        <v>255</v>
      </c>
      <c r="F1720" s="19" t="s">
        <v>105</v>
      </c>
      <c r="G1720" s="21">
        <v>6.239502137E9</v>
      </c>
    </row>
    <row r="1721" ht="22.5" customHeight="1">
      <c r="A1721" s="22" t="s">
        <v>4142</v>
      </c>
      <c r="B1721" s="23" t="s">
        <v>11348</v>
      </c>
      <c r="C1721" s="24" t="s">
        <v>4143</v>
      </c>
      <c r="D1721" s="23" t="s">
        <v>4142</v>
      </c>
      <c r="E1721" s="23" t="s">
        <v>365</v>
      </c>
      <c r="F1721" s="23" t="s">
        <v>105</v>
      </c>
      <c r="G1721" s="25">
        <v>9.463595738E9</v>
      </c>
    </row>
    <row r="1722" ht="22.5" customHeight="1">
      <c r="A1722" s="18" t="s">
        <v>11349</v>
      </c>
      <c r="B1722" s="19" t="s">
        <v>11350</v>
      </c>
      <c r="C1722" s="20" t="s">
        <v>1612</v>
      </c>
      <c r="D1722" s="19" t="s">
        <v>11351</v>
      </c>
      <c r="E1722" s="19" t="s">
        <v>75</v>
      </c>
      <c r="F1722" s="19" t="s">
        <v>105</v>
      </c>
      <c r="G1722" s="21">
        <v>9.990304848E9</v>
      </c>
    </row>
    <row r="1723" ht="22.5" customHeight="1">
      <c r="A1723" s="22" t="s">
        <v>7890</v>
      </c>
      <c r="B1723" s="23" t="s">
        <v>11352</v>
      </c>
      <c r="C1723" s="24" t="s">
        <v>7891</v>
      </c>
      <c r="D1723" s="23" t="s">
        <v>11353</v>
      </c>
      <c r="E1723" s="23" t="s">
        <v>303</v>
      </c>
      <c r="F1723" s="23" t="s">
        <v>105</v>
      </c>
      <c r="G1723" s="25">
        <v>8.130829133E9</v>
      </c>
    </row>
    <row r="1724" ht="22.5" customHeight="1">
      <c r="A1724" s="18" t="s">
        <v>4155</v>
      </c>
      <c r="B1724" s="19" t="s">
        <v>11354</v>
      </c>
      <c r="C1724" s="20" t="s">
        <v>4156</v>
      </c>
      <c r="D1724" s="19" t="s">
        <v>11355</v>
      </c>
      <c r="E1724" s="19" t="s">
        <v>365</v>
      </c>
      <c r="F1724" s="19" t="s">
        <v>105</v>
      </c>
      <c r="G1724" s="21">
        <v>7.86286986E9</v>
      </c>
    </row>
    <row r="1725" ht="22.5" customHeight="1">
      <c r="A1725" s="22" t="s">
        <v>675</v>
      </c>
      <c r="B1725" s="23" t="s">
        <v>673</v>
      </c>
      <c r="C1725" s="24" t="s">
        <v>676</v>
      </c>
      <c r="D1725" s="23" t="s">
        <v>11356</v>
      </c>
      <c r="E1725" s="23" t="s">
        <v>559</v>
      </c>
      <c r="F1725" s="23" t="s">
        <v>105</v>
      </c>
      <c r="G1725" s="25">
        <v>8.130460604E9</v>
      </c>
    </row>
    <row r="1726" ht="22.5" customHeight="1">
      <c r="A1726" s="18" t="s">
        <v>6779</v>
      </c>
      <c r="B1726" s="19" t="s">
        <v>11357</v>
      </c>
      <c r="C1726" s="20" t="s">
        <v>6780</v>
      </c>
      <c r="D1726" s="19" t="s">
        <v>11358</v>
      </c>
      <c r="E1726" s="19" t="s">
        <v>469</v>
      </c>
      <c r="F1726" s="19" t="s">
        <v>105</v>
      </c>
      <c r="G1726" s="21">
        <v>9.914040193E9</v>
      </c>
    </row>
    <row r="1727" ht="22.5" customHeight="1">
      <c r="A1727" s="22" t="s">
        <v>6049</v>
      </c>
      <c r="B1727" s="23" t="s">
        <v>11359</v>
      </c>
      <c r="C1727" s="24" t="s">
        <v>6050</v>
      </c>
      <c r="D1727" s="23" t="s">
        <v>11360</v>
      </c>
      <c r="E1727" s="23" t="s">
        <v>287</v>
      </c>
      <c r="F1727" s="23" t="s">
        <v>105</v>
      </c>
      <c r="G1727" s="25">
        <v>9.417237373E9</v>
      </c>
    </row>
    <row r="1728" ht="22.5" customHeight="1">
      <c r="A1728" s="18" t="s">
        <v>1053</v>
      </c>
      <c r="B1728" s="19" t="s">
        <v>11361</v>
      </c>
      <c r="C1728" s="20" t="s">
        <v>1054</v>
      </c>
      <c r="D1728" s="19" t="s">
        <v>11362</v>
      </c>
      <c r="E1728" s="19" t="s">
        <v>140</v>
      </c>
      <c r="F1728" s="19" t="s">
        <v>105</v>
      </c>
      <c r="G1728" s="21">
        <v>8.082693313E9</v>
      </c>
    </row>
    <row r="1729" ht="22.5" customHeight="1">
      <c r="A1729" s="22" t="s">
        <v>5149</v>
      </c>
      <c r="B1729" s="23" t="s">
        <v>11363</v>
      </c>
      <c r="C1729" s="24" t="s">
        <v>2319</v>
      </c>
      <c r="D1729" s="23" t="s">
        <v>11364</v>
      </c>
      <c r="E1729" s="23" t="s">
        <v>219</v>
      </c>
      <c r="F1729" s="23" t="s">
        <v>105</v>
      </c>
      <c r="G1729" s="25">
        <v>7.347503206E9</v>
      </c>
    </row>
    <row r="1730" ht="22.5" customHeight="1">
      <c r="A1730" s="30" t="s">
        <v>6798</v>
      </c>
      <c r="B1730" s="19" t="s">
        <v>11365</v>
      </c>
      <c r="C1730" s="20" t="s">
        <v>6799</v>
      </c>
      <c r="D1730" s="19" t="s">
        <v>11366</v>
      </c>
      <c r="E1730" s="19" t="s">
        <v>469</v>
      </c>
      <c r="F1730" s="19" t="s">
        <v>105</v>
      </c>
      <c r="G1730" s="21">
        <v>9.811894295E9</v>
      </c>
    </row>
    <row r="1731" ht="22.5" customHeight="1">
      <c r="A1731" s="22" t="s">
        <v>11367</v>
      </c>
      <c r="B1731" s="23" t="s">
        <v>5564</v>
      </c>
      <c r="C1731" s="24" t="s">
        <v>5567</v>
      </c>
      <c r="D1731" s="23" t="s">
        <v>11367</v>
      </c>
      <c r="E1731" s="23" t="s">
        <v>689</v>
      </c>
      <c r="F1731" s="23" t="s">
        <v>105</v>
      </c>
      <c r="G1731" s="25">
        <v>9.798419513E9</v>
      </c>
    </row>
    <row r="1732" ht="22.5" customHeight="1">
      <c r="A1732" s="18" t="s">
        <v>8437</v>
      </c>
      <c r="B1732" s="19" t="s">
        <v>8435</v>
      </c>
      <c r="C1732" s="20" t="s">
        <v>8438</v>
      </c>
      <c r="D1732" s="19" t="s">
        <v>11368</v>
      </c>
      <c r="E1732" s="19" t="s">
        <v>231</v>
      </c>
      <c r="F1732" s="19" t="s">
        <v>105</v>
      </c>
      <c r="G1732" s="21">
        <v>8.840891562E9</v>
      </c>
    </row>
    <row r="1733" ht="22.5" customHeight="1">
      <c r="A1733" s="22" t="s">
        <v>6496</v>
      </c>
      <c r="B1733" s="23" t="s">
        <v>11369</v>
      </c>
      <c r="C1733" s="24" t="s">
        <v>6497</v>
      </c>
      <c r="D1733" s="23" t="s">
        <v>11370</v>
      </c>
      <c r="E1733" s="23" t="s">
        <v>47</v>
      </c>
      <c r="F1733" s="23" t="s">
        <v>105</v>
      </c>
      <c r="G1733" s="25">
        <v>9.814033202E9</v>
      </c>
    </row>
    <row r="1734" ht="22.5" customHeight="1">
      <c r="A1734" s="18" t="s">
        <v>11371</v>
      </c>
      <c r="B1734" s="19" t="s">
        <v>11372</v>
      </c>
      <c r="C1734" s="20" t="s">
        <v>6723</v>
      </c>
      <c r="D1734" s="19" t="s">
        <v>11373</v>
      </c>
      <c r="E1734" s="19" t="s">
        <v>98</v>
      </c>
      <c r="F1734" s="19" t="s">
        <v>105</v>
      </c>
      <c r="G1734" s="21">
        <v>7.81803357E9</v>
      </c>
    </row>
    <row r="1735" ht="22.5" customHeight="1">
      <c r="A1735" s="22" t="s">
        <v>11374</v>
      </c>
      <c r="B1735" s="23" t="s">
        <v>11375</v>
      </c>
      <c r="C1735" s="24" t="s">
        <v>11376</v>
      </c>
      <c r="D1735" s="23" t="s">
        <v>11377</v>
      </c>
      <c r="E1735" s="23" t="s">
        <v>384</v>
      </c>
      <c r="F1735" s="23" t="s">
        <v>105</v>
      </c>
      <c r="G1735" s="25">
        <v>7.976153492E9</v>
      </c>
    </row>
    <row r="1736" ht="22.5" customHeight="1">
      <c r="A1736" s="18" t="s">
        <v>1589</v>
      </c>
      <c r="B1736" s="19" t="s">
        <v>11378</v>
      </c>
      <c r="C1736" s="20" t="s">
        <v>1590</v>
      </c>
      <c r="D1736" s="19" t="s">
        <v>11379</v>
      </c>
      <c r="E1736" s="19" t="s">
        <v>75</v>
      </c>
      <c r="F1736" s="19" t="s">
        <v>105</v>
      </c>
      <c r="G1736" s="21">
        <f>+918755517939</f>
        <v>918755517939</v>
      </c>
    </row>
    <row r="1737" ht="22.5" customHeight="1">
      <c r="A1737" s="22" t="s">
        <v>1408</v>
      </c>
      <c r="B1737" s="23" t="s">
        <v>11380</v>
      </c>
      <c r="C1737" s="24" t="s">
        <v>1410</v>
      </c>
      <c r="D1737" s="23" t="s">
        <v>11381</v>
      </c>
      <c r="E1737" s="23" t="s">
        <v>389</v>
      </c>
      <c r="F1737" s="23" t="s">
        <v>105</v>
      </c>
      <c r="G1737" s="25">
        <v>7.9867497E9</v>
      </c>
    </row>
    <row r="1738" ht="22.5" customHeight="1">
      <c r="A1738" s="18" t="s">
        <v>11382</v>
      </c>
      <c r="B1738" s="19" t="s">
        <v>11383</v>
      </c>
      <c r="C1738" s="20" t="s">
        <v>2482</v>
      </c>
      <c r="D1738" s="19" t="s">
        <v>11384</v>
      </c>
      <c r="E1738" s="19" t="s">
        <v>184</v>
      </c>
      <c r="F1738" s="19" t="s">
        <v>105</v>
      </c>
      <c r="G1738" s="21">
        <v>9.654145346E9</v>
      </c>
    </row>
    <row r="1739" ht="22.5" customHeight="1">
      <c r="A1739" s="22" t="s">
        <v>6284</v>
      </c>
      <c r="B1739" s="23" t="s">
        <v>11385</v>
      </c>
      <c r="C1739" s="24" t="s">
        <v>6285</v>
      </c>
      <c r="D1739" s="23" t="s">
        <v>11386</v>
      </c>
      <c r="E1739" s="23" t="s">
        <v>255</v>
      </c>
      <c r="F1739" s="23" t="s">
        <v>105</v>
      </c>
      <c r="G1739" s="25">
        <v>6.283021665E9</v>
      </c>
    </row>
    <row r="1740" ht="22.5" customHeight="1">
      <c r="A1740" s="18" t="s">
        <v>6839</v>
      </c>
      <c r="B1740" s="19" t="s">
        <v>11387</v>
      </c>
      <c r="C1740" s="20" t="s">
        <v>6840</v>
      </c>
      <c r="D1740" s="19" t="s">
        <v>11388</v>
      </c>
      <c r="E1740" s="19" t="s">
        <v>469</v>
      </c>
      <c r="F1740" s="19" t="s">
        <v>105</v>
      </c>
      <c r="G1740" s="21">
        <v>6.28020703E9</v>
      </c>
    </row>
    <row r="1741" ht="22.5" customHeight="1">
      <c r="A1741" s="22" t="s">
        <v>2340</v>
      </c>
      <c r="B1741" s="23" t="s">
        <v>11389</v>
      </c>
      <c r="C1741" s="24" t="s">
        <v>2341</v>
      </c>
      <c r="D1741" s="23" t="s">
        <v>11390</v>
      </c>
      <c r="E1741" s="23" t="s">
        <v>1873</v>
      </c>
      <c r="F1741" s="23" t="s">
        <v>105</v>
      </c>
      <c r="G1741" s="25">
        <v>7.717551994E9</v>
      </c>
    </row>
    <row r="1742" ht="22.5" customHeight="1">
      <c r="A1742" s="18" t="s">
        <v>5952</v>
      </c>
      <c r="B1742" s="19" t="s">
        <v>11391</v>
      </c>
      <c r="C1742" s="20" t="s">
        <v>5953</v>
      </c>
      <c r="D1742" s="19" t="s">
        <v>11392</v>
      </c>
      <c r="E1742" s="19" t="s">
        <v>1149</v>
      </c>
      <c r="F1742" s="19" t="s">
        <v>105</v>
      </c>
      <c r="G1742" s="21">
        <v>7.889886034E9</v>
      </c>
    </row>
    <row r="1743" ht="22.5" customHeight="1">
      <c r="A1743" s="22" t="s">
        <v>5252</v>
      </c>
      <c r="B1743" s="23" t="s">
        <v>11393</v>
      </c>
      <c r="C1743" s="24" t="s">
        <v>2527</v>
      </c>
      <c r="D1743" s="23" t="s">
        <v>5252</v>
      </c>
      <c r="E1743" s="23" t="s">
        <v>1071</v>
      </c>
      <c r="F1743" s="23" t="s">
        <v>105</v>
      </c>
      <c r="G1743" s="25">
        <v>7.973810427E9</v>
      </c>
    </row>
    <row r="1744" ht="22.5" customHeight="1">
      <c r="A1744" s="18" t="s">
        <v>5902</v>
      </c>
      <c r="B1744" s="19" t="s">
        <v>11394</v>
      </c>
      <c r="C1744" s="20" t="s">
        <v>5903</v>
      </c>
      <c r="D1744" s="19" t="s">
        <v>11395</v>
      </c>
      <c r="E1744" s="19" t="s">
        <v>277</v>
      </c>
      <c r="F1744" s="19" t="s">
        <v>105</v>
      </c>
      <c r="G1744" s="21">
        <v>9.877562933E9</v>
      </c>
    </row>
    <row r="1745" ht="22.5" customHeight="1">
      <c r="A1745" s="22" t="s">
        <v>7754</v>
      </c>
      <c r="B1745" s="23" t="s">
        <v>11396</v>
      </c>
      <c r="C1745" s="24" t="s">
        <v>7756</v>
      </c>
      <c r="D1745" s="23" t="s">
        <v>11397</v>
      </c>
      <c r="E1745" s="23" t="s">
        <v>4200</v>
      </c>
      <c r="F1745" s="23" t="s">
        <v>105</v>
      </c>
      <c r="G1745" s="25">
        <v>9.891637957E9</v>
      </c>
    </row>
    <row r="1746" ht="22.5" customHeight="1">
      <c r="A1746" s="18" t="s">
        <v>8397</v>
      </c>
      <c r="B1746" s="19" t="s">
        <v>8395</v>
      </c>
      <c r="C1746" s="20" t="s">
        <v>8398</v>
      </c>
      <c r="D1746" s="19" t="s">
        <v>11398</v>
      </c>
      <c r="E1746" s="19" t="s">
        <v>57</v>
      </c>
      <c r="F1746" s="19" t="s">
        <v>105</v>
      </c>
      <c r="G1746" s="21">
        <v>9.675715931E9</v>
      </c>
    </row>
    <row r="1747" ht="22.5" customHeight="1">
      <c r="A1747" s="22" t="s">
        <v>1180</v>
      </c>
      <c r="B1747" s="23" t="s">
        <v>11399</v>
      </c>
      <c r="C1747" s="24" t="s">
        <v>1181</v>
      </c>
      <c r="D1747" s="23" t="s">
        <v>11400</v>
      </c>
      <c r="E1747" s="23" t="s">
        <v>1149</v>
      </c>
      <c r="F1747" s="23" t="s">
        <v>105</v>
      </c>
      <c r="G1747" s="25">
        <v>8.437428157E9</v>
      </c>
    </row>
    <row r="1748" ht="22.5" customHeight="1">
      <c r="A1748" s="18" t="s">
        <v>1233</v>
      </c>
      <c r="B1748" s="19" t="s">
        <v>11401</v>
      </c>
      <c r="C1748" s="20" t="s">
        <v>1234</v>
      </c>
      <c r="D1748" s="19" t="s">
        <v>11402</v>
      </c>
      <c r="E1748" s="19" t="s">
        <v>1149</v>
      </c>
      <c r="F1748" s="19" t="s">
        <v>105</v>
      </c>
      <c r="G1748" s="21">
        <v>9.116968937E9</v>
      </c>
    </row>
    <row r="1749" ht="22.5" customHeight="1">
      <c r="A1749" s="22" t="s">
        <v>11403</v>
      </c>
      <c r="B1749" s="23" t="s">
        <v>11404</v>
      </c>
      <c r="C1749" s="24" t="s">
        <v>2623</v>
      </c>
      <c r="D1749" s="23" t="s">
        <v>11405</v>
      </c>
      <c r="E1749" s="23" t="s">
        <v>1071</v>
      </c>
      <c r="F1749" s="23" t="s">
        <v>105</v>
      </c>
      <c r="G1749" s="25">
        <v>8.800983307E9</v>
      </c>
    </row>
    <row r="1750" ht="22.5" customHeight="1">
      <c r="A1750" s="18" t="s">
        <v>5475</v>
      </c>
      <c r="B1750" s="19" t="s">
        <v>5473</v>
      </c>
      <c r="C1750" s="20" t="s">
        <v>5476</v>
      </c>
      <c r="D1750" s="19" t="s">
        <v>11406</v>
      </c>
      <c r="E1750" s="19" t="s">
        <v>512</v>
      </c>
      <c r="F1750" s="19" t="s">
        <v>105</v>
      </c>
      <c r="G1750" s="21">
        <v>8.847388124E9</v>
      </c>
    </row>
    <row r="1751" ht="22.5" customHeight="1">
      <c r="A1751" s="22" t="s">
        <v>5117</v>
      </c>
      <c r="B1751" s="23" t="s">
        <v>11407</v>
      </c>
      <c r="C1751" s="24" t="s">
        <v>2219</v>
      </c>
      <c r="D1751" s="23" t="s">
        <v>11408</v>
      </c>
      <c r="E1751" s="23" t="s">
        <v>219</v>
      </c>
      <c r="F1751" s="23" t="s">
        <v>105</v>
      </c>
      <c r="G1751" s="25">
        <v>9.509877538E9</v>
      </c>
    </row>
    <row r="1752" ht="22.5" customHeight="1">
      <c r="A1752" s="18" t="s">
        <v>2235</v>
      </c>
      <c r="B1752" s="19" t="s">
        <v>11409</v>
      </c>
      <c r="C1752" s="20" t="s">
        <v>2237</v>
      </c>
      <c r="D1752" s="19" t="s">
        <v>11410</v>
      </c>
      <c r="E1752" s="19" t="s">
        <v>304</v>
      </c>
      <c r="F1752" s="19" t="s">
        <v>105</v>
      </c>
      <c r="G1752" s="21">
        <v>9.77924195E9</v>
      </c>
    </row>
    <row r="1753" ht="22.5" customHeight="1">
      <c r="A1753" s="22" t="s">
        <v>11411</v>
      </c>
      <c r="B1753" s="23" t="s">
        <v>11412</v>
      </c>
      <c r="C1753" s="24" t="s">
        <v>5782</v>
      </c>
      <c r="D1753" s="23" t="s">
        <v>11413</v>
      </c>
      <c r="E1753" s="23" t="s">
        <v>42</v>
      </c>
      <c r="F1753" s="23" t="s">
        <v>105</v>
      </c>
      <c r="G1753" s="25">
        <v>9.650056258E9</v>
      </c>
    </row>
    <row r="1754" ht="22.5" customHeight="1">
      <c r="A1754" s="18" t="s">
        <v>1804</v>
      </c>
      <c r="B1754" s="19" t="s">
        <v>11414</v>
      </c>
      <c r="C1754" s="20" t="s">
        <v>1805</v>
      </c>
      <c r="D1754" s="19" t="s">
        <v>11415</v>
      </c>
      <c r="E1754" s="19" t="s">
        <v>1653</v>
      </c>
      <c r="F1754" s="19" t="s">
        <v>105</v>
      </c>
      <c r="G1754" s="21">
        <v>6.284688403E9</v>
      </c>
    </row>
    <row r="1755" ht="22.5" customHeight="1">
      <c r="A1755" s="22" t="s">
        <v>1964</v>
      </c>
      <c r="B1755" s="23" t="s">
        <v>11416</v>
      </c>
      <c r="C1755" s="24" t="s">
        <v>1965</v>
      </c>
      <c r="D1755" s="23" t="s">
        <v>11417</v>
      </c>
      <c r="E1755" s="23" t="s">
        <v>782</v>
      </c>
      <c r="F1755" s="23" t="s">
        <v>105</v>
      </c>
      <c r="G1755" s="25">
        <v>8.824617776E9</v>
      </c>
    </row>
    <row r="1756" ht="22.5" customHeight="1">
      <c r="A1756" s="18" t="s">
        <v>5210</v>
      </c>
      <c r="B1756" s="19" t="s">
        <v>11414</v>
      </c>
      <c r="C1756" s="20" t="s">
        <v>2431</v>
      </c>
      <c r="D1756" s="19" t="s">
        <v>11418</v>
      </c>
      <c r="E1756" s="19" t="s">
        <v>184</v>
      </c>
      <c r="F1756" s="19" t="s">
        <v>105</v>
      </c>
      <c r="G1756" s="21">
        <v>9.815959828E9</v>
      </c>
    </row>
    <row r="1757" ht="22.5" customHeight="1">
      <c r="A1757" s="22" t="s">
        <v>8501</v>
      </c>
      <c r="B1757" s="23" t="s">
        <v>8499</v>
      </c>
      <c r="C1757" s="24" t="s">
        <v>8503</v>
      </c>
      <c r="D1757" s="23" t="s">
        <v>11419</v>
      </c>
      <c r="E1757" s="23" t="s">
        <v>57</v>
      </c>
      <c r="F1757" s="23" t="s">
        <v>105</v>
      </c>
      <c r="G1757" s="25">
        <v>9.80536756E9</v>
      </c>
    </row>
    <row r="1758" ht="22.5" customHeight="1">
      <c r="A1758" s="18" t="s">
        <v>11420</v>
      </c>
      <c r="B1758" s="19" t="s">
        <v>11421</v>
      </c>
      <c r="C1758" s="20" t="s">
        <v>3711</v>
      </c>
      <c r="D1758" s="19" t="s">
        <v>11422</v>
      </c>
      <c r="E1758" s="19" t="s">
        <v>227</v>
      </c>
      <c r="F1758" s="19" t="s">
        <v>105</v>
      </c>
      <c r="G1758" s="21">
        <v>9.780725204E9</v>
      </c>
    </row>
    <row r="1759" ht="22.5" customHeight="1">
      <c r="A1759" s="22" t="s">
        <v>7029</v>
      </c>
      <c r="B1759" s="23" t="s">
        <v>11423</v>
      </c>
      <c r="C1759" s="24" t="s">
        <v>7030</v>
      </c>
      <c r="D1759" s="23" t="s">
        <v>11424</v>
      </c>
      <c r="E1759" s="23" t="s">
        <v>3956</v>
      </c>
      <c r="F1759" s="23" t="s">
        <v>105</v>
      </c>
      <c r="G1759" s="25">
        <v>9.991199337E9</v>
      </c>
    </row>
    <row r="1760" ht="22.5" customHeight="1">
      <c r="A1760" s="18" t="s">
        <v>6751</v>
      </c>
      <c r="B1760" s="19" t="s">
        <v>11425</v>
      </c>
      <c r="C1760" s="20" t="s">
        <v>6752</v>
      </c>
      <c r="D1760" s="19" t="s">
        <v>11426</v>
      </c>
      <c r="E1760" s="19" t="s">
        <v>469</v>
      </c>
      <c r="F1760" s="19" t="s">
        <v>105</v>
      </c>
      <c r="G1760" s="21">
        <v>9.557203736E9</v>
      </c>
    </row>
    <row r="1761" ht="22.5" customHeight="1">
      <c r="A1761" s="22" t="s">
        <v>598</v>
      </c>
      <c r="B1761" s="23" t="s">
        <v>595</v>
      </c>
      <c r="C1761" s="24" t="s">
        <v>599</v>
      </c>
      <c r="D1761" s="23" t="s">
        <v>11427</v>
      </c>
      <c r="E1761" s="23" t="s">
        <v>524</v>
      </c>
      <c r="F1761" s="23" t="s">
        <v>105</v>
      </c>
      <c r="G1761" s="25">
        <v>9.063431E9</v>
      </c>
    </row>
    <row r="1762" ht="22.5" customHeight="1">
      <c r="A1762" s="18" t="s">
        <v>6420</v>
      </c>
      <c r="B1762" s="19" t="s">
        <v>11428</v>
      </c>
      <c r="C1762" s="20" t="s">
        <v>6421</v>
      </c>
      <c r="D1762" s="19" t="s">
        <v>6420</v>
      </c>
      <c r="E1762" s="19" t="s">
        <v>2970</v>
      </c>
      <c r="F1762" s="19" t="s">
        <v>105</v>
      </c>
      <c r="G1762" s="21">
        <v>9.780723448E9</v>
      </c>
    </row>
    <row r="1763" ht="22.5" customHeight="1">
      <c r="A1763" s="22" t="s">
        <v>5361</v>
      </c>
      <c r="B1763" s="23" t="s">
        <v>11429</v>
      </c>
      <c r="C1763" s="24" t="s">
        <v>2856</v>
      </c>
      <c r="D1763" s="23" t="s">
        <v>11430</v>
      </c>
      <c r="E1763" s="23" t="s">
        <v>1379</v>
      </c>
      <c r="F1763" s="23" t="s">
        <v>105</v>
      </c>
      <c r="G1763" s="25">
        <v>8.84759776E9</v>
      </c>
    </row>
    <row r="1764" ht="22.5" customHeight="1">
      <c r="A1764" s="18" t="s">
        <v>3205</v>
      </c>
      <c r="B1764" s="19" t="s">
        <v>11431</v>
      </c>
      <c r="C1764" s="20" t="s">
        <v>3206</v>
      </c>
      <c r="D1764" s="19" t="s">
        <v>11432</v>
      </c>
      <c r="E1764" s="19" t="s">
        <v>30</v>
      </c>
      <c r="F1764" s="19" t="s">
        <v>105</v>
      </c>
      <c r="G1764" s="21">
        <v>9.991113104E9</v>
      </c>
    </row>
    <row r="1765" ht="22.5" customHeight="1">
      <c r="A1765" s="22" t="s">
        <v>1907</v>
      </c>
      <c r="B1765" s="23" t="s">
        <v>11433</v>
      </c>
      <c r="C1765" s="24" t="s">
        <v>1908</v>
      </c>
      <c r="D1765" s="23" t="s">
        <v>1907</v>
      </c>
      <c r="E1765" s="23" t="s">
        <v>782</v>
      </c>
      <c r="F1765" s="23" t="s">
        <v>105</v>
      </c>
      <c r="G1765" s="25">
        <v>8.272897977E9</v>
      </c>
    </row>
    <row r="1766" ht="22.5" customHeight="1">
      <c r="A1766" s="18" t="s">
        <v>8063</v>
      </c>
      <c r="B1766" s="19" t="s">
        <v>11434</v>
      </c>
      <c r="C1766" s="20" t="s">
        <v>8065</v>
      </c>
      <c r="D1766" s="19" t="s">
        <v>11435</v>
      </c>
      <c r="E1766" s="19" t="s">
        <v>559</v>
      </c>
      <c r="F1766" s="19" t="s">
        <v>105</v>
      </c>
      <c r="G1766" s="21">
        <v>7.011212878E9</v>
      </c>
    </row>
    <row r="1767" ht="22.5" customHeight="1">
      <c r="A1767" s="30" t="s">
        <v>7300</v>
      </c>
      <c r="B1767" s="23" t="s">
        <v>11436</v>
      </c>
      <c r="C1767" s="24" t="s">
        <v>7301</v>
      </c>
      <c r="D1767" s="23" t="s">
        <v>7300</v>
      </c>
      <c r="E1767" s="23" t="s">
        <v>1561</v>
      </c>
      <c r="F1767" s="23" t="s">
        <v>105</v>
      </c>
      <c r="G1767" s="25">
        <v>7.986244004E9</v>
      </c>
    </row>
    <row r="1768" ht="22.5" customHeight="1">
      <c r="A1768" s="18" t="s">
        <v>11437</v>
      </c>
      <c r="B1768" s="19" t="s">
        <v>8473</v>
      </c>
      <c r="C1768" s="20" t="s">
        <v>7967</v>
      </c>
      <c r="D1768" s="19" t="s">
        <v>11438</v>
      </c>
      <c r="E1768" s="19" t="s">
        <v>559</v>
      </c>
      <c r="F1768" s="19" t="s">
        <v>105</v>
      </c>
      <c r="G1768" s="21">
        <v>8.810273932E9</v>
      </c>
    </row>
    <row r="1769" ht="22.5" customHeight="1">
      <c r="A1769" s="22" t="s">
        <v>8475</v>
      </c>
      <c r="B1769" s="23" t="s">
        <v>8473</v>
      </c>
      <c r="C1769" s="24" t="s">
        <v>8476</v>
      </c>
      <c r="D1769" s="23" t="s">
        <v>11439</v>
      </c>
      <c r="E1769" s="23" t="s">
        <v>81</v>
      </c>
      <c r="F1769" s="23" t="s">
        <v>105</v>
      </c>
      <c r="G1769" s="25">
        <v>9.814810946E9</v>
      </c>
    </row>
    <row r="1770" ht="22.5" customHeight="1">
      <c r="A1770" s="18" t="s">
        <v>5063</v>
      </c>
      <c r="B1770" s="19" t="s">
        <v>11440</v>
      </c>
      <c r="C1770" s="20" t="s">
        <v>5064</v>
      </c>
      <c r="D1770" s="19" t="s">
        <v>11441</v>
      </c>
      <c r="E1770" s="19" t="s">
        <v>1064</v>
      </c>
      <c r="F1770" s="19" t="s">
        <v>105</v>
      </c>
      <c r="G1770" s="21">
        <v>8.868912697E9</v>
      </c>
    </row>
    <row r="1771" ht="22.5" customHeight="1">
      <c r="A1771" s="22" t="s">
        <v>7308</v>
      </c>
      <c r="B1771" s="23" t="s">
        <v>11442</v>
      </c>
      <c r="C1771" s="24" t="s">
        <v>7309</v>
      </c>
      <c r="D1771" s="23" t="s">
        <v>11443</v>
      </c>
      <c r="E1771" s="23" t="s">
        <v>1561</v>
      </c>
      <c r="F1771" s="23" t="s">
        <v>105</v>
      </c>
      <c r="G1771" s="25">
        <v>9.720257315E9</v>
      </c>
    </row>
    <row r="1772" ht="22.5" customHeight="1">
      <c r="A1772" s="18" t="s">
        <v>3894</v>
      </c>
      <c r="B1772" s="19" t="s">
        <v>11444</v>
      </c>
      <c r="C1772" s="20" t="s">
        <v>3895</v>
      </c>
      <c r="D1772" s="19" t="s">
        <v>11445</v>
      </c>
      <c r="E1772" s="19" t="s">
        <v>282</v>
      </c>
      <c r="F1772" s="19" t="s">
        <v>105</v>
      </c>
      <c r="G1772" s="21">
        <v>7.428632914E9</v>
      </c>
    </row>
    <row r="1773" ht="22.5" customHeight="1">
      <c r="A1773" s="22" t="s">
        <v>11446</v>
      </c>
      <c r="B1773" s="23" t="s">
        <v>11447</v>
      </c>
      <c r="C1773" s="24" t="s">
        <v>2441</v>
      </c>
      <c r="D1773" s="23" t="s">
        <v>11446</v>
      </c>
      <c r="E1773" s="23" t="s">
        <v>63</v>
      </c>
      <c r="F1773" s="23" t="s">
        <v>105</v>
      </c>
      <c r="G1773" s="57"/>
    </row>
    <row r="1774" ht="22.5" customHeight="1">
      <c r="A1774" s="18" t="s">
        <v>11448</v>
      </c>
      <c r="B1774" s="19" t="s">
        <v>11449</v>
      </c>
      <c r="C1774" s="20" t="s">
        <v>4387</v>
      </c>
      <c r="D1774" s="19" t="s">
        <v>11450</v>
      </c>
      <c r="E1774" s="19" t="s">
        <v>1462</v>
      </c>
      <c r="F1774" s="19" t="s">
        <v>105</v>
      </c>
      <c r="G1774" s="21">
        <v>9.041836601E9</v>
      </c>
    </row>
    <row r="1775" ht="22.5" customHeight="1">
      <c r="A1775" s="22" t="s">
        <v>1363</v>
      </c>
      <c r="B1775" s="23" t="s">
        <v>11451</v>
      </c>
      <c r="C1775" s="24" t="s">
        <v>1364</v>
      </c>
      <c r="D1775" s="23" t="s">
        <v>11452</v>
      </c>
      <c r="E1775" s="23" t="s">
        <v>389</v>
      </c>
      <c r="F1775" s="23" t="s">
        <v>105</v>
      </c>
      <c r="G1775" s="25">
        <v>9.717996421E9</v>
      </c>
    </row>
    <row r="1776" ht="22.5" customHeight="1">
      <c r="A1776" s="18" t="s">
        <v>2780</v>
      </c>
      <c r="B1776" s="19" t="s">
        <v>11453</v>
      </c>
      <c r="C1776" s="20" t="s">
        <v>2781</v>
      </c>
      <c r="D1776" s="19" t="s">
        <v>11454</v>
      </c>
      <c r="E1776" s="19" t="s">
        <v>265</v>
      </c>
      <c r="F1776" s="19" t="s">
        <v>105</v>
      </c>
      <c r="G1776" s="21">
        <v>7.889018242E9</v>
      </c>
    </row>
    <row r="1777" ht="22.5" customHeight="1">
      <c r="A1777" s="22" t="s">
        <v>3375</v>
      </c>
      <c r="B1777" s="23" t="s">
        <v>11455</v>
      </c>
      <c r="C1777" s="24" t="s">
        <v>3376</v>
      </c>
      <c r="D1777" s="23" t="s">
        <v>11456</v>
      </c>
      <c r="E1777" s="23" t="s">
        <v>37</v>
      </c>
      <c r="F1777" s="23" t="s">
        <v>105</v>
      </c>
      <c r="G1777" s="25">
        <v>9.216513667E9</v>
      </c>
    </row>
    <row r="1778" ht="22.5" customHeight="1">
      <c r="A1778" s="18" t="s">
        <v>11457</v>
      </c>
      <c r="B1778" s="19" t="s">
        <v>11458</v>
      </c>
      <c r="C1778" s="20" t="s">
        <v>2467</v>
      </c>
      <c r="D1778" s="19" t="s">
        <v>11459</v>
      </c>
      <c r="E1778" s="19" t="s">
        <v>204</v>
      </c>
      <c r="F1778" s="19" t="s">
        <v>105</v>
      </c>
      <c r="G1778" s="21">
        <v>6.398112142E9</v>
      </c>
    </row>
    <row r="1779" ht="22.5" customHeight="1">
      <c r="A1779" s="22" t="s">
        <v>1778</v>
      </c>
      <c r="B1779" s="23" t="s">
        <v>11460</v>
      </c>
      <c r="C1779" s="24" t="s">
        <v>1780</v>
      </c>
      <c r="D1779" s="23" t="s">
        <v>11461</v>
      </c>
      <c r="E1779" s="23" t="s">
        <v>1653</v>
      </c>
      <c r="F1779" s="23" t="s">
        <v>105</v>
      </c>
      <c r="G1779" s="25">
        <v>9.219667717E9</v>
      </c>
    </row>
    <row r="1780" ht="22.5" customHeight="1">
      <c r="A1780" s="18" t="s">
        <v>5243</v>
      </c>
      <c r="B1780" s="19" t="s">
        <v>11462</v>
      </c>
      <c r="C1780" s="20" t="s">
        <v>2499</v>
      </c>
      <c r="D1780" s="19" t="s">
        <v>5243</v>
      </c>
      <c r="E1780" s="19" t="s">
        <v>1071</v>
      </c>
      <c r="F1780" s="19" t="s">
        <v>105</v>
      </c>
      <c r="G1780" s="21">
        <v>8.908280005E9</v>
      </c>
    </row>
    <row r="1781" ht="22.5" customHeight="1">
      <c r="A1781" s="22" t="s">
        <v>4661</v>
      </c>
      <c r="B1781" s="23" t="s">
        <v>11463</v>
      </c>
      <c r="C1781" s="24" t="s">
        <v>4662</v>
      </c>
      <c r="D1781" s="23" t="s">
        <v>11464</v>
      </c>
      <c r="E1781" s="23" t="s">
        <v>506</v>
      </c>
      <c r="F1781" s="23" t="s">
        <v>105</v>
      </c>
      <c r="G1781" s="25">
        <v>8.595309898E9</v>
      </c>
    </row>
    <row r="1782" ht="22.5" customHeight="1">
      <c r="A1782" s="18" t="s">
        <v>3492</v>
      </c>
      <c r="B1782" s="19" t="s">
        <v>11465</v>
      </c>
      <c r="C1782" s="20" t="s">
        <v>3493</v>
      </c>
      <c r="D1782" s="19" t="s">
        <v>11466</v>
      </c>
      <c r="E1782" s="19" t="s">
        <v>68</v>
      </c>
      <c r="F1782" s="19" t="s">
        <v>105</v>
      </c>
      <c r="G1782" s="21">
        <v>9.690755513E9</v>
      </c>
    </row>
    <row r="1783" ht="22.5" customHeight="1">
      <c r="A1783" s="22" t="s">
        <v>5233</v>
      </c>
      <c r="B1783" s="23" t="s">
        <v>11467</v>
      </c>
      <c r="C1783" s="24" t="s">
        <v>2476</v>
      </c>
      <c r="D1783" s="23" t="s">
        <v>11468</v>
      </c>
      <c r="E1783" s="23" t="s">
        <v>184</v>
      </c>
      <c r="F1783" s="23" t="s">
        <v>105</v>
      </c>
      <c r="G1783" s="25">
        <v>8.580777945E9</v>
      </c>
    </row>
    <row r="1784" ht="22.5" customHeight="1">
      <c r="A1784" s="18" t="s">
        <v>1421</v>
      </c>
      <c r="B1784" s="19" t="s">
        <v>11469</v>
      </c>
      <c r="C1784" s="20" t="s">
        <v>1422</v>
      </c>
      <c r="D1784" s="19" t="s">
        <v>11470</v>
      </c>
      <c r="E1784" s="19" t="s">
        <v>389</v>
      </c>
      <c r="F1784" s="19" t="s">
        <v>105</v>
      </c>
      <c r="G1784" s="21">
        <v>9.5306101E9</v>
      </c>
    </row>
    <row r="1785" ht="22.5" customHeight="1">
      <c r="A1785" s="22" t="s">
        <v>296</v>
      </c>
      <c r="B1785" s="23" t="s">
        <v>293</v>
      </c>
      <c r="C1785" s="24" t="s">
        <v>297</v>
      </c>
      <c r="D1785" s="23" t="s">
        <v>296</v>
      </c>
      <c r="E1785" s="23" t="s">
        <v>106</v>
      </c>
      <c r="F1785" s="23" t="s">
        <v>105</v>
      </c>
      <c r="G1785" s="25">
        <v>9.560700704E9</v>
      </c>
    </row>
    <row r="1786" ht="22.5" customHeight="1">
      <c r="A1786" s="18" t="s">
        <v>3705</v>
      </c>
      <c r="B1786" s="19" t="s">
        <v>11471</v>
      </c>
      <c r="C1786" s="20" t="s">
        <v>3706</v>
      </c>
      <c r="D1786" s="19" t="s">
        <v>3705</v>
      </c>
      <c r="E1786" s="19" t="s">
        <v>227</v>
      </c>
      <c r="F1786" s="19" t="s">
        <v>105</v>
      </c>
      <c r="G1786" s="21">
        <v>8.968237615E9</v>
      </c>
    </row>
    <row r="1787" ht="22.5" customHeight="1">
      <c r="A1787" s="22" t="s">
        <v>6133</v>
      </c>
      <c r="B1787" s="23" t="s">
        <v>11472</v>
      </c>
      <c r="C1787" s="24" t="s">
        <v>6134</v>
      </c>
      <c r="D1787" s="23" t="s">
        <v>11473</v>
      </c>
      <c r="E1787" s="23" t="s">
        <v>1002</v>
      </c>
      <c r="F1787" s="23" t="s">
        <v>105</v>
      </c>
      <c r="G1787" s="25">
        <v>9.45592355E9</v>
      </c>
    </row>
    <row r="1788" ht="22.5" customHeight="1">
      <c r="A1788" s="18" t="s">
        <v>424</v>
      </c>
      <c r="B1788" s="19" t="s">
        <v>422</v>
      </c>
      <c r="C1788" s="20" t="s">
        <v>425</v>
      </c>
      <c r="D1788" s="19" t="s">
        <v>11474</v>
      </c>
      <c r="E1788" s="19" t="s">
        <v>231</v>
      </c>
      <c r="F1788" s="19" t="s">
        <v>105</v>
      </c>
      <c r="G1788" s="21">
        <v>7.302241139E9</v>
      </c>
    </row>
    <row r="1789" ht="22.5" customHeight="1">
      <c r="A1789" s="22" t="s">
        <v>5441</v>
      </c>
      <c r="B1789" s="23" t="s">
        <v>11475</v>
      </c>
      <c r="C1789" s="24" t="s">
        <v>3072</v>
      </c>
      <c r="D1789" s="23" t="s">
        <v>11476</v>
      </c>
      <c r="E1789" s="23" t="s">
        <v>1622</v>
      </c>
      <c r="F1789" s="23" t="s">
        <v>105</v>
      </c>
      <c r="G1789" s="25">
        <v>8.168067364E9</v>
      </c>
    </row>
    <row r="1790" ht="22.5" customHeight="1">
      <c r="A1790" s="18" t="s">
        <v>4707</v>
      </c>
      <c r="B1790" s="19" t="s">
        <v>11477</v>
      </c>
      <c r="C1790" s="20" t="s">
        <v>4708</v>
      </c>
      <c r="D1790" s="19" t="s">
        <v>11478</v>
      </c>
      <c r="E1790" s="19" t="s">
        <v>506</v>
      </c>
      <c r="F1790" s="19" t="s">
        <v>105</v>
      </c>
      <c r="G1790" s="21">
        <v>8.839325514E9</v>
      </c>
    </row>
    <row r="1791" ht="22.5" customHeight="1">
      <c r="A1791" s="22" t="s">
        <v>11479</v>
      </c>
      <c r="B1791" s="23" t="s">
        <v>11480</v>
      </c>
      <c r="C1791" s="24" t="s">
        <v>2677</v>
      </c>
      <c r="D1791" s="23" t="s">
        <v>11479</v>
      </c>
      <c r="E1791" s="23" t="s">
        <v>1071</v>
      </c>
      <c r="F1791" s="23" t="s">
        <v>105</v>
      </c>
      <c r="G1791" s="25">
        <v>8.0539541E9</v>
      </c>
    </row>
    <row r="1792" ht="22.5" customHeight="1">
      <c r="A1792" s="18" t="s">
        <v>6718</v>
      </c>
      <c r="B1792" s="19" t="s">
        <v>11481</v>
      </c>
      <c r="C1792" s="20" t="s">
        <v>6719</v>
      </c>
      <c r="D1792" s="19" t="s">
        <v>11482</v>
      </c>
      <c r="E1792" s="19" t="s">
        <v>98</v>
      </c>
      <c r="F1792" s="19" t="s">
        <v>105</v>
      </c>
      <c r="G1792" s="21">
        <v>8.962142801E9</v>
      </c>
    </row>
    <row r="1793" ht="22.5" customHeight="1">
      <c r="A1793" s="22" t="s">
        <v>6160</v>
      </c>
      <c r="B1793" s="23" t="s">
        <v>11483</v>
      </c>
      <c r="C1793" s="24" t="s">
        <v>6161</v>
      </c>
      <c r="D1793" s="23" t="s">
        <v>11484</v>
      </c>
      <c r="E1793" s="23" t="s">
        <v>1002</v>
      </c>
      <c r="F1793" s="23" t="s">
        <v>105</v>
      </c>
      <c r="G1793" s="25">
        <v>9.30638688E9</v>
      </c>
    </row>
    <row r="1794" ht="22.5" customHeight="1">
      <c r="A1794" s="18" t="s">
        <v>7789</v>
      </c>
      <c r="B1794" s="19" t="s">
        <v>11485</v>
      </c>
      <c r="C1794" s="20" t="s">
        <v>7790</v>
      </c>
      <c r="D1794" s="19" t="s">
        <v>11486</v>
      </c>
      <c r="E1794" s="19" t="s">
        <v>792</v>
      </c>
      <c r="F1794" s="19" t="s">
        <v>105</v>
      </c>
      <c r="G1794" s="21">
        <v>8.81520304E9</v>
      </c>
    </row>
    <row r="1795" ht="22.5" customHeight="1">
      <c r="A1795" s="22" t="s">
        <v>11487</v>
      </c>
      <c r="B1795" s="23" t="s">
        <v>11488</v>
      </c>
      <c r="C1795" s="24" t="s">
        <v>3182</v>
      </c>
      <c r="D1795" s="23" t="s">
        <v>11489</v>
      </c>
      <c r="E1795" s="23" t="s">
        <v>30</v>
      </c>
      <c r="F1795" s="23" t="s">
        <v>105</v>
      </c>
      <c r="G1795" s="25">
        <v>7.696915367E9</v>
      </c>
    </row>
    <row r="1796" ht="22.5" customHeight="1">
      <c r="A1796" s="18" t="s">
        <v>663</v>
      </c>
      <c r="B1796" s="19" t="s">
        <v>660</v>
      </c>
      <c r="C1796" s="20" t="s">
        <v>664</v>
      </c>
      <c r="D1796" s="19" t="s">
        <v>11490</v>
      </c>
      <c r="E1796" s="19" t="s">
        <v>604</v>
      </c>
      <c r="F1796" s="19" t="s">
        <v>105</v>
      </c>
      <c r="G1796" s="21">
        <v>7.888359537E9</v>
      </c>
    </row>
    <row r="1797" ht="22.5" customHeight="1">
      <c r="A1797" s="22" t="s">
        <v>11491</v>
      </c>
      <c r="B1797" s="23" t="s">
        <v>660</v>
      </c>
      <c r="C1797" s="24" t="s">
        <v>3575</v>
      </c>
      <c r="D1797" s="23" t="s">
        <v>11492</v>
      </c>
      <c r="E1797" s="23" t="s">
        <v>68</v>
      </c>
      <c r="F1797" s="23" t="s">
        <v>105</v>
      </c>
      <c r="G1797" s="25">
        <v>7.00923355E9</v>
      </c>
    </row>
    <row r="1798" ht="22.5" customHeight="1">
      <c r="A1798" s="18" t="s">
        <v>4571</v>
      </c>
      <c r="B1798" s="19" t="s">
        <v>11493</v>
      </c>
      <c r="C1798" s="20" t="s">
        <v>4572</v>
      </c>
      <c r="D1798" s="19" t="s">
        <v>11494</v>
      </c>
      <c r="E1798" s="19" t="s">
        <v>238</v>
      </c>
      <c r="F1798" s="19" t="s">
        <v>105</v>
      </c>
      <c r="G1798" s="21">
        <v>7.988859499E9</v>
      </c>
    </row>
    <row r="1799" ht="22.5" customHeight="1">
      <c r="A1799" s="22" t="s">
        <v>5401</v>
      </c>
      <c r="B1799" s="23" t="s">
        <v>11495</v>
      </c>
      <c r="C1799" s="24" t="s">
        <v>2962</v>
      </c>
      <c r="D1799" s="23" t="s">
        <v>11496</v>
      </c>
      <c r="E1799" s="23" t="s">
        <v>1622</v>
      </c>
      <c r="F1799" s="23" t="s">
        <v>105</v>
      </c>
      <c r="G1799" s="25">
        <v>8.146232954E9</v>
      </c>
    </row>
    <row r="1800" ht="22.5" customHeight="1">
      <c r="A1800" s="18" t="s">
        <v>4593</v>
      </c>
      <c r="B1800" s="19" t="s">
        <v>11497</v>
      </c>
      <c r="C1800" s="20" t="s">
        <v>4595</v>
      </c>
      <c r="D1800" s="19" t="s">
        <v>11498</v>
      </c>
      <c r="E1800" s="19" t="s">
        <v>238</v>
      </c>
      <c r="F1800" s="19" t="s">
        <v>105</v>
      </c>
      <c r="G1800" s="21">
        <v>8.146235769E9</v>
      </c>
    </row>
    <row r="1801" ht="22.5" customHeight="1">
      <c r="A1801" s="22" t="s">
        <v>6537</v>
      </c>
      <c r="B1801" s="23" t="s">
        <v>11499</v>
      </c>
      <c r="C1801" s="24" t="s">
        <v>6538</v>
      </c>
      <c r="D1801" s="23" t="s">
        <v>6537</v>
      </c>
      <c r="E1801" s="23" t="s">
        <v>47</v>
      </c>
      <c r="F1801" s="23" t="s">
        <v>105</v>
      </c>
      <c r="G1801" s="25">
        <v>9.95855525E9</v>
      </c>
    </row>
    <row r="1802" ht="22.5" customHeight="1">
      <c r="A1802" s="18" t="s">
        <v>8867</v>
      </c>
      <c r="B1802" s="19" t="s">
        <v>8865</v>
      </c>
      <c r="C1802" s="20" t="s">
        <v>8868</v>
      </c>
      <c r="D1802" s="19" t="s">
        <v>11500</v>
      </c>
      <c r="E1802" s="19" t="s">
        <v>3118</v>
      </c>
      <c r="F1802" s="19" t="s">
        <v>105</v>
      </c>
      <c r="G1802" s="21">
        <v>7.04519319E9</v>
      </c>
    </row>
    <row r="1803" ht="22.5" customHeight="1">
      <c r="A1803" s="22" t="s">
        <v>8115</v>
      </c>
      <c r="B1803" s="23" t="s">
        <v>11501</v>
      </c>
      <c r="C1803" s="24" t="s">
        <v>8116</v>
      </c>
      <c r="D1803" s="23" t="s">
        <v>11502</v>
      </c>
      <c r="E1803" s="23" t="s">
        <v>4200</v>
      </c>
      <c r="F1803" s="23" t="s">
        <v>105</v>
      </c>
      <c r="G1803" s="25">
        <v>9.319931122E9</v>
      </c>
    </row>
    <row r="1804" ht="22.5" customHeight="1">
      <c r="A1804" s="18" t="s">
        <v>3296</v>
      </c>
      <c r="B1804" s="19" t="s">
        <v>11503</v>
      </c>
      <c r="C1804" s="20" t="s">
        <v>3297</v>
      </c>
      <c r="D1804" s="19" t="s">
        <v>11504</v>
      </c>
      <c r="E1804" s="19" t="s">
        <v>524</v>
      </c>
      <c r="F1804" s="19" t="s">
        <v>105</v>
      </c>
      <c r="G1804" s="64" t="s">
        <v>11505</v>
      </c>
    </row>
    <row r="1805" ht="22.5" customHeight="1">
      <c r="A1805" s="22" t="s">
        <v>5630</v>
      </c>
      <c r="B1805" s="23" t="s">
        <v>11506</v>
      </c>
      <c r="C1805" s="24" t="s">
        <v>5631</v>
      </c>
      <c r="D1805" s="23" t="s">
        <v>11507</v>
      </c>
      <c r="E1805" s="23" t="s">
        <v>1243</v>
      </c>
      <c r="F1805" s="23" t="s">
        <v>105</v>
      </c>
      <c r="G1805" s="25">
        <v>9.501966527E9</v>
      </c>
    </row>
    <row r="1806" ht="22.5" customHeight="1">
      <c r="A1806" s="18" t="s">
        <v>8164</v>
      </c>
      <c r="B1806" s="19" t="s">
        <v>11508</v>
      </c>
      <c r="C1806" s="20" t="s">
        <v>8165</v>
      </c>
      <c r="D1806" s="19" t="s">
        <v>11509</v>
      </c>
      <c r="E1806" s="19" t="s">
        <v>4200</v>
      </c>
      <c r="F1806" s="19" t="s">
        <v>105</v>
      </c>
      <c r="G1806" s="21">
        <v>9.999577714E9</v>
      </c>
    </row>
    <row r="1807" ht="22.5" customHeight="1">
      <c r="A1807" s="22" t="s">
        <v>8827</v>
      </c>
      <c r="B1807" s="23" t="s">
        <v>8825</v>
      </c>
      <c r="C1807" s="24" t="s">
        <v>8828</v>
      </c>
      <c r="D1807" s="23" t="s">
        <v>11510</v>
      </c>
      <c r="E1807" s="23" t="s">
        <v>100</v>
      </c>
      <c r="F1807" s="23" t="s">
        <v>105</v>
      </c>
      <c r="G1807" s="25">
        <v>9.057315156E9</v>
      </c>
    </row>
    <row r="1808" ht="22.5" customHeight="1">
      <c r="A1808" s="18" t="s">
        <v>6768</v>
      </c>
      <c r="B1808" s="19" t="s">
        <v>11511</v>
      </c>
      <c r="C1808" s="20" t="s">
        <v>6769</v>
      </c>
      <c r="D1808" s="19" t="s">
        <v>11512</v>
      </c>
      <c r="E1808" s="19" t="s">
        <v>469</v>
      </c>
      <c r="F1808" s="19" t="s">
        <v>105</v>
      </c>
      <c r="G1808" s="21">
        <v>7.398403233E9</v>
      </c>
    </row>
    <row r="1809" ht="22.5" customHeight="1">
      <c r="A1809" s="22" t="s">
        <v>5019</v>
      </c>
      <c r="B1809" s="23" t="s">
        <v>11513</v>
      </c>
      <c r="C1809" s="24" t="s">
        <v>5020</v>
      </c>
      <c r="D1809" s="23" t="s">
        <v>11514</v>
      </c>
      <c r="E1809" s="23" t="s">
        <v>1064</v>
      </c>
      <c r="F1809" s="23" t="s">
        <v>105</v>
      </c>
      <c r="G1809" s="25">
        <v>6.387062952E9</v>
      </c>
    </row>
    <row r="1810" ht="22.5" customHeight="1">
      <c r="A1810" s="18" t="s">
        <v>11515</v>
      </c>
      <c r="B1810" s="19" t="s">
        <v>618</v>
      </c>
      <c r="C1810" s="20" t="s">
        <v>621</v>
      </c>
      <c r="D1810" s="19" t="s">
        <v>11516</v>
      </c>
      <c r="E1810" s="19" t="s">
        <v>231</v>
      </c>
      <c r="F1810" s="19" t="s">
        <v>105</v>
      </c>
      <c r="G1810" s="29"/>
    </row>
    <row r="1811" ht="22.5" customHeight="1">
      <c r="A1811" s="22" t="s">
        <v>2434</v>
      </c>
      <c r="B1811" s="23" t="s">
        <v>11517</v>
      </c>
      <c r="C1811" s="24" t="s">
        <v>2435</v>
      </c>
      <c r="D1811" s="23" t="s">
        <v>11518</v>
      </c>
      <c r="E1811" s="23" t="s">
        <v>63</v>
      </c>
      <c r="F1811" s="23" t="s">
        <v>105</v>
      </c>
      <c r="G1811" s="25">
        <v>6.283779896E9</v>
      </c>
    </row>
    <row r="1812" ht="22.5" customHeight="1">
      <c r="A1812" s="18" t="s">
        <v>4993</v>
      </c>
      <c r="B1812" s="19" t="s">
        <v>11519</v>
      </c>
      <c r="C1812" s="20" t="s">
        <v>4994</v>
      </c>
      <c r="D1812" s="19" t="s">
        <v>11520</v>
      </c>
      <c r="E1812" s="19" t="s">
        <v>346</v>
      </c>
      <c r="F1812" s="19" t="s">
        <v>105</v>
      </c>
      <c r="G1812" s="21">
        <v>9.8884969E9</v>
      </c>
    </row>
    <row r="1813" ht="22.5" customHeight="1">
      <c r="A1813" s="22" t="s">
        <v>3498</v>
      </c>
      <c r="B1813" s="23" t="s">
        <v>11521</v>
      </c>
      <c r="C1813" s="24" t="s">
        <v>3499</v>
      </c>
      <c r="D1813" s="23" t="s">
        <v>11522</v>
      </c>
      <c r="E1813" s="23" t="s">
        <v>68</v>
      </c>
      <c r="F1813" s="23" t="s">
        <v>105</v>
      </c>
      <c r="G1813" s="25">
        <v>6.284736981E9</v>
      </c>
    </row>
    <row r="1814" ht="22.5" customHeight="1">
      <c r="A1814" s="18" t="s">
        <v>8187</v>
      </c>
      <c r="B1814" s="19" t="s">
        <v>11523</v>
      </c>
      <c r="C1814" s="20" t="s">
        <v>8189</v>
      </c>
      <c r="D1814" s="19" t="s">
        <v>11524</v>
      </c>
      <c r="E1814" s="19" t="s">
        <v>2522</v>
      </c>
      <c r="F1814" s="19" t="s">
        <v>105</v>
      </c>
      <c r="G1814" s="21">
        <v>8.595555491E9</v>
      </c>
    </row>
    <row r="1815" ht="22.5" customHeight="1">
      <c r="A1815" s="22" t="s">
        <v>7651</v>
      </c>
      <c r="B1815" s="23" t="s">
        <v>11525</v>
      </c>
      <c r="C1815" s="24" t="s">
        <v>7652</v>
      </c>
      <c r="D1815" s="23" t="s">
        <v>11526</v>
      </c>
      <c r="E1815" s="23" t="s">
        <v>30</v>
      </c>
      <c r="F1815" s="23" t="s">
        <v>105</v>
      </c>
      <c r="G1815" s="25">
        <v>7.814081233E9</v>
      </c>
    </row>
    <row r="1816" ht="22.5" customHeight="1">
      <c r="A1816" s="18" t="s">
        <v>7198</v>
      </c>
      <c r="B1816" s="19" t="s">
        <v>11527</v>
      </c>
      <c r="C1816" s="20" t="s">
        <v>7199</v>
      </c>
      <c r="D1816" s="19" t="s">
        <v>11528</v>
      </c>
      <c r="E1816" s="19" t="s">
        <v>1326</v>
      </c>
      <c r="F1816" s="19" t="s">
        <v>105</v>
      </c>
      <c r="G1816" s="21">
        <v>7.973162498E9</v>
      </c>
    </row>
    <row r="1817" ht="22.5" customHeight="1">
      <c r="A1817" s="22" t="s">
        <v>8426</v>
      </c>
      <c r="B1817" s="23" t="s">
        <v>8423</v>
      </c>
      <c r="C1817" s="24" t="s">
        <v>8427</v>
      </c>
      <c r="D1817" s="23" t="s">
        <v>11529</v>
      </c>
      <c r="E1817" s="23" t="s">
        <v>231</v>
      </c>
      <c r="F1817" s="23" t="s">
        <v>105</v>
      </c>
      <c r="G1817" s="25">
        <v>7.404170674E9</v>
      </c>
    </row>
    <row r="1818" ht="22.5" customHeight="1">
      <c r="A1818" s="18" t="s">
        <v>1596</v>
      </c>
      <c r="B1818" s="19" t="s">
        <v>8423</v>
      </c>
      <c r="C1818" s="20" t="s">
        <v>1597</v>
      </c>
      <c r="D1818" s="19" t="s">
        <v>11530</v>
      </c>
      <c r="E1818" s="19" t="s">
        <v>75</v>
      </c>
      <c r="F1818" s="19" t="s">
        <v>105</v>
      </c>
      <c r="G1818" s="21">
        <v>7.009959011E9</v>
      </c>
    </row>
    <row r="1819" ht="22.5" customHeight="1">
      <c r="A1819" s="22" t="s">
        <v>6445</v>
      </c>
      <c r="B1819" s="23" t="s">
        <v>11531</v>
      </c>
      <c r="C1819" s="24" t="s">
        <v>6446</v>
      </c>
      <c r="D1819" s="23" t="s">
        <v>11532</v>
      </c>
      <c r="E1819" s="23" t="s">
        <v>2970</v>
      </c>
      <c r="F1819" s="23" t="s">
        <v>105</v>
      </c>
      <c r="G1819" s="25">
        <v>7.986054806E9</v>
      </c>
    </row>
    <row r="1820" ht="22.5" customHeight="1">
      <c r="A1820" s="18" t="s">
        <v>4607</v>
      </c>
      <c r="B1820" s="19" t="s">
        <v>11533</v>
      </c>
      <c r="C1820" s="20" t="s">
        <v>4608</v>
      </c>
      <c r="D1820" s="19" t="s">
        <v>11534</v>
      </c>
      <c r="E1820" s="19" t="s">
        <v>238</v>
      </c>
      <c r="F1820" s="19" t="s">
        <v>105</v>
      </c>
      <c r="G1820" s="21">
        <v>8.829090815E9</v>
      </c>
    </row>
    <row r="1821" ht="22.5" customHeight="1">
      <c r="A1821" s="30" t="s">
        <v>4972</v>
      </c>
      <c r="B1821" s="23" t="s">
        <v>11535</v>
      </c>
      <c r="C1821" s="24" t="s">
        <v>4973</v>
      </c>
      <c r="D1821" s="23" t="s">
        <v>11536</v>
      </c>
      <c r="E1821" s="23" t="s">
        <v>346</v>
      </c>
      <c r="F1821" s="23" t="s">
        <v>105</v>
      </c>
      <c r="G1821" s="25">
        <v>8.920471616E9</v>
      </c>
    </row>
    <row r="1822" ht="22.5" customHeight="1">
      <c r="A1822" s="18" t="s">
        <v>11537</v>
      </c>
      <c r="B1822" s="19" t="s">
        <v>8482</v>
      </c>
      <c r="C1822" s="20" t="s">
        <v>8485</v>
      </c>
      <c r="D1822" s="19" t="s">
        <v>11538</v>
      </c>
      <c r="E1822" s="19" t="s">
        <v>106</v>
      </c>
      <c r="F1822" s="19" t="s">
        <v>105</v>
      </c>
      <c r="G1822" s="21">
        <v>8.178377263E9</v>
      </c>
    </row>
    <row r="1823" ht="22.5" customHeight="1">
      <c r="A1823" s="22" t="s">
        <v>8738</v>
      </c>
      <c r="B1823" s="23" t="s">
        <v>8735</v>
      </c>
      <c r="C1823" s="24" t="s">
        <v>8739</v>
      </c>
      <c r="D1823" s="23" t="s">
        <v>11539</v>
      </c>
      <c r="E1823" s="23" t="s">
        <v>3118</v>
      </c>
      <c r="F1823" s="23" t="s">
        <v>105</v>
      </c>
      <c r="G1823" s="25">
        <v>8.905198663E9</v>
      </c>
    </row>
    <row r="1824" ht="22.5" customHeight="1">
      <c r="A1824" s="18" t="s">
        <v>242</v>
      </c>
      <c r="B1824" s="19" t="s">
        <v>239</v>
      </c>
      <c r="C1824" s="20" t="s">
        <v>243</v>
      </c>
      <c r="D1824" s="19" t="s">
        <v>11540</v>
      </c>
      <c r="E1824" s="19" t="s">
        <v>106</v>
      </c>
      <c r="F1824" s="19" t="s">
        <v>105</v>
      </c>
      <c r="G1824" s="21">
        <v>9.034579324E9</v>
      </c>
    </row>
    <row r="1825" ht="22.5" customHeight="1">
      <c r="A1825" s="22" t="s">
        <v>8442</v>
      </c>
      <c r="B1825" s="23" t="s">
        <v>8440</v>
      </c>
      <c r="C1825" s="24" t="s">
        <v>8443</v>
      </c>
      <c r="D1825" s="23" t="s">
        <v>11541</v>
      </c>
      <c r="E1825" s="23" t="s">
        <v>231</v>
      </c>
      <c r="F1825" s="23" t="s">
        <v>105</v>
      </c>
      <c r="G1825" s="25">
        <v>9.115421151E9</v>
      </c>
    </row>
    <row r="1826" ht="22.5" customHeight="1">
      <c r="A1826" s="18" t="s">
        <v>11542</v>
      </c>
      <c r="B1826" s="19" t="s">
        <v>11543</v>
      </c>
      <c r="C1826" s="20" t="s">
        <v>6896</v>
      </c>
      <c r="D1826" s="19" t="s">
        <v>11544</v>
      </c>
      <c r="E1826" s="19" t="s">
        <v>1946</v>
      </c>
      <c r="F1826" s="19" t="s">
        <v>105</v>
      </c>
      <c r="G1826" s="21">
        <v>8.146390633E9</v>
      </c>
    </row>
    <row r="1827" ht="22.5" customHeight="1">
      <c r="A1827" s="22" t="s">
        <v>181</v>
      </c>
      <c r="B1827" s="23" t="s">
        <v>179</v>
      </c>
      <c r="C1827" s="24" t="s">
        <v>182</v>
      </c>
      <c r="D1827" s="23" t="s">
        <v>11545</v>
      </c>
      <c r="E1827" s="23" t="s">
        <v>106</v>
      </c>
      <c r="F1827" s="23" t="s">
        <v>105</v>
      </c>
      <c r="G1827" s="25">
        <v>9.817665653E9</v>
      </c>
    </row>
    <row r="1828" ht="22.5" customHeight="1">
      <c r="A1828" s="18" t="s">
        <v>8181</v>
      </c>
      <c r="B1828" s="19" t="s">
        <v>11546</v>
      </c>
      <c r="C1828" s="20" t="s">
        <v>8182</v>
      </c>
      <c r="D1828" s="19" t="s">
        <v>11547</v>
      </c>
      <c r="E1828" s="19" t="s">
        <v>2522</v>
      </c>
      <c r="F1828" s="19" t="s">
        <v>105</v>
      </c>
      <c r="G1828" s="21">
        <v>9.350712621E9</v>
      </c>
    </row>
    <row r="1829" ht="22.5" customHeight="1">
      <c r="A1829" s="22" t="s">
        <v>4546</v>
      </c>
      <c r="B1829" s="23" t="s">
        <v>11548</v>
      </c>
      <c r="C1829" s="24" t="s">
        <v>4548</v>
      </c>
      <c r="D1829" s="23" t="s">
        <v>11549</v>
      </c>
      <c r="E1829" s="23" t="s">
        <v>238</v>
      </c>
      <c r="F1829" s="23" t="s">
        <v>105</v>
      </c>
      <c r="G1829" s="25">
        <v>7.814234063E9</v>
      </c>
    </row>
    <row r="1830" ht="22.5" customHeight="1">
      <c r="A1830" s="18" t="s">
        <v>8497</v>
      </c>
      <c r="B1830" s="19" t="s">
        <v>8495</v>
      </c>
      <c r="C1830" s="20" t="s">
        <v>8498</v>
      </c>
      <c r="D1830" s="19" t="s">
        <v>11550</v>
      </c>
      <c r="E1830" s="19" t="s">
        <v>81</v>
      </c>
      <c r="F1830" s="19" t="s">
        <v>105</v>
      </c>
      <c r="G1830" s="21">
        <v>7.015362616E9</v>
      </c>
    </row>
    <row r="1831" ht="22.5" customHeight="1">
      <c r="A1831" s="22" t="s">
        <v>5197</v>
      </c>
      <c r="B1831" s="23" t="s">
        <v>11551</v>
      </c>
      <c r="C1831" s="24" t="s">
        <v>2409</v>
      </c>
      <c r="D1831" s="23" t="s">
        <v>5197</v>
      </c>
      <c r="E1831" s="23" t="s">
        <v>184</v>
      </c>
      <c r="F1831" s="23" t="s">
        <v>105</v>
      </c>
      <c r="G1831" s="25">
        <v>9.872988643E9</v>
      </c>
    </row>
    <row r="1832" ht="22.5" customHeight="1">
      <c r="A1832" s="18" t="s">
        <v>2587</v>
      </c>
      <c r="B1832" s="19" t="s">
        <v>11552</v>
      </c>
      <c r="C1832" s="20" t="s">
        <v>2588</v>
      </c>
      <c r="D1832" s="19" t="s">
        <v>11553</v>
      </c>
      <c r="E1832" s="19" t="s">
        <v>204</v>
      </c>
      <c r="F1832" s="19" t="s">
        <v>105</v>
      </c>
      <c r="G1832" s="21">
        <v>6.378644578E9</v>
      </c>
    </row>
    <row r="1833" ht="22.5" customHeight="1">
      <c r="A1833" s="22" t="s">
        <v>8280</v>
      </c>
      <c r="B1833" s="23" t="s">
        <v>11554</v>
      </c>
      <c r="C1833" s="24" t="s">
        <v>8281</v>
      </c>
      <c r="D1833" s="23" t="s">
        <v>11555</v>
      </c>
      <c r="E1833" s="23" t="s">
        <v>8218</v>
      </c>
      <c r="F1833" s="23" t="s">
        <v>105</v>
      </c>
      <c r="G1833" s="25">
        <v>6.280104176E9</v>
      </c>
    </row>
    <row r="1834" ht="22.5" customHeight="1">
      <c r="A1834" s="18" t="s">
        <v>2648</v>
      </c>
      <c r="B1834" s="19" t="s">
        <v>11556</v>
      </c>
      <c r="C1834" s="20" t="s">
        <v>2649</v>
      </c>
      <c r="D1834" s="19" t="s">
        <v>11557</v>
      </c>
      <c r="E1834" s="19" t="s">
        <v>204</v>
      </c>
      <c r="F1834" s="19" t="s">
        <v>105</v>
      </c>
      <c r="G1834" s="21">
        <v>8.847666781E9</v>
      </c>
    </row>
    <row r="1835" ht="22.5" customHeight="1">
      <c r="A1835" s="22" t="s">
        <v>6339</v>
      </c>
      <c r="B1835" s="23" t="s">
        <v>11558</v>
      </c>
      <c r="C1835" s="24" t="s">
        <v>6340</v>
      </c>
      <c r="D1835" s="23" t="s">
        <v>11559</v>
      </c>
      <c r="E1835" s="23" t="s">
        <v>255</v>
      </c>
      <c r="F1835" s="23" t="s">
        <v>105</v>
      </c>
      <c r="G1835" s="25">
        <v>7.20605049E9</v>
      </c>
    </row>
    <row r="1836" ht="22.5" customHeight="1">
      <c r="A1836" s="18" t="s">
        <v>7702</v>
      </c>
      <c r="B1836" s="19" t="s">
        <v>11560</v>
      </c>
      <c r="C1836" s="20" t="s">
        <v>7703</v>
      </c>
      <c r="D1836" s="19" t="s">
        <v>7702</v>
      </c>
      <c r="E1836" s="19" t="s">
        <v>469</v>
      </c>
      <c r="F1836" s="19" t="s">
        <v>105</v>
      </c>
      <c r="G1836" s="21">
        <v>8.10743321E9</v>
      </c>
    </row>
    <row r="1837" ht="22.5" customHeight="1">
      <c r="A1837" s="22" t="s">
        <v>6432</v>
      </c>
      <c r="B1837" s="23" t="s">
        <v>8296</v>
      </c>
      <c r="C1837" s="24" t="s">
        <v>6433</v>
      </c>
      <c r="D1837" s="23" t="s">
        <v>6432</v>
      </c>
      <c r="E1837" s="23" t="s">
        <v>2970</v>
      </c>
      <c r="F1837" s="23" t="s">
        <v>105</v>
      </c>
      <c r="G1837" s="25">
        <v>9.872887666E9</v>
      </c>
    </row>
    <row r="1838" ht="22.5" customHeight="1">
      <c r="A1838" s="18" t="s">
        <v>8298</v>
      </c>
      <c r="B1838" s="19" t="s">
        <v>11561</v>
      </c>
      <c r="C1838" s="20" t="s">
        <v>8299</v>
      </c>
      <c r="D1838" s="19" t="s">
        <v>11562</v>
      </c>
      <c r="E1838" s="19" t="s">
        <v>57</v>
      </c>
      <c r="F1838" s="19" t="s">
        <v>105</v>
      </c>
      <c r="G1838" s="21">
        <v>7.489778208E9</v>
      </c>
    </row>
    <row r="1839" ht="22.5" customHeight="1">
      <c r="A1839" s="22" t="s">
        <v>3082</v>
      </c>
      <c r="B1839" s="23" t="s">
        <v>11563</v>
      </c>
      <c r="C1839" s="24" t="s">
        <v>3083</v>
      </c>
      <c r="D1839" s="23" t="s">
        <v>11564</v>
      </c>
      <c r="E1839" s="23" t="s">
        <v>22</v>
      </c>
      <c r="F1839" s="23" t="s">
        <v>105</v>
      </c>
      <c r="G1839" s="25">
        <v>9.041842684E9</v>
      </c>
    </row>
    <row r="1840" ht="22.5" customHeight="1">
      <c r="A1840" s="18" t="s">
        <v>11565</v>
      </c>
      <c r="B1840" s="19" t="s">
        <v>194</v>
      </c>
      <c r="C1840" s="20" t="s">
        <v>198</v>
      </c>
      <c r="D1840" s="19" t="s">
        <v>11566</v>
      </c>
      <c r="E1840" s="19" t="s">
        <v>81</v>
      </c>
      <c r="F1840" s="19" t="s">
        <v>105</v>
      </c>
      <c r="G1840" s="21">
        <v>9.51136977E9</v>
      </c>
    </row>
    <row r="1841" ht="22.5" customHeight="1">
      <c r="A1841" s="22" t="s">
        <v>2496</v>
      </c>
      <c r="B1841" s="23" t="s">
        <v>11567</v>
      </c>
      <c r="C1841" s="24" t="s">
        <v>2498</v>
      </c>
      <c r="D1841" s="23" t="s">
        <v>11568</v>
      </c>
      <c r="E1841" s="23" t="s">
        <v>63</v>
      </c>
      <c r="F1841" s="23" t="s">
        <v>105</v>
      </c>
      <c r="G1841" s="25">
        <v>8.595516427E9</v>
      </c>
    </row>
    <row r="1842" ht="22.5" customHeight="1">
      <c r="A1842" s="18" t="s">
        <v>6087</v>
      </c>
      <c r="B1842" s="19" t="s">
        <v>11569</v>
      </c>
      <c r="C1842" s="20" t="s">
        <v>6088</v>
      </c>
      <c r="D1842" s="19" t="s">
        <v>11570</v>
      </c>
      <c r="E1842" s="19" t="s">
        <v>287</v>
      </c>
      <c r="F1842" s="19" t="s">
        <v>105</v>
      </c>
      <c r="G1842" s="21">
        <v>7.707900074E9</v>
      </c>
    </row>
    <row r="1843" ht="22.5" customHeight="1">
      <c r="A1843" s="22" t="s">
        <v>2382</v>
      </c>
      <c r="B1843" s="23" t="s">
        <v>11571</v>
      </c>
      <c r="C1843" s="24" t="s">
        <v>2384</v>
      </c>
      <c r="D1843" s="23" t="s">
        <v>11572</v>
      </c>
      <c r="E1843" s="23" t="s">
        <v>1873</v>
      </c>
      <c r="F1843" s="23" t="s">
        <v>105</v>
      </c>
      <c r="G1843" s="25">
        <v>9.1382077E9</v>
      </c>
    </row>
    <row r="1844" ht="22.5" customHeight="1">
      <c r="A1844" s="18" t="s">
        <v>5200</v>
      </c>
      <c r="B1844" s="19" t="s">
        <v>11573</v>
      </c>
      <c r="C1844" s="20" t="s">
        <v>2413</v>
      </c>
      <c r="D1844" s="19" t="s">
        <v>11574</v>
      </c>
      <c r="E1844" s="19" t="s">
        <v>184</v>
      </c>
      <c r="F1844" s="19" t="s">
        <v>105</v>
      </c>
      <c r="G1844" s="21">
        <v>9.315790903E9</v>
      </c>
    </row>
    <row r="1845" ht="22.5" customHeight="1">
      <c r="A1845" s="22" t="s">
        <v>5822</v>
      </c>
      <c r="B1845" s="23" t="s">
        <v>5560</v>
      </c>
      <c r="C1845" s="24" t="s">
        <v>5823</v>
      </c>
      <c r="D1845" s="23" t="s">
        <v>11575</v>
      </c>
      <c r="E1845" s="23" t="s">
        <v>42</v>
      </c>
      <c r="F1845" s="23" t="s">
        <v>105</v>
      </c>
      <c r="G1845" s="25">
        <v>8.19887887E9</v>
      </c>
    </row>
    <row r="1846" ht="22.5" customHeight="1">
      <c r="A1846" s="18" t="s">
        <v>5562</v>
      </c>
      <c r="B1846" s="19" t="s">
        <v>5820</v>
      </c>
      <c r="C1846" s="20" t="s">
        <v>5563</v>
      </c>
      <c r="D1846" s="19" t="s">
        <v>11576</v>
      </c>
      <c r="E1846" s="19" t="s">
        <v>689</v>
      </c>
      <c r="F1846" s="19" t="s">
        <v>105</v>
      </c>
      <c r="G1846" s="21">
        <v>8.198086282E9</v>
      </c>
    </row>
    <row r="1847" ht="22.5" customHeight="1">
      <c r="A1847" s="22" t="s">
        <v>8754</v>
      </c>
      <c r="B1847" s="23" t="s">
        <v>8752</v>
      </c>
      <c r="C1847" s="24" t="s">
        <v>8755</v>
      </c>
      <c r="D1847" s="23" t="s">
        <v>11577</v>
      </c>
      <c r="E1847" s="23" t="s">
        <v>3118</v>
      </c>
      <c r="F1847" s="23" t="s">
        <v>105</v>
      </c>
      <c r="G1847" s="25">
        <v>9.996522582E9</v>
      </c>
    </row>
    <row r="1848" ht="22.5" customHeight="1">
      <c r="A1848" s="18" t="s">
        <v>11578</v>
      </c>
      <c r="B1848" s="19" t="s">
        <v>11579</v>
      </c>
      <c r="C1848" s="20" t="s">
        <v>11580</v>
      </c>
      <c r="D1848" s="19" t="s">
        <v>11581</v>
      </c>
      <c r="E1848" s="19" t="s">
        <v>384</v>
      </c>
      <c r="F1848" s="19" t="s">
        <v>105</v>
      </c>
      <c r="G1848" s="21">
        <v>8.930051113E9</v>
      </c>
    </row>
    <row r="1849" ht="22.5" customHeight="1">
      <c r="A1849" s="22" t="s">
        <v>2932</v>
      </c>
      <c r="B1849" s="23" t="s">
        <v>11582</v>
      </c>
      <c r="C1849" s="24" t="s">
        <v>2933</v>
      </c>
      <c r="D1849" s="23" t="s">
        <v>11583</v>
      </c>
      <c r="E1849" s="23" t="s">
        <v>604</v>
      </c>
      <c r="F1849" s="23" t="s">
        <v>105</v>
      </c>
      <c r="G1849" s="25">
        <v>7.404498039E9</v>
      </c>
    </row>
    <row r="1850" ht="22.5" customHeight="1">
      <c r="A1850" s="18" t="s">
        <v>5368</v>
      </c>
      <c r="B1850" s="19" t="s">
        <v>11584</v>
      </c>
      <c r="C1850" s="20" t="s">
        <v>2876</v>
      </c>
      <c r="D1850" s="19" t="s">
        <v>5368</v>
      </c>
      <c r="E1850" s="19" t="s">
        <v>1379</v>
      </c>
      <c r="F1850" s="19" t="s">
        <v>105</v>
      </c>
      <c r="G1850" s="21">
        <v>7.814428504E9</v>
      </c>
    </row>
    <row r="1851" ht="22.5" customHeight="1">
      <c r="A1851" s="22" t="s">
        <v>11585</v>
      </c>
      <c r="B1851" s="23" t="s">
        <v>11586</v>
      </c>
      <c r="C1851" s="24" t="s">
        <v>2318</v>
      </c>
      <c r="D1851" s="23" t="s">
        <v>11587</v>
      </c>
      <c r="E1851" s="23" t="s">
        <v>1873</v>
      </c>
      <c r="F1851" s="23" t="s">
        <v>105</v>
      </c>
      <c r="G1851" s="25">
        <v>9.592009951E9</v>
      </c>
    </row>
    <row r="1852" ht="22.5" customHeight="1">
      <c r="A1852" s="18" t="s">
        <v>5195</v>
      </c>
      <c r="B1852" s="19" t="s">
        <v>11584</v>
      </c>
      <c r="C1852" s="20" t="s">
        <v>2403</v>
      </c>
      <c r="D1852" s="19" t="s">
        <v>11588</v>
      </c>
      <c r="E1852" s="19" t="s">
        <v>184</v>
      </c>
      <c r="F1852" s="19" t="s">
        <v>105</v>
      </c>
      <c r="G1852" s="21">
        <v>8.360111048E9</v>
      </c>
    </row>
    <row r="1853" ht="22.5" customHeight="1">
      <c r="A1853" s="22" t="s">
        <v>4940</v>
      </c>
      <c r="B1853" s="23" t="s">
        <v>11589</v>
      </c>
      <c r="C1853" s="24" t="s">
        <v>4941</v>
      </c>
      <c r="D1853" s="23" t="s">
        <v>11590</v>
      </c>
      <c r="E1853" s="23" t="s">
        <v>346</v>
      </c>
      <c r="F1853" s="23" t="s">
        <v>105</v>
      </c>
      <c r="G1853" s="25">
        <v>7.814419944E9</v>
      </c>
    </row>
    <row r="1854" ht="22.5" customHeight="1">
      <c r="A1854" s="66"/>
      <c r="B1854" s="67"/>
      <c r="C1854" s="68"/>
      <c r="D1854" s="67"/>
      <c r="E1854" s="67"/>
      <c r="F1854" s="67"/>
      <c r="G1854" s="29"/>
    </row>
    <row r="1855" ht="22.5" customHeight="1">
      <c r="A1855" s="69"/>
      <c r="B1855" s="70"/>
      <c r="C1855" s="71"/>
      <c r="D1855" s="70"/>
      <c r="E1855" s="70"/>
      <c r="F1855" s="70"/>
      <c r="G1855" s="57"/>
    </row>
    <row r="1856" ht="22.5" customHeight="1">
      <c r="A1856" s="66"/>
      <c r="B1856" s="67"/>
      <c r="C1856" s="68"/>
      <c r="D1856" s="67"/>
      <c r="E1856" s="67"/>
      <c r="F1856" s="67"/>
      <c r="G1856" s="29"/>
    </row>
    <row r="1857" ht="22.5" customHeight="1">
      <c r="A1857" s="69"/>
      <c r="B1857" s="70"/>
      <c r="C1857" s="71"/>
      <c r="D1857" s="70"/>
      <c r="E1857" s="70"/>
      <c r="F1857" s="70"/>
      <c r="G1857" s="57"/>
    </row>
    <row r="1858" ht="22.5" customHeight="1">
      <c r="A1858" s="66"/>
      <c r="B1858" s="67"/>
      <c r="C1858" s="68"/>
      <c r="D1858" s="67"/>
      <c r="E1858" s="67"/>
      <c r="F1858" s="67"/>
      <c r="G1858" s="29"/>
    </row>
    <row r="1859" ht="22.5" customHeight="1">
      <c r="A1859" s="69"/>
      <c r="B1859" s="70"/>
      <c r="C1859" s="71"/>
      <c r="D1859" s="70"/>
      <c r="E1859" s="70"/>
      <c r="F1859" s="70"/>
      <c r="G1859" s="57"/>
    </row>
    <row r="1860" ht="22.5" customHeight="1">
      <c r="A1860" s="66"/>
      <c r="B1860" s="67"/>
      <c r="C1860" s="68"/>
      <c r="D1860" s="67"/>
      <c r="E1860" s="67"/>
      <c r="F1860" s="67"/>
      <c r="G1860" s="29"/>
    </row>
    <row r="1861" ht="22.5" customHeight="1">
      <c r="A1861" s="69"/>
      <c r="B1861" s="70"/>
      <c r="C1861" s="71"/>
      <c r="D1861" s="70"/>
      <c r="E1861" s="70"/>
      <c r="F1861" s="70"/>
      <c r="G1861" s="57"/>
    </row>
    <row r="1862" ht="22.5" customHeight="1">
      <c r="A1862" s="66"/>
      <c r="B1862" s="67"/>
      <c r="C1862" s="68"/>
      <c r="D1862" s="67"/>
      <c r="E1862" s="67"/>
      <c r="F1862" s="67"/>
      <c r="G1862" s="29"/>
    </row>
    <row r="1863" ht="22.5" customHeight="1">
      <c r="A1863" s="69"/>
      <c r="B1863" s="70"/>
      <c r="C1863" s="71"/>
      <c r="D1863" s="70"/>
      <c r="E1863" s="70"/>
      <c r="F1863" s="70"/>
      <c r="G1863" s="57"/>
    </row>
    <row r="1864" ht="22.5" customHeight="1">
      <c r="A1864" s="66"/>
      <c r="B1864" s="67"/>
      <c r="C1864" s="68"/>
      <c r="D1864" s="67"/>
      <c r="E1864" s="67"/>
      <c r="F1864" s="67"/>
      <c r="G1864" s="29"/>
    </row>
    <row r="1865" ht="22.5" customHeight="1">
      <c r="A1865" s="69"/>
      <c r="B1865" s="70"/>
      <c r="C1865" s="71"/>
      <c r="D1865" s="70"/>
      <c r="E1865" s="70"/>
      <c r="F1865" s="70"/>
      <c r="G1865" s="57"/>
    </row>
    <row r="1866" ht="22.5" customHeight="1">
      <c r="A1866" s="66"/>
      <c r="B1866" s="67"/>
      <c r="C1866" s="68"/>
      <c r="D1866" s="67"/>
      <c r="E1866" s="67"/>
      <c r="F1866" s="67"/>
      <c r="G1866" s="29"/>
    </row>
    <row r="1867" ht="22.5" customHeight="1">
      <c r="A1867" s="69"/>
      <c r="B1867" s="70"/>
      <c r="C1867" s="71"/>
      <c r="D1867" s="70"/>
      <c r="E1867" s="70"/>
      <c r="F1867" s="70"/>
      <c r="G1867" s="57"/>
    </row>
    <row r="1868" ht="22.5" customHeight="1">
      <c r="A1868" s="66"/>
      <c r="B1868" s="67"/>
      <c r="C1868" s="68"/>
      <c r="D1868" s="67"/>
      <c r="E1868" s="67"/>
      <c r="F1868" s="67"/>
      <c r="G1868" s="29"/>
    </row>
    <row r="1869" ht="22.5" customHeight="1">
      <c r="A1869" s="69"/>
      <c r="B1869" s="70"/>
      <c r="C1869" s="71"/>
      <c r="D1869" s="70"/>
      <c r="E1869" s="70"/>
      <c r="F1869" s="70"/>
      <c r="G1869" s="57"/>
    </row>
    <row r="1870" ht="22.5" customHeight="1">
      <c r="A1870" s="66"/>
      <c r="B1870" s="67"/>
      <c r="C1870" s="68"/>
      <c r="D1870" s="67"/>
      <c r="E1870" s="67"/>
      <c r="F1870" s="67"/>
      <c r="G1870" s="29"/>
    </row>
    <row r="1871" ht="22.5" customHeight="1">
      <c r="A1871" s="69"/>
      <c r="B1871" s="70"/>
      <c r="C1871" s="71"/>
      <c r="D1871" s="70"/>
      <c r="E1871" s="70"/>
      <c r="F1871" s="70"/>
      <c r="G1871" s="57"/>
    </row>
    <row r="1872" ht="22.5" customHeight="1">
      <c r="A1872" s="66"/>
      <c r="B1872" s="67"/>
      <c r="C1872" s="68"/>
      <c r="D1872" s="67"/>
      <c r="E1872" s="67"/>
      <c r="F1872" s="67"/>
      <c r="G1872" s="29"/>
    </row>
    <row r="1873" ht="22.5" customHeight="1">
      <c r="A1873" s="69"/>
      <c r="B1873" s="70"/>
      <c r="C1873" s="71"/>
      <c r="D1873" s="70"/>
      <c r="E1873" s="70"/>
      <c r="F1873" s="70"/>
      <c r="G1873" s="57"/>
    </row>
    <row r="1874" ht="22.5" customHeight="1">
      <c r="A1874" s="66"/>
      <c r="B1874" s="67"/>
      <c r="C1874" s="68"/>
      <c r="D1874" s="67"/>
      <c r="E1874" s="67"/>
      <c r="F1874" s="67"/>
      <c r="G1874" s="29"/>
    </row>
    <row r="1875" ht="22.5" customHeight="1">
      <c r="A1875" s="69"/>
      <c r="B1875" s="70"/>
      <c r="C1875" s="71"/>
      <c r="D1875" s="70"/>
      <c r="E1875" s="70"/>
      <c r="F1875" s="70"/>
      <c r="G1875" s="57"/>
    </row>
    <row r="1876" ht="22.5" customHeight="1">
      <c r="A1876" s="66"/>
      <c r="B1876" s="67"/>
      <c r="C1876" s="68"/>
      <c r="D1876" s="67"/>
      <c r="E1876" s="67"/>
      <c r="F1876" s="67"/>
      <c r="G1876" s="29"/>
    </row>
    <row r="1877" ht="22.5" customHeight="1">
      <c r="A1877" s="69"/>
      <c r="B1877" s="70"/>
      <c r="C1877" s="71"/>
      <c r="D1877" s="70"/>
      <c r="E1877" s="70"/>
      <c r="F1877" s="70"/>
      <c r="G1877" s="57"/>
    </row>
    <row r="1878" ht="22.5" customHeight="1">
      <c r="A1878" s="66"/>
      <c r="B1878" s="67"/>
      <c r="C1878" s="68"/>
      <c r="D1878" s="67"/>
      <c r="E1878" s="67"/>
      <c r="F1878" s="67"/>
      <c r="G1878" s="29"/>
    </row>
    <row r="1879" ht="22.5" customHeight="1">
      <c r="A1879" s="69"/>
      <c r="B1879" s="70"/>
      <c r="C1879" s="71"/>
      <c r="D1879" s="70"/>
      <c r="E1879" s="70"/>
      <c r="F1879" s="70"/>
      <c r="G1879" s="57"/>
    </row>
    <row r="1880" ht="22.5" customHeight="1">
      <c r="A1880" s="66"/>
      <c r="B1880" s="67"/>
      <c r="C1880" s="68"/>
      <c r="D1880" s="67"/>
      <c r="E1880" s="67"/>
      <c r="F1880" s="67"/>
      <c r="G1880" s="29"/>
    </row>
    <row r="1881" ht="22.5" customHeight="1">
      <c r="A1881" s="69"/>
      <c r="B1881" s="70"/>
      <c r="C1881" s="71"/>
      <c r="D1881" s="70"/>
      <c r="E1881" s="70"/>
      <c r="F1881" s="70"/>
      <c r="G1881" s="57"/>
    </row>
    <row r="1882" ht="22.5" customHeight="1">
      <c r="A1882" s="66"/>
      <c r="B1882" s="67"/>
      <c r="C1882" s="68"/>
      <c r="D1882" s="67"/>
      <c r="E1882" s="67"/>
      <c r="F1882" s="67"/>
      <c r="G1882" s="29"/>
    </row>
    <row r="1883" ht="22.5" customHeight="1">
      <c r="A1883" s="69"/>
      <c r="B1883" s="70"/>
      <c r="C1883" s="71"/>
      <c r="D1883" s="70"/>
      <c r="E1883" s="70"/>
      <c r="F1883" s="70"/>
      <c r="G1883" s="57"/>
    </row>
    <row r="1884" ht="22.5" customHeight="1">
      <c r="A1884" s="66"/>
      <c r="B1884" s="67"/>
      <c r="C1884" s="68"/>
      <c r="D1884" s="67"/>
      <c r="E1884" s="67"/>
      <c r="F1884" s="67"/>
      <c r="G1884" s="29"/>
    </row>
    <row r="1885" ht="22.5" customHeight="1">
      <c r="A1885" s="69"/>
      <c r="B1885" s="70"/>
      <c r="C1885" s="71"/>
      <c r="D1885" s="70"/>
      <c r="E1885" s="70"/>
      <c r="F1885" s="70"/>
      <c r="G1885" s="57"/>
    </row>
    <row r="1886" ht="22.5" customHeight="1">
      <c r="A1886" s="66"/>
      <c r="B1886" s="67"/>
      <c r="C1886" s="68"/>
      <c r="D1886" s="67"/>
      <c r="E1886" s="67"/>
      <c r="F1886" s="67"/>
      <c r="G1886" s="29"/>
    </row>
    <row r="1887" ht="22.5" customHeight="1">
      <c r="A1887" s="69"/>
      <c r="B1887" s="70"/>
      <c r="C1887" s="71"/>
      <c r="D1887" s="70"/>
      <c r="E1887" s="70"/>
      <c r="F1887" s="70"/>
      <c r="G1887" s="57"/>
    </row>
    <row r="1888" ht="22.5" customHeight="1">
      <c r="A1888" s="66"/>
      <c r="B1888" s="67"/>
      <c r="C1888" s="68"/>
      <c r="D1888" s="67"/>
      <c r="E1888" s="67"/>
      <c r="F1888" s="67"/>
      <c r="G1888" s="29"/>
    </row>
    <row r="1889" ht="22.5" customHeight="1">
      <c r="A1889" s="69"/>
      <c r="B1889" s="70"/>
      <c r="C1889" s="71"/>
      <c r="D1889" s="70"/>
      <c r="E1889" s="70"/>
      <c r="F1889" s="70"/>
      <c r="G1889" s="57"/>
    </row>
    <row r="1890" ht="22.5" customHeight="1">
      <c r="A1890" s="66"/>
      <c r="B1890" s="67"/>
      <c r="C1890" s="68"/>
      <c r="D1890" s="67"/>
      <c r="E1890" s="67"/>
      <c r="F1890" s="67"/>
      <c r="G1890" s="29"/>
    </row>
    <row r="1891" ht="22.5" customHeight="1">
      <c r="A1891" s="69"/>
      <c r="B1891" s="70"/>
      <c r="C1891" s="71"/>
      <c r="D1891" s="70"/>
      <c r="E1891" s="70"/>
      <c r="F1891" s="70"/>
      <c r="G1891" s="57"/>
    </row>
    <row r="1892" ht="22.5" customHeight="1">
      <c r="A1892" s="66"/>
      <c r="B1892" s="67"/>
      <c r="C1892" s="68"/>
      <c r="D1892" s="67"/>
      <c r="E1892" s="67"/>
      <c r="F1892" s="67"/>
      <c r="G1892" s="29"/>
    </row>
    <row r="1893" ht="22.5" customHeight="1">
      <c r="A1893" s="69"/>
      <c r="B1893" s="70"/>
      <c r="C1893" s="71"/>
      <c r="D1893" s="70"/>
      <c r="E1893" s="70"/>
      <c r="F1893" s="70"/>
      <c r="G1893" s="57"/>
    </row>
    <row r="1894" ht="22.5" customHeight="1">
      <c r="A1894" s="66"/>
      <c r="B1894" s="67"/>
      <c r="C1894" s="68"/>
      <c r="D1894" s="67"/>
      <c r="E1894" s="67"/>
      <c r="F1894" s="67"/>
      <c r="G1894" s="29"/>
    </row>
    <row r="1895" ht="22.5" customHeight="1">
      <c r="A1895" s="69"/>
      <c r="B1895" s="70"/>
      <c r="C1895" s="71"/>
      <c r="D1895" s="70"/>
      <c r="E1895" s="70"/>
      <c r="F1895" s="70"/>
      <c r="G1895" s="57"/>
    </row>
    <row r="1896" ht="22.5" customHeight="1">
      <c r="A1896" s="66"/>
      <c r="B1896" s="67"/>
      <c r="C1896" s="68"/>
      <c r="D1896" s="67"/>
      <c r="E1896" s="67"/>
      <c r="F1896" s="67"/>
      <c r="G1896" s="29"/>
    </row>
    <row r="1897" ht="22.5" customHeight="1">
      <c r="A1897" s="69"/>
      <c r="B1897" s="70"/>
      <c r="C1897" s="71"/>
      <c r="D1897" s="70"/>
      <c r="E1897" s="70"/>
      <c r="F1897" s="70"/>
      <c r="G1897" s="57"/>
    </row>
    <row r="1898" ht="22.5" customHeight="1">
      <c r="A1898" s="66"/>
      <c r="B1898" s="67"/>
      <c r="C1898" s="68"/>
      <c r="D1898" s="67"/>
      <c r="E1898" s="67"/>
      <c r="F1898" s="67"/>
      <c r="G1898" s="29"/>
    </row>
    <row r="1899" ht="22.5" customHeight="1">
      <c r="A1899" s="69"/>
      <c r="B1899" s="70"/>
      <c r="C1899" s="71"/>
      <c r="D1899" s="70"/>
      <c r="E1899" s="70"/>
      <c r="F1899" s="70"/>
      <c r="G1899" s="57"/>
    </row>
    <row r="1900" ht="22.5" customHeight="1">
      <c r="A1900" s="66"/>
      <c r="B1900" s="67"/>
      <c r="C1900" s="68"/>
      <c r="D1900" s="67"/>
      <c r="E1900" s="67"/>
      <c r="F1900" s="67"/>
      <c r="G1900" s="29"/>
    </row>
    <row r="1901" ht="22.5" customHeight="1">
      <c r="A1901" s="69"/>
      <c r="B1901" s="70"/>
      <c r="C1901" s="71"/>
      <c r="D1901" s="70"/>
      <c r="E1901" s="70"/>
      <c r="F1901" s="70"/>
      <c r="G1901" s="57"/>
    </row>
    <row r="1902" ht="22.5" customHeight="1">
      <c r="A1902" s="66"/>
      <c r="B1902" s="67"/>
      <c r="C1902" s="68"/>
      <c r="D1902" s="67"/>
      <c r="E1902" s="67"/>
      <c r="F1902" s="67"/>
      <c r="G1902" s="29"/>
    </row>
    <row r="1903" ht="22.5" customHeight="1">
      <c r="A1903" s="69"/>
      <c r="B1903" s="70"/>
      <c r="C1903" s="71"/>
      <c r="D1903" s="70"/>
      <c r="E1903" s="70"/>
      <c r="F1903" s="70"/>
      <c r="G1903" s="57"/>
    </row>
    <row r="1904" ht="22.5" customHeight="1">
      <c r="A1904" s="66"/>
      <c r="B1904" s="67"/>
      <c r="C1904" s="68"/>
      <c r="D1904" s="67"/>
      <c r="E1904" s="67"/>
      <c r="F1904" s="67"/>
      <c r="G1904" s="29"/>
    </row>
    <row r="1905" ht="22.5" customHeight="1">
      <c r="A1905" s="69"/>
      <c r="B1905" s="70"/>
      <c r="C1905" s="71"/>
      <c r="D1905" s="70"/>
      <c r="E1905" s="70"/>
      <c r="F1905" s="70"/>
      <c r="G1905" s="57"/>
    </row>
    <row r="1906" ht="22.5" customHeight="1">
      <c r="A1906" s="66"/>
      <c r="B1906" s="67"/>
      <c r="C1906" s="68"/>
      <c r="D1906" s="67"/>
      <c r="E1906" s="67"/>
      <c r="F1906" s="67"/>
      <c r="G1906" s="29"/>
    </row>
    <row r="1907" ht="22.5" customHeight="1">
      <c r="A1907" s="69"/>
      <c r="B1907" s="70"/>
      <c r="C1907" s="71"/>
      <c r="D1907" s="70"/>
      <c r="E1907" s="70"/>
      <c r="F1907" s="70"/>
      <c r="G1907" s="57"/>
    </row>
    <row r="1908" ht="22.5" customHeight="1">
      <c r="A1908" s="66"/>
      <c r="B1908" s="67"/>
      <c r="C1908" s="68"/>
      <c r="D1908" s="67"/>
      <c r="E1908" s="67"/>
      <c r="F1908" s="67"/>
      <c r="G1908" s="29"/>
    </row>
    <row r="1909" ht="22.5" customHeight="1">
      <c r="A1909" s="69"/>
      <c r="B1909" s="70"/>
      <c r="C1909" s="71"/>
      <c r="D1909" s="70"/>
      <c r="E1909" s="70"/>
      <c r="F1909" s="70"/>
      <c r="G1909" s="57"/>
    </row>
    <row r="1910" ht="22.5" customHeight="1">
      <c r="A1910" s="66"/>
      <c r="B1910" s="67"/>
      <c r="C1910" s="68"/>
      <c r="D1910" s="67"/>
      <c r="E1910" s="67"/>
      <c r="F1910" s="67"/>
      <c r="G1910" s="29"/>
    </row>
    <row r="1911" ht="22.5" customHeight="1">
      <c r="A1911" s="69"/>
      <c r="B1911" s="70"/>
      <c r="C1911" s="71"/>
      <c r="D1911" s="70"/>
      <c r="E1911" s="70"/>
      <c r="F1911" s="70"/>
      <c r="G1911" s="57"/>
    </row>
    <row r="1912" ht="22.5" customHeight="1">
      <c r="A1912" s="66"/>
      <c r="B1912" s="67"/>
      <c r="C1912" s="68"/>
      <c r="D1912" s="67"/>
      <c r="E1912" s="67"/>
      <c r="F1912" s="67"/>
      <c r="G1912" s="29"/>
    </row>
    <row r="1913" ht="22.5" customHeight="1">
      <c r="A1913" s="69"/>
      <c r="B1913" s="70"/>
      <c r="C1913" s="71"/>
      <c r="D1913" s="70"/>
      <c r="E1913" s="70"/>
      <c r="F1913" s="70"/>
      <c r="G1913" s="57"/>
    </row>
    <row r="1914" ht="22.5" customHeight="1">
      <c r="A1914" s="66"/>
      <c r="B1914" s="67"/>
      <c r="C1914" s="68"/>
      <c r="D1914" s="67"/>
      <c r="E1914" s="67"/>
      <c r="F1914" s="67"/>
      <c r="G1914" s="29"/>
    </row>
    <row r="1915" ht="22.5" customHeight="1">
      <c r="A1915" s="69"/>
      <c r="B1915" s="70"/>
      <c r="C1915" s="71"/>
      <c r="D1915" s="70"/>
      <c r="E1915" s="70"/>
      <c r="F1915" s="70"/>
      <c r="G1915" s="57"/>
    </row>
    <row r="1916" ht="22.5" customHeight="1">
      <c r="A1916" s="66"/>
      <c r="B1916" s="67"/>
      <c r="C1916" s="68"/>
      <c r="D1916" s="67"/>
      <c r="E1916" s="67"/>
      <c r="F1916" s="67"/>
      <c r="G1916" s="29"/>
    </row>
    <row r="1917" ht="22.5" customHeight="1">
      <c r="A1917" s="69"/>
      <c r="B1917" s="70"/>
      <c r="C1917" s="71"/>
      <c r="D1917" s="70"/>
      <c r="E1917" s="70"/>
      <c r="F1917" s="70"/>
      <c r="G1917" s="57"/>
    </row>
    <row r="1918" ht="22.5" customHeight="1">
      <c r="A1918" s="66"/>
      <c r="B1918" s="67"/>
      <c r="C1918" s="68"/>
      <c r="D1918" s="67"/>
      <c r="E1918" s="67"/>
      <c r="F1918" s="67"/>
      <c r="G1918" s="29"/>
    </row>
    <row r="1919" ht="22.5" customHeight="1">
      <c r="A1919" s="69"/>
      <c r="B1919" s="70"/>
      <c r="C1919" s="71"/>
      <c r="D1919" s="70"/>
      <c r="E1919" s="70"/>
      <c r="F1919" s="70"/>
      <c r="G1919" s="57"/>
    </row>
    <row r="1920" ht="22.5" customHeight="1">
      <c r="A1920" s="66"/>
      <c r="B1920" s="67"/>
      <c r="C1920" s="68"/>
      <c r="D1920" s="67"/>
      <c r="E1920" s="67"/>
      <c r="F1920" s="67"/>
      <c r="G1920" s="29"/>
    </row>
    <row r="1921" ht="22.5" customHeight="1">
      <c r="A1921" s="69"/>
      <c r="B1921" s="70"/>
      <c r="C1921" s="71"/>
      <c r="D1921" s="70"/>
      <c r="E1921" s="70"/>
      <c r="F1921" s="70"/>
      <c r="G1921" s="57"/>
    </row>
    <row r="1922" ht="22.5" customHeight="1">
      <c r="A1922" s="66"/>
      <c r="B1922" s="67"/>
      <c r="C1922" s="68"/>
      <c r="D1922" s="67"/>
      <c r="E1922" s="67"/>
      <c r="F1922" s="67"/>
      <c r="G1922" s="29"/>
    </row>
    <row r="1923" ht="22.5" customHeight="1">
      <c r="A1923" s="69"/>
      <c r="B1923" s="70"/>
      <c r="C1923" s="71"/>
      <c r="D1923" s="70"/>
      <c r="E1923" s="70"/>
      <c r="F1923" s="70"/>
      <c r="G1923" s="57"/>
    </row>
    <row r="1924" ht="22.5" customHeight="1">
      <c r="A1924" s="66"/>
      <c r="B1924" s="67"/>
      <c r="C1924" s="68"/>
      <c r="D1924" s="67"/>
      <c r="E1924" s="67"/>
      <c r="F1924" s="67"/>
      <c r="G1924" s="29"/>
    </row>
    <row r="1925" ht="22.5" customHeight="1">
      <c r="A1925" s="69"/>
      <c r="B1925" s="70"/>
      <c r="C1925" s="71"/>
      <c r="D1925" s="70"/>
      <c r="E1925" s="70"/>
      <c r="F1925" s="70"/>
      <c r="G1925" s="57"/>
    </row>
    <row r="1926" ht="22.5" customHeight="1">
      <c r="A1926" s="66"/>
      <c r="B1926" s="67"/>
      <c r="C1926" s="68"/>
      <c r="D1926" s="67"/>
      <c r="E1926" s="67"/>
      <c r="F1926" s="67"/>
      <c r="G1926" s="29"/>
    </row>
    <row r="1927" ht="22.5" customHeight="1">
      <c r="A1927" s="69"/>
      <c r="B1927" s="70"/>
      <c r="C1927" s="71"/>
      <c r="D1927" s="70"/>
      <c r="E1927" s="70"/>
      <c r="F1927" s="70"/>
      <c r="G1927" s="57"/>
    </row>
    <row r="1928" ht="22.5" customHeight="1">
      <c r="A1928" s="66"/>
      <c r="B1928" s="67"/>
      <c r="C1928" s="68"/>
      <c r="D1928" s="67"/>
      <c r="E1928" s="67"/>
      <c r="F1928" s="67"/>
      <c r="G1928" s="29"/>
    </row>
    <row r="1929" ht="22.5" customHeight="1">
      <c r="A1929" s="69"/>
      <c r="B1929" s="70"/>
      <c r="C1929" s="71"/>
      <c r="D1929" s="70"/>
      <c r="E1929" s="70"/>
      <c r="F1929" s="70"/>
      <c r="G1929" s="57"/>
    </row>
    <row r="1930" ht="22.5" customHeight="1">
      <c r="A1930" s="66"/>
      <c r="B1930" s="67"/>
      <c r="C1930" s="68"/>
      <c r="D1930" s="67"/>
      <c r="E1930" s="67"/>
      <c r="F1930" s="67"/>
      <c r="G1930" s="29"/>
    </row>
    <row r="1931" ht="22.5" customHeight="1">
      <c r="A1931" s="69"/>
      <c r="B1931" s="70"/>
      <c r="C1931" s="71"/>
      <c r="D1931" s="70"/>
      <c r="E1931" s="70"/>
      <c r="F1931" s="70"/>
      <c r="G1931" s="57"/>
    </row>
    <row r="1932" ht="22.5" customHeight="1">
      <c r="A1932" s="66"/>
      <c r="B1932" s="67"/>
      <c r="C1932" s="68"/>
      <c r="D1932" s="67"/>
      <c r="E1932" s="67"/>
      <c r="F1932" s="67"/>
      <c r="G1932" s="29"/>
    </row>
    <row r="1933" ht="22.5" customHeight="1">
      <c r="A1933" s="69"/>
      <c r="B1933" s="70"/>
      <c r="C1933" s="71"/>
      <c r="D1933" s="70"/>
      <c r="E1933" s="70"/>
      <c r="F1933" s="70"/>
      <c r="G1933" s="57"/>
    </row>
    <row r="1934" ht="22.5" customHeight="1">
      <c r="A1934" s="66"/>
      <c r="B1934" s="67"/>
      <c r="C1934" s="68"/>
      <c r="D1934" s="67"/>
      <c r="E1934" s="67"/>
      <c r="F1934" s="67"/>
      <c r="G1934" s="29"/>
    </row>
    <row r="1935" ht="22.5" customHeight="1">
      <c r="A1935" s="69"/>
      <c r="B1935" s="70"/>
      <c r="C1935" s="71"/>
      <c r="D1935" s="70"/>
      <c r="E1935" s="70"/>
      <c r="F1935" s="70"/>
      <c r="G1935" s="57"/>
    </row>
    <row r="1936" ht="22.5" customHeight="1">
      <c r="A1936" s="66"/>
      <c r="B1936" s="67"/>
      <c r="C1936" s="68"/>
      <c r="D1936" s="67"/>
      <c r="E1936" s="67"/>
      <c r="F1936" s="67"/>
      <c r="G1936" s="29"/>
    </row>
    <row r="1937" ht="22.5" customHeight="1">
      <c r="A1937" s="69"/>
      <c r="B1937" s="70"/>
      <c r="C1937" s="71"/>
      <c r="D1937" s="70"/>
      <c r="E1937" s="70"/>
      <c r="F1937" s="70"/>
      <c r="G1937" s="57"/>
    </row>
    <row r="1938" ht="22.5" customHeight="1">
      <c r="A1938" s="66"/>
      <c r="B1938" s="67"/>
      <c r="C1938" s="68"/>
      <c r="D1938" s="67"/>
      <c r="E1938" s="67"/>
      <c r="F1938" s="67"/>
      <c r="G1938" s="29"/>
    </row>
    <row r="1939" ht="22.5" customHeight="1">
      <c r="A1939" s="69"/>
      <c r="B1939" s="70"/>
      <c r="C1939" s="71"/>
      <c r="D1939" s="70"/>
      <c r="E1939" s="70"/>
      <c r="F1939" s="70"/>
      <c r="G1939" s="57"/>
    </row>
    <row r="1940" ht="22.5" customHeight="1">
      <c r="A1940" s="66"/>
      <c r="B1940" s="67"/>
      <c r="C1940" s="68"/>
      <c r="D1940" s="67"/>
      <c r="E1940" s="67"/>
      <c r="F1940" s="67"/>
      <c r="G1940" s="29"/>
    </row>
    <row r="1941" ht="22.5" customHeight="1">
      <c r="A1941" s="69"/>
      <c r="B1941" s="70"/>
      <c r="C1941" s="71"/>
      <c r="D1941" s="70"/>
      <c r="E1941" s="70"/>
      <c r="F1941" s="70"/>
      <c r="G1941" s="57"/>
    </row>
    <row r="1942" ht="22.5" customHeight="1">
      <c r="A1942" s="66"/>
      <c r="B1942" s="67"/>
      <c r="C1942" s="68"/>
      <c r="D1942" s="67"/>
      <c r="E1942" s="67"/>
      <c r="F1942" s="67"/>
      <c r="G1942" s="29"/>
    </row>
    <row r="1943" ht="22.5" customHeight="1">
      <c r="A1943" s="69"/>
      <c r="B1943" s="70"/>
      <c r="C1943" s="71"/>
      <c r="D1943" s="70"/>
      <c r="E1943" s="70"/>
      <c r="F1943" s="70"/>
      <c r="G1943" s="57"/>
    </row>
    <row r="1944" ht="22.5" customHeight="1">
      <c r="A1944" s="66"/>
      <c r="B1944" s="67"/>
      <c r="C1944" s="68"/>
      <c r="D1944" s="67"/>
      <c r="E1944" s="67"/>
      <c r="F1944" s="67"/>
      <c r="G1944" s="29"/>
    </row>
    <row r="1945" ht="22.5" customHeight="1">
      <c r="A1945" s="69"/>
      <c r="B1945" s="70"/>
      <c r="C1945" s="71"/>
      <c r="D1945" s="70"/>
      <c r="E1945" s="70"/>
      <c r="F1945" s="70"/>
      <c r="G1945" s="57"/>
    </row>
    <row r="1946" ht="22.5" customHeight="1">
      <c r="A1946" s="66"/>
      <c r="B1946" s="67"/>
      <c r="C1946" s="68"/>
      <c r="D1946" s="67"/>
      <c r="E1946" s="67"/>
      <c r="F1946" s="67"/>
      <c r="G1946" s="29"/>
    </row>
    <row r="1947" ht="22.5" customHeight="1">
      <c r="A1947" s="69"/>
      <c r="B1947" s="70"/>
      <c r="C1947" s="71"/>
      <c r="D1947" s="70"/>
      <c r="E1947" s="70"/>
      <c r="F1947" s="70"/>
      <c r="G1947" s="57"/>
    </row>
    <row r="1948" ht="22.5" customHeight="1">
      <c r="A1948" s="66"/>
      <c r="B1948" s="67"/>
      <c r="C1948" s="68"/>
      <c r="D1948" s="67"/>
      <c r="E1948" s="67"/>
      <c r="F1948" s="67"/>
      <c r="G1948" s="29"/>
    </row>
    <row r="1949" ht="22.5" customHeight="1">
      <c r="A1949" s="69"/>
      <c r="B1949" s="70"/>
      <c r="C1949" s="71"/>
      <c r="D1949" s="70"/>
      <c r="E1949" s="70"/>
      <c r="F1949" s="70"/>
      <c r="G1949" s="57"/>
    </row>
    <row r="1950" ht="22.5" customHeight="1">
      <c r="A1950" s="66"/>
      <c r="B1950" s="67"/>
      <c r="C1950" s="68"/>
      <c r="D1950" s="67"/>
      <c r="E1950" s="67"/>
      <c r="F1950" s="67"/>
      <c r="G1950" s="29"/>
    </row>
    <row r="1951" ht="22.5" customHeight="1">
      <c r="A1951" s="69"/>
      <c r="B1951" s="70"/>
      <c r="C1951" s="71"/>
      <c r="D1951" s="70"/>
      <c r="E1951" s="70"/>
      <c r="F1951" s="70"/>
      <c r="G1951" s="57"/>
    </row>
    <row r="1952" ht="22.5" customHeight="1">
      <c r="A1952" s="66"/>
      <c r="B1952" s="67"/>
      <c r="C1952" s="68"/>
      <c r="D1952" s="67"/>
      <c r="E1952" s="67"/>
      <c r="F1952" s="67"/>
      <c r="G1952" s="29"/>
    </row>
    <row r="1953" ht="22.5" customHeight="1">
      <c r="A1953" s="69"/>
      <c r="B1953" s="70"/>
      <c r="C1953" s="71"/>
      <c r="D1953" s="70"/>
      <c r="E1953" s="70"/>
      <c r="F1953" s="70"/>
      <c r="G1953" s="57"/>
    </row>
    <row r="1954" ht="22.5" customHeight="1">
      <c r="A1954" s="66"/>
      <c r="B1954" s="67"/>
      <c r="C1954" s="68"/>
      <c r="D1954" s="67"/>
      <c r="E1954" s="67"/>
      <c r="F1954" s="67"/>
      <c r="G1954" s="29"/>
    </row>
    <row r="1955" ht="22.5" customHeight="1">
      <c r="A1955" s="69"/>
      <c r="B1955" s="70"/>
      <c r="C1955" s="71"/>
      <c r="D1955" s="70"/>
      <c r="E1955" s="70"/>
      <c r="F1955" s="70"/>
      <c r="G1955" s="57"/>
    </row>
    <row r="1956" ht="22.5" customHeight="1">
      <c r="A1956" s="66"/>
      <c r="B1956" s="67"/>
      <c r="C1956" s="68"/>
      <c r="D1956" s="67"/>
      <c r="E1956" s="67"/>
      <c r="F1956" s="67"/>
      <c r="G1956" s="29"/>
    </row>
    <row r="1957" ht="22.5" customHeight="1">
      <c r="A1957" s="69"/>
      <c r="B1957" s="70"/>
      <c r="C1957" s="71"/>
      <c r="D1957" s="70"/>
      <c r="E1957" s="70"/>
      <c r="F1957" s="70"/>
      <c r="G1957" s="57"/>
    </row>
    <row r="1958" ht="22.5" customHeight="1">
      <c r="A1958" s="66"/>
      <c r="B1958" s="67"/>
      <c r="C1958" s="68"/>
      <c r="D1958" s="67"/>
      <c r="E1958" s="67"/>
      <c r="F1958" s="67"/>
      <c r="G1958" s="29"/>
    </row>
    <row r="1959" ht="22.5" customHeight="1">
      <c r="A1959" s="69"/>
      <c r="B1959" s="70"/>
      <c r="C1959" s="71"/>
      <c r="D1959" s="70"/>
      <c r="E1959" s="70"/>
      <c r="F1959" s="70"/>
      <c r="G1959" s="57"/>
    </row>
    <row r="1960" ht="22.5" customHeight="1">
      <c r="A1960" s="66"/>
      <c r="B1960" s="67"/>
      <c r="C1960" s="68"/>
      <c r="D1960" s="67"/>
      <c r="E1960" s="67"/>
      <c r="F1960" s="67"/>
      <c r="G1960" s="29"/>
    </row>
    <row r="1961" ht="22.5" customHeight="1">
      <c r="A1961" s="69"/>
      <c r="B1961" s="70"/>
      <c r="C1961" s="71"/>
      <c r="D1961" s="70"/>
      <c r="E1961" s="70"/>
      <c r="F1961" s="70"/>
      <c r="G1961" s="57"/>
    </row>
    <row r="1962" ht="22.5" customHeight="1">
      <c r="A1962" s="66"/>
      <c r="B1962" s="67"/>
      <c r="C1962" s="68"/>
      <c r="D1962" s="67"/>
      <c r="E1962" s="67"/>
      <c r="F1962" s="67"/>
      <c r="G1962" s="29"/>
    </row>
    <row r="1963" ht="22.5" customHeight="1">
      <c r="A1963" s="69"/>
      <c r="B1963" s="70"/>
      <c r="C1963" s="71"/>
      <c r="D1963" s="70"/>
      <c r="E1963" s="70"/>
      <c r="F1963" s="70"/>
      <c r="G1963" s="57"/>
    </row>
    <row r="1964" ht="22.5" customHeight="1">
      <c r="A1964" s="66"/>
      <c r="B1964" s="67"/>
      <c r="C1964" s="68"/>
      <c r="D1964" s="67"/>
      <c r="E1964" s="67"/>
      <c r="F1964" s="67"/>
      <c r="G1964" s="29"/>
    </row>
    <row r="1965" ht="22.5" customHeight="1">
      <c r="A1965" s="69"/>
      <c r="B1965" s="70"/>
      <c r="C1965" s="71"/>
      <c r="D1965" s="70"/>
      <c r="E1965" s="70"/>
      <c r="F1965" s="70"/>
      <c r="G1965" s="57"/>
    </row>
    <row r="1966" ht="22.5" customHeight="1">
      <c r="A1966" s="66"/>
      <c r="B1966" s="67"/>
      <c r="C1966" s="68"/>
      <c r="D1966" s="67"/>
      <c r="E1966" s="67"/>
      <c r="F1966" s="67"/>
      <c r="G1966" s="29"/>
    </row>
    <row r="1967" ht="22.5" customHeight="1">
      <c r="A1967" s="69"/>
      <c r="B1967" s="70"/>
      <c r="C1967" s="71"/>
      <c r="D1967" s="70"/>
      <c r="E1967" s="70"/>
      <c r="F1967" s="70"/>
      <c r="G1967" s="57"/>
    </row>
    <row r="1968" ht="22.5" customHeight="1">
      <c r="A1968" s="66"/>
      <c r="B1968" s="67"/>
      <c r="C1968" s="68"/>
      <c r="D1968" s="67"/>
      <c r="E1968" s="67"/>
      <c r="F1968" s="67"/>
      <c r="G1968" s="29"/>
    </row>
    <row r="1969" ht="22.5" customHeight="1">
      <c r="A1969" s="69"/>
      <c r="B1969" s="70"/>
      <c r="C1969" s="71"/>
      <c r="D1969" s="70"/>
      <c r="E1969" s="70"/>
      <c r="F1969" s="70"/>
      <c r="G1969" s="57"/>
    </row>
    <row r="1970" ht="22.5" customHeight="1">
      <c r="A1970" s="66"/>
      <c r="B1970" s="67"/>
      <c r="C1970" s="68"/>
      <c r="D1970" s="67"/>
      <c r="E1970" s="67"/>
      <c r="F1970" s="67"/>
      <c r="G1970" s="29"/>
    </row>
    <row r="1971" ht="22.5" customHeight="1">
      <c r="A1971" s="69"/>
      <c r="B1971" s="70"/>
      <c r="C1971" s="71"/>
      <c r="D1971" s="70"/>
      <c r="E1971" s="70"/>
      <c r="F1971" s="70"/>
      <c r="G1971" s="57"/>
    </row>
    <row r="1972" ht="22.5" customHeight="1">
      <c r="A1972" s="66"/>
      <c r="B1972" s="67"/>
      <c r="C1972" s="68"/>
      <c r="D1972" s="67"/>
      <c r="E1972" s="67"/>
      <c r="F1972" s="67"/>
      <c r="G1972" s="29"/>
    </row>
    <row r="1973" ht="22.5" customHeight="1">
      <c r="A1973" s="69"/>
      <c r="B1973" s="70"/>
      <c r="C1973" s="71"/>
      <c r="D1973" s="70"/>
      <c r="E1973" s="70"/>
      <c r="F1973" s="70"/>
      <c r="G1973" s="57"/>
    </row>
    <row r="1974" ht="22.5" customHeight="1">
      <c r="A1974" s="66"/>
      <c r="B1974" s="67"/>
      <c r="C1974" s="68"/>
      <c r="D1974" s="67"/>
      <c r="E1974" s="67"/>
      <c r="F1974" s="67"/>
      <c r="G1974" s="29"/>
    </row>
    <row r="1975" ht="22.5" customHeight="1">
      <c r="A1975" s="69"/>
      <c r="B1975" s="70"/>
      <c r="C1975" s="71"/>
      <c r="D1975" s="70"/>
      <c r="E1975" s="70"/>
      <c r="F1975" s="70"/>
      <c r="G1975" s="57"/>
    </row>
    <row r="1976" ht="22.5" customHeight="1">
      <c r="A1976" s="66"/>
      <c r="B1976" s="67"/>
      <c r="C1976" s="68"/>
      <c r="D1976" s="67"/>
      <c r="E1976" s="67"/>
      <c r="F1976" s="67"/>
      <c r="G1976" s="29"/>
    </row>
    <row r="1977" ht="22.5" customHeight="1">
      <c r="A1977" s="69"/>
      <c r="B1977" s="70"/>
      <c r="C1977" s="71"/>
      <c r="D1977" s="70"/>
      <c r="E1977" s="70"/>
      <c r="F1977" s="70"/>
      <c r="G1977" s="57"/>
    </row>
    <row r="1978" ht="22.5" customHeight="1">
      <c r="A1978" s="66"/>
      <c r="B1978" s="67"/>
      <c r="C1978" s="68"/>
      <c r="D1978" s="67"/>
      <c r="E1978" s="67"/>
      <c r="F1978" s="67"/>
      <c r="G1978" s="29"/>
    </row>
    <row r="1979" ht="22.5" customHeight="1">
      <c r="A1979" s="69"/>
      <c r="B1979" s="70"/>
      <c r="C1979" s="71"/>
      <c r="D1979" s="70"/>
      <c r="E1979" s="70"/>
      <c r="F1979" s="70"/>
      <c r="G1979" s="57"/>
    </row>
    <row r="1980" ht="22.5" customHeight="1">
      <c r="A1980" s="66"/>
      <c r="B1980" s="67"/>
      <c r="C1980" s="68"/>
      <c r="D1980" s="67"/>
      <c r="E1980" s="67"/>
      <c r="F1980" s="67"/>
      <c r="G1980" s="29"/>
    </row>
    <row r="1981" ht="22.5" customHeight="1">
      <c r="A1981" s="69"/>
      <c r="B1981" s="70"/>
      <c r="C1981" s="71"/>
      <c r="D1981" s="70"/>
      <c r="E1981" s="70"/>
      <c r="F1981" s="70"/>
      <c r="G1981" s="57"/>
    </row>
    <row r="1982" ht="22.5" customHeight="1">
      <c r="A1982" s="66"/>
      <c r="B1982" s="67"/>
      <c r="C1982" s="68"/>
      <c r="D1982" s="67"/>
      <c r="E1982" s="67"/>
      <c r="F1982" s="67"/>
      <c r="G1982" s="29"/>
    </row>
    <row r="1983" ht="22.5" customHeight="1">
      <c r="A1983" s="69"/>
      <c r="B1983" s="70"/>
      <c r="C1983" s="71"/>
      <c r="D1983" s="70"/>
      <c r="E1983" s="70"/>
      <c r="F1983" s="70"/>
      <c r="G1983" s="57"/>
    </row>
    <row r="1984" ht="22.5" customHeight="1">
      <c r="A1984" s="66"/>
      <c r="B1984" s="67"/>
      <c r="C1984" s="68"/>
      <c r="D1984" s="67"/>
      <c r="E1984" s="67"/>
      <c r="F1984" s="67"/>
      <c r="G1984" s="29"/>
    </row>
    <row r="1985" ht="22.5" customHeight="1">
      <c r="A1985" s="69"/>
      <c r="B1985" s="70"/>
      <c r="C1985" s="71"/>
      <c r="D1985" s="70"/>
      <c r="E1985" s="70"/>
      <c r="F1985" s="70"/>
      <c r="G1985" s="57"/>
    </row>
    <row r="1986" ht="22.5" customHeight="1">
      <c r="A1986" s="66"/>
      <c r="B1986" s="67"/>
      <c r="C1986" s="68"/>
      <c r="D1986" s="67"/>
      <c r="E1986" s="67"/>
      <c r="F1986" s="67"/>
      <c r="G1986" s="29"/>
    </row>
    <row r="1987" ht="22.5" customHeight="1">
      <c r="A1987" s="69"/>
      <c r="B1987" s="70"/>
      <c r="C1987" s="71"/>
      <c r="D1987" s="70"/>
      <c r="E1987" s="70"/>
      <c r="F1987" s="70"/>
      <c r="G1987" s="57"/>
    </row>
    <row r="1988" ht="22.5" customHeight="1">
      <c r="A1988" s="66"/>
      <c r="B1988" s="67"/>
      <c r="C1988" s="68"/>
      <c r="D1988" s="67"/>
      <c r="E1988" s="67"/>
      <c r="F1988" s="67"/>
      <c r="G1988" s="29"/>
    </row>
    <row r="1989" ht="22.5" customHeight="1">
      <c r="A1989" s="69"/>
      <c r="B1989" s="70"/>
      <c r="C1989" s="71"/>
      <c r="D1989" s="70"/>
      <c r="E1989" s="70"/>
      <c r="F1989" s="70"/>
      <c r="G1989" s="57"/>
    </row>
    <row r="1990" ht="22.5" customHeight="1">
      <c r="A1990" s="66"/>
      <c r="B1990" s="67"/>
      <c r="C1990" s="68"/>
      <c r="D1990" s="67"/>
      <c r="E1990" s="67"/>
      <c r="F1990" s="67"/>
      <c r="G1990" s="29"/>
    </row>
    <row r="1991" ht="22.5" customHeight="1">
      <c r="A1991" s="69"/>
      <c r="B1991" s="70"/>
      <c r="C1991" s="71"/>
      <c r="D1991" s="70"/>
      <c r="E1991" s="70"/>
      <c r="F1991" s="70"/>
      <c r="G1991" s="57"/>
    </row>
    <row r="1992" ht="22.5" customHeight="1">
      <c r="A1992" s="66"/>
      <c r="B1992" s="67"/>
      <c r="C1992" s="68"/>
      <c r="D1992" s="67"/>
      <c r="E1992" s="67"/>
      <c r="F1992" s="67"/>
      <c r="G1992" s="29"/>
    </row>
    <row r="1993" ht="22.5" customHeight="1">
      <c r="A1993" s="69"/>
      <c r="B1993" s="70"/>
      <c r="C1993" s="71"/>
      <c r="D1993" s="70"/>
      <c r="E1993" s="70"/>
      <c r="F1993" s="70"/>
      <c r="G1993" s="57"/>
    </row>
    <row r="1994" ht="22.5" customHeight="1">
      <c r="A1994" s="66"/>
      <c r="B1994" s="67"/>
      <c r="C1994" s="68"/>
      <c r="D1994" s="67"/>
      <c r="E1994" s="67"/>
      <c r="F1994" s="67"/>
      <c r="G1994" s="29"/>
    </row>
    <row r="1995" ht="22.5" customHeight="1">
      <c r="A1995" s="69"/>
      <c r="B1995" s="70"/>
      <c r="C1995" s="71"/>
      <c r="D1995" s="70"/>
      <c r="E1995" s="70"/>
      <c r="F1995" s="70"/>
      <c r="G1995" s="57"/>
    </row>
    <row r="1996" ht="22.5" customHeight="1">
      <c r="A1996" s="66"/>
      <c r="B1996" s="67"/>
      <c r="C1996" s="68"/>
      <c r="D1996" s="67"/>
      <c r="E1996" s="67"/>
      <c r="F1996" s="67"/>
      <c r="G1996" s="29"/>
    </row>
    <row r="1997" ht="22.5" customHeight="1">
      <c r="A1997" s="69"/>
      <c r="B1997" s="70"/>
      <c r="C1997" s="71"/>
      <c r="D1997" s="70"/>
      <c r="E1997" s="70"/>
      <c r="F1997" s="70"/>
      <c r="G1997" s="57"/>
    </row>
    <row r="1998" ht="22.5" customHeight="1">
      <c r="A1998" s="66"/>
      <c r="B1998" s="67"/>
      <c r="C1998" s="68"/>
      <c r="D1998" s="67"/>
      <c r="E1998" s="67"/>
      <c r="F1998" s="67"/>
      <c r="G1998" s="29"/>
    </row>
    <row r="1999" ht="22.5" customHeight="1">
      <c r="A1999" s="69"/>
      <c r="B1999" s="70"/>
      <c r="C1999" s="71"/>
      <c r="D1999" s="70"/>
      <c r="E1999" s="70"/>
      <c r="F1999" s="70"/>
      <c r="G1999" s="57"/>
    </row>
    <row r="2000" ht="22.5" customHeight="1">
      <c r="A2000" s="66"/>
      <c r="B2000" s="67"/>
      <c r="C2000" s="68"/>
      <c r="D2000" s="67"/>
      <c r="E2000" s="67"/>
      <c r="F2000" s="67"/>
      <c r="G2000" s="29"/>
    </row>
    <row r="2001" ht="22.5" customHeight="1">
      <c r="A2001" s="69"/>
      <c r="B2001" s="70"/>
      <c r="C2001" s="71"/>
      <c r="D2001" s="70"/>
      <c r="E2001" s="70"/>
      <c r="F2001" s="70"/>
      <c r="G2001" s="57"/>
    </row>
    <row r="2002" ht="22.5" customHeight="1">
      <c r="A2002" s="66"/>
      <c r="B2002" s="67"/>
      <c r="C2002" s="68"/>
      <c r="D2002" s="67"/>
      <c r="E2002" s="67"/>
      <c r="F2002" s="67"/>
      <c r="G2002" s="29"/>
    </row>
    <row r="2003" ht="22.5" customHeight="1">
      <c r="A2003" s="69"/>
      <c r="B2003" s="70"/>
      <c r="C2003" s="71"/>
      <c r="D2003" s="70"/>
      <c r="E2003" s="70"/>
      <c r="F2003" s="70"/>
      <c r="G2003" s="57"/>
    </row>
    <row r="2004" ht="22.5" customHeight="1">
      <c r="A2004" s="66"/>
      <c r="B2004" s="67"/>
      <c r="C2004" s="68"/>
      <c r="D2004" s="67"/>
      <c r="E2004" s="67"/>
      <c r="F2004" s="67"/>
      <c r="G2004" s="29"/>
    </row>
    <row r="2005" ht="22.5" customHeight="1">
      <c r="A2005" s="69"/>
      <c r="B2005" s="70"/>
      <c r="C2005" s="71"/>
      <c r="D2005" s="70"/>
      <c r="E2005" s="70"/>
      <c r="F2005" s="70"/>
      <c r="G2005" s="57"/>
    </row>
    <row r="2006" ht="22.5" customHeight="1">
      <c r="A2006" s="66"/>
      <c r="B2006" s="67"/>
      <c r="C2006" s="68"/>
      <c r="D2006" s="67"/>
      <c r="E2006" s="67"/>
      <c r="F2006" s="67"/>
      <c r="G2006" s="29"/>
    </row>
    <row r="2007" ht="22.5" customHeight="1">
      <c r="A2007" s="69"/>
      <c r="B2007" s="70"/>
      <c r="C2007" s="71"/>
      <c r="D2007" s="70"/>
      <c r="E2007" s="70"/>
      <c r="F2007" s="70"/>
      <c r="G2007" s="57"/>
    </row>
    <row r="2008" ht="22.5" customHeight="1">
      <c r="A2008" s="66"/>
      <c r="B2008" s="67"/>
      <c r="C2008" s="68"/>
      <c r="D2008" s="67"/>
      <c r="E2008" s="67"/>
      <c r="F2008" s="67"/>
      <c r="G2008" s="29"/>
    </row>
    <row r="2009" ht="22.5" customHeight="1">
      <c r="A2009" s="69"/>
      <c r="B2009" s="70"/>
      <c r="C2009" s="71"/>
      <c r="D2009" s="70"/>
      <c r="E2009" s="70"/>
      <c r="F2009" s="70"/>
      <c r="G2009" s="57"/>
    </row>
    <row r="2010" ht="22.5" customHeight="1">
      <c r="A2010" s="66"/>
      <c r="B2010" s="67"/>
      <c r="C2010" s="68"/>
      <c r="D2010" s="67"/>
      <c r="E2010" s="67"/>
      <c r="F2010" s="67"/>
      <c r="G2010" s="29"/>
    </row>
    <row r="2011" ht="22.5" customHeight="1">
      <c r="A2011" s="69"/>
      <c r="B2011" s="70"/>
      <c r="C2011" s="71"/>
      <c r="D2011" s="70"/>
      <c r="E2011" s="70"/>
      <c r="F2011" s="70"/>
      <c r="G2011" s="57"/>
    </row>
    <row r="2012" ht="22.5" customHeight="1">
      <c r="A2012" s="66"/>
      <c r="B2012" s="67"/>
      <c r="C2012" s="68"/>
      <c r="D2012" s="67"/>
      <c r="E2012" s="67"/>
      <c r="F2012" s="67"/>
      <c r="G2012" s="29"/>
    </row>
    <row r="2013" ht="22.5" customHeight="1">
      <c r="A2013" s="69"/>
      <c r="B2013" s="70"/>
      <c r="C2013" s="71"/>
      <c r="D2013" s="70"/>
      <c r="E2013" s="70"/>
      <c r="F2013" s="70"/>
      <c r="G2013" s="57"/>
    </row>
    <row r="2014" ht="22.5" customHeight="1">
      <c r="A2014" s="66"/>
      <c r="B2014" s="67"/>
      <c r="C2014" s="68"/>
      <c r="D2014" s="67"/>
      <c r="E2014" s="67"/>
      <c r="F2014" s="67"/>
      <c r="G2014" s="29"/>
    </row>
    <row r="2015" ht="22.5" customHeight="1">
      <c r="A2015" s="69"/>
      <c r="B2015" s="70"/>
      <c r="C2015" s="71"/>
      <c r="D2015" s="70"/>
      <c r="E2015" s="70"/>
      <c r="F2015" s="70"/>
      <c r="G2015" s="57"/>
    </row>
    <row r="2016" ht="22.5" customHeight="1">
      <c r="A2016" s="66"/>
      <c r="B2016" s="67"/>
      <c r="C2016" s="68"/>
      <c r="D2016" s="67"/>
      <c r="E2016" s="67"/>
      <c r="F2016" s="67"/>
      <c r="G2016" s="29"/>
    </row>
    <row r="2017" ht="22.5" customHeight="1">
      <c r="A2017" s="69"/>
      <c r="B2017" s="70"/>
      <c r="C2017" s="71"/>
      <c r="D2017" s="70"/>
      <c r="E2017" s="70"/>
      <c r="F2017" s="70"/>
      <c r="G2017" s="57"/>
    </row>
    <row r="2018" ht="22.5" customHeight="1">
      <c r="A2018" s="66"/>
      <c r="B2018" s="67"/>
      <c r="C2018" s="68"/>
      <c r="D2018" s="67"/>
      <c r="E2018" s="67"/>
      <c r="F2018" s="67"/>
      <c r="G2018" s="29"/>
    </row>
    <row r="2019" ht="22.5" customHeight="1">
      <c r="A2019" s="69"/>
      <c r="B2019" s="70"/>
      <c r="C2019" s="71"/>
      <c r="D2019" s="70"/>
      <c r="E2019" s="70"/>
      <c r="F2019" s="70"/>
      <c r="G2019" s="57"/>
    </row>
    <row r="2020" ht="22.5" customHeight="1">
      <c r="A2020" s="66"/>
      <c r="B2020" s="67"/>
      <c r="C2020" s="68"/>
      <c r="D2020" s="67"/>
      <c r="E2020" s="67"/>
      <c r="F2020" s="67"/>
      <c r="G2020" s="29"/>
    </row>
    <row r="2021" ht="22.5" customHeight="1">
      <c r="A2021" s="69"/>
      <c r="B2021" s="70"/>
      <c r="C2021" s="71"/>
      <c r="D2021" s="70"/>
      <c r="E2021" s="70"/>
      <c r="F2021" s="70"/>
      <c r="G2021" s="57"/>
    </row>
    <row r="2022" ht="22.5" customHeight="1">
      <c r="A2022" s="66"/>
      <c r="B2022" s="67"/>
      <c r="C2022" s="68"/>
      <c r="D2022" s="67"/>
      <c r="E2022" s="67"/>
      <c r="F2022" s="67"/>
      <c r="G2022" s="29"/>
    </row>
    <row r="2023" ht="22.5" customHeight="1">
      <c r="A2023" s="69"/>
      <c r="B2023" s="70"/>
      <c r="C2023" s="71"/>
      <c r="D2023" s="70"/>
      <c r="E2023" s="70"/>
      <c r="F2023" s="70"/>
      <c r="G2023" s="57"/>
    </row>
    <row r="2024" ht="22.5" customHeight="1">
      <c r="A2024" s="66"/>
      <c r="B2024" s="67"/>
      <c r="C2024" s="68"/>
      <c r="D2024" s="67"/>
      <c r="E2024" s="67"/>
      <c r="F2024" s="67"/>
      <c r="G2024" s="29"/>
    </row>
    <row r="2025" ht="22.5" customHeight="1">
      <c r="A2025" s="69"/>
      <c r="B2025" s="70"/>
      <c r="C2025" s="71"/>
      <c r="D2025" s="70"/>
      <c r="E2025" s="70"/>
      <c r="F2025" s="70"/>
      <c r="G2025" s="57"/>
    </row>
    <row r="2026" ht="22.5" customHeight="1">
      <c r="A2026" s="66"/>
      <c r="B2026" s="67"/>
      <c r="C2026" s="68"/>
      <c r="D2026" s="67"/>
      <c r="E2026" s="67"/>
      <c r="F2026" s="67"/>
      <c r="G2026" s="29"/>
    </row>
    <row r="2027" ht="22.5" customHeight="1">
      <c r="A2027" s="69"/>
      <c r="B2027" s="70"/>
      <c r="C2027" s="71"/>
      <c r="D2027" s="70"/>
      <c r="E2027" s="70"/>
      <c r="F2027" s="70"/>
      <c r="G2027" s="57"/>
    </row>
    <row r="2028" ht="22.5" customHeight="1">
      <c r="A2028" s="66"/>
      <c r="B2028" s="67"/>
      <c r="C2028" s="68"/>
      <c r="D2028" s="67"/>
      <c r="E2028" s="67"/>
      <c r="F2028" s="67"/>
      <c r="G2028" s="29"/>
    </row>
    <row r="2029" ht="22.5" customHeight="1">
      <c r="A2029" s="69"/>
      <c r="B2029" s="70"/>
      <c r="C2029" s="71"/>
      <c r="D2029" s="70"/>
      <c r="E2029" s="70"/>
      <c r="F2029" s="70"/>
      <c r="G2029" s="57"/>
    </row>
    <row r="2030" ht="22.5" customHeight="1">
      <c r="A2030" s="66"/>
      <c r="B2030" s="67"/>
      <c r="C2030" s="68"/>
      <c r="D2030" s="67"/>
      <c r="E2030" s="67"/>
      <c r="F2030" s="67"/>
      <c r="G2030" s="29"/>
    </row>
    <row r="2031" ht="22.5" customHeight="1">
      <c r="A2031" s="69"/>
      <c r="B2031" s="70"/>
      <c r="C2031" s="71"/>
      <c r="D2031" s="70"/>
      <c r="E2031" s="70"/>
      <c r="F2031" s="70"/>
      <c r="G2031" s="57"/>
    </row>
    <row r="2032" ht="22.5" customHeight="1">
      <c r="A2032" s="66"/>
      <c r="B2032" s="67"/>
      <c r="C2032" s="68"/>
      <c r="D2032" s="67"/>
      <c r="E2032" s="67"/>
      <c r="F2032" s="67"/>
      <c r="G2032" s="29"/>
    </row>
    <row r="2033" ht="22.5" customHeight="1">
      <c r="A2033" s="69"/>
      <c r="B2033" s="70"/>
      <c r="C2033" s="71"/>
      <c r="D2033" s="70"/>
      <c r="E2033" s="70"/>
      <c r="F2033" s="70"/>
      <c r="G2033" s="57"/>
    </row>
    <row r="2034" ht="22.5" customHeight="1">
      <c r="A2034" s="66"/>
      <c r="B2034" s="67"/>
      <c r="C2034" s="68"/>
      <c r="D2034" s="67"/>
      <c r="E2034" s="67"/>
      <c r="F2034" s="67"/>
      <c r="G2034" s="29"/>
    </row>
    <row r="2035" ht="22.5" customHeight="1">
      <c r="A2035" s="69"/>
      <c r="B2035" s="70"/>
      <c r="C2035" s="71"/>
      <c r="D2035" s="70"/>
      <c r="E2035" s="70"/>
      <c r="F2035" s="70"/>
      <c r="G2035" s="57"/>
    </row>
    <row r="2036" ht="22.5" customHeight="1">
      <c r="A2036" s="66"/>
      <c r="B2036" s="67"/>
      <c r="C2036" s="68"/>
      <c r="D2036" s="67"/>
      <c r="E2036" s="67"/>
      <c r="F2036" s="67"/>
      <c r="G2036" s="29"/>
    </row>
    <row r="2037" ht="22.5" customHeight="1">
      <c r="A2037" s="69"/>
      <c r="B2037" s="70"/>
      <c r="C2037" s="71"/>
      <c r="D2037" s="70"/>
      <c r="E2037" s="70"/>
      <c r="F2037" s="70"/>
      <c r="G2037" s="57"/>
    </row>
    <row r="2038" ht="22.5" customHeight="1">
      <c r="A2038" s="66"/>
      <c r="B2038" s="67"/>
      <c r="C2038" s="68"/>
      <c r="D2038" s="67"/>
      <c r="E2038" s="67"/>
      <c r="F2038" s="67"/>
      <c r="G2038" s="29"/>
    </row>
    <row r="2039" ht="22.5" customHeight="1">
      <c r="A2039" s="72"/>
      <c r="B2039" s="70"/>
      <c r="C2039" s="71"/>
      <c r="D2039" s="70"/>
      <c r="E2039" s="70"/>
      <c r="F2039" s="70"/>
      <c r="G2039" s="57"/>
    </row>
    <row r="2040" ht="22.5" customHeight="1">
      <c r="A2040" s="73"/>
      <c r="B2040" s="67"/>
      <c r="C2040" s="68"/>
      <c r="D2040" s="67"/>
      <c r="E2040" s="67"/>
      <c r="F2040" s="67"/>
      <c r="G2040" s="29"/>
    </row>
    <row r="2041" ht="22.5" customHeight="1">
      <c r="A2041" s="72"/>
      <c r="B2041" s="70"/>
      <c r="C2041" s="71"/>
      <c r="D2041" s="70"/>
      <c r="E2041" s="70"/>
      <c r="F2041" s="70"/>
      <c r="G2041" s="57"/>
    </row>
    <row r="2042" ht="22.5" customHeight="1">
      <c r="A2042" s="73"/>
      <c r="B2042" s="67"/>
      <c r="C2042" s="68"/>
      <c r="D2042" s="67"/>
      <c r="E2042" s="67"/>
      <c r="F2042" s="67"/>
      <c r="G2042" s="29"/>
    </row>
    <row r="2043" ht="22.5" customHeight="1">
      <c r="A2043" s="72"/>
      <c r="B2043" s="70"/>
      <c r="C2043" s="71"/>
      <c r="D2043" s="70"/>
      <c r="E2043" s="70"/>
      <c r="F2043" s="70"/>
      <c r="G2043" s="57"/>
    </row>
    <row r="2044" ht="22.5" customHeight="1">
      <c r="A2044" s="73"/>
      <c r="B2044" s="67"/>
      <c r="C2044" s="68"/>
      <c r="D2044" s="67"/>
      <c r="E2044" s="67"/>
      <c r="F2044" s="67"/>
      <c r="G2044" s="29"/>
    </row>
    <row r="2045" ht="22.5" customHeight="1">
      <c r="A2045" s="72"/>
      <c r="B2045" s="70"/>
      <c r="C2045" s="71"/>
      <c r="D2045" s="70"/>
      <c r="E2045" s="70"/>
      <c r="F2045" s="70"/>
      <c r="G2045" s="57"/>
    </row>
    <row r="2046" ht="22.5" customHeight="1">
      <c r="A2046" s="73"/>
      <c r="B2046" s="67"/>
      <c r="C2046" s="68"/>
      <c r="D2046" s="67"/>
      <c r="E2046" s="67"/>
      <c r="F2046" s="67"/>
      <c r="G2046" s="29"/>
    </row>
    <row r="2047" ht="22.5" customHeight="1">
      <c r="A2047" s="72"/>
      <c r="B2047" s="70"/>
      <c r="C2047" s="71"/>
      <c r="D2047" s="70"/>
      <c r="E2047" s="70"/>
      <c r="F2047" s="70"/>
      <c r="G2047" s="57"/>
    </row>
    <row r="2048" ht="22.5" customHeight="1">
      <c r="A2048" s="73"/>
      <c r="B2048" s="67"/>
      <c r="C2048" s="68"/>
      <c r="D2048" s="67"/>
      <c r="E2048" s="67"/>
      <c r="F2048" s="67"/>
      <c r="G2048" s="29"/>
    </row>
    <row r="2049" ht="22.5" customHeight="1">
      <c r="A2049" s="72"/>
      <c r="B2049" s="70"/>
      <c r="C2049" s="71"/>
      <c r="D2049" s="70"/>
      <c r="E2049" s="70"/>
      <c r="F2049" s="70"/>
      <c r="G2049" s="57"/>
    </row>
    <row r="2050" ht="22.5" customHeight="1">
      <c r="A2050" s="73"/>
      <c r="B2050" s="67"/>
      <c r="C2050" s="68"/>
      <c r="D2050" s="67"/>
      <c r="E2050" s="67"/>
      <c r="F2050" s="67"/>
      <c r="G2050" s="29"/>
    </row>
    <row r="2051" ht="22.5" customHeight="1">
      <c r="A2051" s="72"/>
      <c r="B2051" s="70"/>
      <c r="C2051" s="71"/>
      <c r="D2051" s="70"/>
      <c r="E2051" s="70"/>
      <c r="F2051" s="70"/>
      <c r="G2051" s="57"/>
    </row>
    <row r="2052" ht="22.5" customHeight="1">
      <c r="A2052" s="73"/>
      <c r="B2052" s="67"/>
      <c r="C2052" s="68"/>
      <c r="D2052" s="67"/>
      <c r="E2052" s="67"/>
      <c r="F2052" s="67"/>
      <c r="G2052" s="29"/>
    </row>
    <row r="2053" ht="22.5" customHeight="1">
      <c r="A2053" s="72"/>
      <c r="B2053" s="70"/>
      <c r="C2053" s="71"/>
      <c r="D2053" s="70"/>
      <c r="E2053" s="70"/>
      <c r="F2053" s="70"/>
      <c r="G2053" s="57"/>
    </row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</sheetData>
  <hyperlinks>
    <hyperlink r:id="rId1" ref="A149"/>
    <hyperlink r:id="rId2" ref="A962"/>
  </hyperlinks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25"/>
    <col customWidth="1" min="3" max="6" width="12.63"/>
  </cols>
  <sheetData>
    <row r="1" ht="15.75" customHeight="1">
      <c r="A1" s="2" t="s">
        <v>2</v>
      </c>
      <c r="B1" s="2" t="s">
        <v>4</v>
      </c>
      <c r="C1" s="2" t="s">
        <v>5</v>
      </c>
      <c r="D1" s="2" t="s">
        <v>6</v>
      </c>
      <c r="E1" s="5" t="s">
        <v>1</v>
      </c>
      <c r="F1" s="2" t="s">
        <v>8</v>
      </c>
      <c r="G1" s="2" t="s">
        <v>9</v>
      </c>
      <c r="H1" s="2" t="s">
        <v>10</v>
      </c>
      <c r="I1" s="2" t="s">
        <v>12</v>
      </c>
    </row>
    <row r="2" ht="15.75" hidden="1" customHeight="1">
      <c r="A2" s="9">
        <v>6126995.0</v>
      </c>
      <c r="B2" s="2" t="s">
        <v>13</v>
      </c>
      <c r="C2" s="2" t="s">
        <v>14</v>
      </c>
      <c r="D2" s="2" t="s">
        <v>15</v>
      </c>
      <c r="E2" s="10" t="s">
        <v>16</v>
      </c>
      <c r="F2" s="2" t="s">
        <v>17</v>
      </c>
      <c r="G2" s="2"/>
      <c r="H2" s="2"/>
      <c r="I2" s="2" t="s">
        <v>14</v>
      </c>
    </row>
    <row r="3" ht="15.75" hidden="1" customHeight="1">
      <c r="A3" s="9">
        <v>6135704.0</v>
      </c>
      <c r="B3" s="2" t="s">
        <v>18</v>
      </c>
      <c r="C3" s="2" t="s">
        <v>19</v>
      </c>
      <c r="D3" s="2" t="s">
        <v>20</v>
      </c>
      <c r="E3" s="10" t="s">
        <v>21</v>
      </c>
      <c r="F3" s="2" t="s">
        <v>22</v>
      </c>
      <c r="G3" s="2"/>
      <c r="H3" s="2"/>
      <c r="I3" s="2" t="s">
        <v>19</v>
      </c>
    </row>
    <row r="4" ht="15.75" hidden="1" customHeight="1">
      <c r="A4" s="9">
        <v>6136255.0</v>
      </c>
      <c r="B4" s="2" t="s">
        <v>24</v>
      </c>
      <c r="C4" s="2" t="s">
        <v>26</v>
      </c>
      <c r="D4" s="2" t="s">
        <v>28</v>
      </c>
      <c r="E4" s="10" t="s">
        <v>29</v>
      </c>
      <c r="F4" s="2" t="s">
        <v>30</v>
      </c>
      <c r="G4" s="2"/>
      <c r="H4" s="2"/>
      <c r="I4" s="2" t="s">
        <v>26</v>
      </c>
    </row>
    <row r="5" ht="15.75" hidden="1" customHeight="1">
      <c r="A5" s="9">
        <v>6201130.0</v>
      </c>
      <c r="B5" s="2" t="s">
        <v>32</v>
      </c>
      <c r="C5" s="2" t="s">
        <v>34</v>
      </c>
      <c r="D5" s="2" t="s">
        <v>35</v>
      </c>
      <c r="E5" s="10" t="s">
        <v>36</v>
      </c>
      <c r="F5" s="2" t="s">
        <v>37</v>
      </c>
      <c r="G5" s="2"/>
      <c r="H5" s="2"/>
      <c r="I5" s="2" t="s">
        <v>34</v>
      </c>
    </row>
    <row r="6" ht="15.75" hidden="1" customHeight="1">
      <c r="A6" s="9">
        <v>6225329.0</v>
      </c>
      <c r="B6" s="2" t="s">
        <v>38</v>
      </c>
      <c r="C6" s="2" t="s">
        <v>39</v>
      </c>
      <c r="D6" s="2" t="s">
        <v>40</v>
      </c>
      <c r="E6" s="10" t="s">
        <v>41</v>
      </c>
      <c r="F6" s="2" t="s">
        <v>42</v>
      </c>
      <c r="G6" s="2"/>
      <c r="H6" s="2"/>
      <c r="I6" s="2" t="s">
        <v>39</v>
      </c>
    </row>
    <row r="7" ht="15.75" hidden="1" customHeight="1">
      <c r="A7" s="9">
        <v>6231919.0</v>
      </c>
      <c r="B7" s="2" t="s">
        <v>43</v>
      </c>
      <c r="C7" s="2" t="s">
        <v>44</v>
      </c>
      <c r="D7" s="2" t="s">
        <v>45</v>
      </c>
      <c r="E7" s="10" t="s">
        <v>46</v>
      </c>
      <c r="F7" s="2" t="s">
        <v>47</v>
      </c>
      <c r="G7" s="2"/>
      <c r="H7" s="2"/>
      <c r="I7" s="2" t="s">
        <v>44</v>
      </c>
    </row>
    <row r="8" ht="15.75" hidden="1" customHeight="1">
      <c r="A8" s="9">
        <v>6332264.0</v>
      </c>
      <c r="B8" s="2" t="s">
        <v>48</v>
      </c>
      <c r="C8" s="2" t="s">
        <v>49</v>
      </c>
      <c r="D8" s="2" t="s">
        <v>50</v>
      </c>
      <c r="E8" s="10" t="s">
        <v>51</v>
      </c>
      <c r="F8" s="2" t="s">
        <v>52</v>
      </c>
      <c r="G8" s="2"/>
      <c r="H8" s="2"/>
      <c r="I8" s="2" t="s">
        <v>49</v>
      </c>
    </row>
    <row r="9" ht="15.75" hidden="1" customHeight="1">
      <c r="A9" s="9">
        <v>6419674.0</v>
      </c>
      <c r="B9" s="2" t="s">
        <v>53</v>
      </c>
      <c r="C9" s="2" t="s">
        <v>54</v>
      </c>
      <c r="D9" s="2" t="s">
        <v>55</v>
      </c>
      <c r="E9" s="10" t="s">
        <v>56</v>
      </c>
      <c r="F9" s="2" t="s">
        <v>57</v>
      </c>
      <c r="G9" s="2"/>
      <c r="H9" s="2"/>
      <c r="I9" s="2" t="s">
        <v>54</v>
      </c>
    </row>
    <row r="10" ht="15.75" hidden="1" customHeight="1">
      <c r="A10" s="9">
        <v>6421109.0</v>
      </c>
      <c r="B10" s="2" t="s">
        <v>59</v>
      </c>
      <c r="C10" s="2" t="s">
        <v>60</v>
      </c>
      <c r="D10" s="2" t="s">
        <v>61</v>
      </c>
      <c r="E10" s="10" t="s">
        <v>62</v>
      </c>
      <c r="F10" s="2" t="s">
        <v>63</v>
      </c>
      <c r="G10" s="2"/>
      <c r="H10" s="2"/>
      <c r="I10" s="2" t="s">
        <v>60</v>
      </c>
    </row>
    <row r="11" ht="15.75" customHeight="1">
      <c r="A11" s="9">
        <v>6545821.0</v>
      </c>
      <c r="B11" s="2" t="s">
        <v>64</v>
      </c>
      <c r="C11" s="2" t="s">
        <v>65</v>
      </c>
      <c r="D11" s="2" t="s">
        <v>66</v>
      </c>
      <c r="E11" s="10" t="s">
        <v>67</v>
      </c>
      <c r="F11" s="2" t="s">
        <v>68</v>
      </c>
      <c r="G11" s="2"/>
      <c r="H11" s="2"/>
      <c r="I11" s="2" t="s">
        <v>65</v>
      </c>
    </row>
    <row r="12" ht="15.75" hidden="1" customHeight="1">
      <c r="A12" s="9">
        <v>6556777.0</v>
      </c>
      <c r="B12" s="2" t="s">
        <v>70</v>
      </c>
      <c r="C12" s="2" t="s">
        <v>71</v>
      </c>
      <c r="D12" s="2" t="s">
        <v>72</v>
      </c>
      <c r="E12" s="10" t="s">
        <v>73</v>
      </c>
      <c r="F12" s="2" t="s">
        <v>75</v>
      </c>
      <c r="G12" s="2"/>
      <c r="H12" s="2"/>
      <c r="I12" s="2" t="s">
        <v>71</v>
      </c>
    </row>
    <row r="13" ht="15.75" hidden="1" customHeight="1">
      <c r="A13" s="9">
        <v>6671056.0</v>
      </c>
      <c r="B13" s="2" t="s">
        <v>76</v>
      </c>
      <c r="C13" s="2" t="s">
        <v>77</v>
      </c>
      <c r="D13" s="2" t="s">
        <v>78</v>
      </c>
      <c r="E13" s="10" t="s">
        <v>80</v>
      </c>
      <c r="F13" s="2" t="s">
        <v>81</v>
      </c>
      <c r="G13" s="2"/>
      <c r="H13" s="2"/>
      <c r="I13" s="2" t="s">
        <v>77</v>
      </c>
    </row>
    <row r="14" ht="15.75" hidden="1" customHeight="1">
      <c r="A14" s="9">
        <v>6672967.0</v>
      </c>
      <c r="B14" s="2" t="s">
        <v>83</v>
      </c>
      <c r="C14" s="2" t="s">
        <v>84</v>
      </c>
      <c r="D14" s="2" t="s">
        <v>85</v>
      </c>
      <c r="E14" s="10" t="s">
        <v>86</v>
      </c>
      <c r="F14" s="2" t="s">
        <v>81</v>
      </c>
      <c r="G14" s="2"/>
      <c r="H14" s="2"/>
      <c r="I14" s="2" t="s">
        <v>84</v>
      </c>
    </row>
    <row r="15" ht="15.75" hidden="1" customHeight="1">
      <c r="A15" s="9">
        <v>6674399.0</v>
      </c>
      <c r="B15" s="2" t="s">
        <v>88</v>
      </c>
      <c r="C15" s="2" t="s">
        <v>89</v>
      </c>
      <c r="D15" s="2" t="s">
        <v>90</v>
      </c>
      <c r="E15" s="10" t="s">
        <v>91</v>
      </c>
      <c r="F15" s="2" t="s">
        <v>81</v>
      </c>
      <c r="G15" s="2"/>
      <c r="H15" s="2"/>
      <c r="I15" s="2" t="s">
        <v>89</v>
      </c>
    </row>
    <row r="16" ht="15.75" hidden="1" customHeight="1">
      <c r="A16" s="9">
        <v>6682462.0</v>
      </c>
      <c r="B16" s="2" t="s">
        <v>93</v>
      </c>
      <c r="C16" s="2" t="s">
        <v>94</v>
      </c>
      <c r="D16" s="2" t="s">
        <v>96</v>
      </c>
      <c r="E16" s="10" t="s">
        <v>97</v>
      </c>
      <c r="F16" s="2" t="s">
        <v>98</v>
      </c>
      <c r="G16" s="2"/>
      <c r="H16" s="2"/>
      <c r="I16" s="2" t="s">
        <v>94</v>
      </c>
    </row>
    <row r="17" ht="15.75" hidden="1" customHeight="1">
      <c r="A17" s="9">
        <v>6688010.0</v>
      </c>
      <c r="B17" s="2" t="s">
        <v>101</v>
      </c>
      <c r="C17" s="2" t="s">
        <v>102</v>
      </c>
      <c r="D17" s="2" t="s">
        <v>103</v>
      </c>
      <c r="E17" s="10" t="s">
        <v>104</v>
      </c>
      <c r="F17" s="2" t="s">
        <v>106</v>
      </c>
      <c r="G17" s="2"/>
      <c r="H17" s="2"/>
      <c r="I17" s="2" t="s">
        <v>102</v>
      </c>
    </row>
    <row r="18" ht="15.75" hidden="1" customHeight="1">
      <c r="A18" s="9">
        <v>6692083.0</v>
      </c>
      <c r="B18" s="2" t="s">
        <v>107</v>
      </c>
      <c r="C18" s="2" t="s">
        <v>108</v>
      </c>
      <c r="D18" s="2" t="s">
        <v>109</v>
      </c>
      <c r="E18" s="10" t="s">
        <v>110</v>
      </c>
      <c r="F18" s="2" t="s">
        <v>81</v>
      </c>
      <c r="G18" s="2"/>
      <c r="H18" s="2"/>
      <c r="I18" s="2" t="s">
        <v>108</v>
      </c>
    </row>
    <row r="19" ht="15.75" hidden="1" customHeight="1">
      <c r="A19" s="9">
        <v>6692086.0</v>
      </c>
      <c r="B19" s="2" t="s">
        <v>112</v>
      </c>
      <c r="C19" s="2" t="s">
        <v>114</v>
      </c>
      <c r="D19" s="2" t="s">
        <v>115</v>
      </c>
      <c r="E19" s="10" t="s">
        <v>116</v>
      </c>
      <c r="F19" s="2" t="s">
        <v>106</v>
      </c>
      <c r="G19" s="2"/>
      <c r="H19" s="2"/>
      <c r="I19" s="2" t="s">
        <v>114</v>
      </c>
    </row>
    <row r="20" ht="15.75" hidden="1" customHeight="1">
      <c r="A20" s="9">
        <v>6692088.0</v>
      </c>
      <c r="B20" s="2" t="s">
        <v>118</v>
      </c>
      <c r="C20" s="2" t="s">
        <v>119</v>
      </c>
      <c r="D20" s="2" t="s">
        <v>120</v>
      </c>
      <c r="E20" s="10" t="s">
        <v>121</v>
      </c>
      <c r="F20" s="2" t="s">
        <v>106</v>
      </c>
      <c r="G20" s="2"/>
      <c r="H20" s="2"/>
      <c r="I20" s="2" t="s">
        <v>119</v>
      </c>
    </row>
    <row r="21" ht="15.75" hidden="1" customHeight="1">
      <c r="A21" s="9">
        <v>6692089.0</v>
      </c>
      <c r="B21" s="2" t="s">
        <v>124</v>
      </c>
      <c r="C21" s="2" t="s">
        <v>125</v>
      </c>
      <c r="D21" s="2" t="s">
        <v>126</v>
      </c>
      <c r="E21" s="10" t="s">
        <v>127</v>
      </c>
      <c r="F21" s="2" t="s">
        <v>81</v>
      </c>
      <c r="G21" s="2"/>
      <c r="H21" s="2"/>
      <c r="I21" s="2" t="s">
        <v>125</v>
      </c>
    </row>
    <row r="22" ht="15.75" hidden="1" customHeight="1">
      <c r="A22" s="9">
        <v>6692090.0</v>
      </c>
      <c r="B22" s="2" t="s">
        <v>128</v>
      </c>
      <c r="C22" s="2" t="s">
        <v>129</v>
      </c>
      <c r="D22" s="2" t="s">
        <v>130</v>
      </c>
      <c r="E22" s="10" t="s">
        <v>132</v>
      </c>
      <c r="F22" s="2" t="s">
        <v>106</v>
      </c>
      <c r="G22" s="2"/>
      <c r="H22" s="2"/>
      <c r="I22" s="2" t="s">
        <v>129</v>
      </c>
    </row>
    <row r="23" ht="15.75" hidden="1" customHeight="1">
      <c r="A23" s="9">
        <v>6692091.0</v>
      </c>
      <c r="B23" s="2" t="s">
        <v>134</v>
      </c>
      <c r="C23" s="2" t="s">
        <v>135</v>
      </c>
      <c r="D23" s="2" t="s">
        <v>137</v>
      </c>
      <c r="E23" s="10" t="s">
        <v>138</v>
      </c>
      <c r="F23" s="2" t="s">
        <v>81</v>
      </c>
      <c r="G23" s="2"/>
      <c r="H23" s="2"/>
      <c r="I23" s="2" t="s">
        <v>135</v>
      </c>
    </row>
    <row r="24" ht="15.75" hidden="1" customHeight="1">
      <c r="A24" s="9">
        <v>6692095.0</v>
      </c>
      <c r="B24" s="2" t="s">
        <v>139</v>
      </c>
      <c r="C24" s="2" t="s">
        <v>141</v>
      </c>
      <c r="D24" s="2" t="s">
        <v>142</v>
      </c>
      <c r="E24" s="10" t="s">
        <v>143</v>
      </c>
      <c r="F24" s="2" t="s">
        <v>81</v>
      </c>
      <c r="G24" s="2"/>
      <c r="H24" s="2"/>
      <c r="I24" s="2" t="s">
        <v>141</v>
      </c>
    </row>
    <row r="25" ht="15.75" hidden="1" customHeight="1">
      <c r="A25" s="9">
        <v>6692098.0</v>
      </c>
      <c r="B25" s="2" t="s">
        <v>144</v>
      </c>
      <c r="C25" s="2" t="s">
        <v>145</v>
      </c>
      <c r="D25" s="2" t="s">
        <v>146</v>
      </c>
      <c r="E25" s="10" t="s">
        <v>147</v>
      </c>
      <c r="F25" s="2" t="s">
        <v>106</v>
      </c>
      <c r="G25" s="2"/>
      <c r="H25" s="2"/>
      <c r="I25" s="2" t="s">
        <v>145</v>
      </c>
    </row>
    <row r="26" ht="15.75" hidden="1" customHeight="1">
      <c r="A26" s="9">
        <v>6692099.0</v>
      </c>
      <c r="B26" s="2" t="s">
        <v>148</v>
      </c>
      <c r="C26" s="2" t="s">
        <v>149</v>
      </c>
      <c r="D26" s="2" t="s">
        <v>151</v>
      </c>
      <c r="E26" s="10" t="s">
        <v>152</v>
      </c>
      <c r="F26" s="2" t="s">
        <v>106</v>
      </c>
      <c r="G26" s="2"/>
      <c r="H26" s="2"/>
      <c r="I26" s="2" t="s">
        <v>149</v>
      </c>
    </row>
    <row r="27" ht="15.75" hidden="1" customHeight="1">
      <c r="A27" s="9">
        <v>6692101.0</v>
      </c>
      <c r="B27" s="2" t="s">
        <v>154</v>
      </c>
      <c r="C27" s="2" t="s">
        <v>155</v>
      </c>
      <c r="D27" s="2" t="s">
        <v>156</v>
      </c>
      <c r="E27" s="10" t="s">
        <v>157</v>
      </c>
      <c r="F27" s="2" t="s">
        <v>81</v>
      </c>
      <c r="G27" s="2"/>
      <c r="H27" s="2"/>
      <c r="I27" s="2" t="s">
        <v>155</v>
      </c>
    </row>
    <row r="28" ht="15.75" hidden="1" customHeight="1">
      <c r="A28" s="9">
        <v>6692103.0</v>
      </c>
      <c r="B28" s="2" t="s">
        <v>159</v>
      </c>
      <c r="C28" s="2" t="s">
        <v>161</v>
      </c>
      <c r="D28" s="2" t="s">
        <v>162</v>
      </c>
      <c r="E28" s="10" t="s">
        <v>163</v>
      </c>
      <c r="F28" s="2" t="s">
        <v>81</v>
      </c>
      <c r="G28" s="2"/>
      <c r="H28" s="2"/>
      <c r="I28" s="2" t="s">
        <v>161</v>
      </c>
    </row>
    <row r="29" ht="15.75" hidden="1" customHeight="1">
      <c r="A29" s="9">
        <v>6692104.0</v>
      </c>
      <c r="B29" s="2" t="s">
        <v>164</v>
      </c>
      <c r="C29" s="2" t="s">
        <v>165</v>
      </c>
      <c r="D29" s="2" t="s">
        <v>166</v>
      </c>
      <c r="E29" s="10" t="s">
        <v>167</v>
      </c>
      <c r="F29" s="2" t="s">
        <v>81</v>
      </c>
      <c r="G29" s="2"/>
      <c r="H29" s="2"/>
      <c r="I29" s="2" t="s">
        <v>165</v>
      </c>
    </row>
    <row r="30" ht="15.75" hidden="1" customHeight="1">
      <c r="A30" s="9">
        <v>6692107.0</v>
      </c>
      <c r="B30" s="2" t="s">
        <v>168</v>
      </c>
      <c r="C30" s="2" t="s">
        <v>169</v>
      </c>
      <c r="D30" s="2" t="s">
        <v>170</v>
      </c>
      <c r="E30" s="10" t="s">
        <v>171</v>
      </c>
      <c r="F30" s="2" t="s">
        <v>81</v>
      </c>
      <c r="G30" s="2"/>
      <c r="H30" s="2"/>
      <c r="I30" s="2" t="s">
        <v>169</v>
      </c>
    </row>
    <row r="31" ht="15.75" hidden="1" customHeight="1">
      <c r="A31" s="9">
        <v>6692109.0</v>
      </c>
      <c r="B31" s="2" t="s">
        <v>173</v>
      </c>
      <c r="C31" s="2" t="s">
        <v>174</v>
      </c>
      <c r="D31" s="2" t="s">
        <v>176</v>
      </c>
      <c r="E31" s="10" t="s">
        <v>177</v>
      </c>
      <c r="F31" s="2" t="s">
        <v>106</v>
      </c>
      <c r="G31" s="2"/>
      <c r="H31" s="2"/>
      <c r="I31" s="2" t="s">
        <v>174</v>
      </c>
    </row>
    <row r="32" ht="15.75" hidden="1" customHeight="1">
      <c r="A32" s="9">
        <v>6692111.0</v>
      </c>
      <c r="B32" s="2" t="s">
        <v>179</v>
      </c>
      <c r="C32" s="2" t="s">
        <v>180</v>
      </c>
      <c r="D32" s="2" t="s">
        <v>181</v>
      </c>
      <c r="E32" s="10" t="s">
        <v>182</v>
      </c>
      <c r="F32" s="2" t="s">
        <v>106</v>
      </c>
      <c r="G32" s="2"/>
      <c r="H32" s="2"/>
      <c r="I32" s="2" t="s">
        <v>180</v>
      </c>
    </row>
    <row r="33" ht="15.75" hidden="1" customHeight="1">
      <c r="A33" s="9">
        <v>6692114.0</v>
      </c>
      <c r="B33" s="2" t="s">
        <v>185</v>
      </c>
      <c r="C33" s="2" t="s">
        <v>186</v>
      </c>
      <c r="D33" s="2" t="s">
        <v>187</v>
      </c>
      <c r="E33" s="10" t="s">
        <v>188</v>
      </c>
      <c r="F33" s="2" t="s">
        <v>81</v>
      </c>
      <c r="G33" s="2"/>
      <c r="H33" s="2"/>
      <c r="I33" s="2" t="s">
        <v>186</v>
      </c>
    </row>
    <row r="34" ht="15.75" hidden="1" customHeight="1">
      <c r="A34" s="9">
        <v>6692117.0</v>
      </c>
      <c r="B34" s="2" t="s">
        <v>189</v>
      </c>
      <c r="C34" s="2" t="s">
        <v>190</v>
      </c>
      <c r="D34" s="2" t="s">
        <v>191</v>
      </c>
      <c r="E34" s="10" t="s">
        <v>192</v>
      </c>
      <c r="F34" s="2" t="s">
        <v>81</v>
      </c>
      <c r="G34" s="2"/>
      <c r="H34" s="2"/>
      <c r="I34" s="2" t="s">
        <v>190</v>
      </c>
    </row>
    <row r="35" ht="15.75" hidden="1" customHeight="1">
      <c r="A35" s="9">
        <v>6692123.0</v>
      </c>
      <c r="B35" s="2" t="s">
        <v>194</v>
      </c>
      <c r="C35" s="2" t="s">
        <v>195</v>
      </c>
      <c r="D35" s="2" t="s">
        <v>197</v>
      </c>
      <c r="E35" s="10" t="s">
        <v>198</v>
      </c>
      <c r="F35" s="2" t="s">
        <v>81</v>
      </c>
      <c r="G35" s="2"/>
      <c r="H35" s="2"/>
      <c r="I35" s="2" t="s">
        <v>195</v>
      </c>
    </row>
    <row r="36" ht="15.75" hidden="1" customHeight="1">
      <c r="A36" s="9">
        <v>6694650.0</v>
      </c>
      <c r="B36" s="2" t="s">
        <v>200</v>
      </c>
      <c r="C36" s="2" t="s">
        <v>201</v>
      </c>
      <c r="D36" s="2" t="s">
        <v>202</v>
      </c>
      <c r="E36" s="10" t="s">
        <v>203</v>
      </c>
      <c r="F36" s="2" t="s">
        <v>106</v>
      </c>
      <c r="G36" s="2"/>
      <c r="H36" s="2"/>
      <c r="I36" s="2" t="s">
        <v>201</v>
      </c>
    </row>
    <row r="37" ht="15.75" hidden="1" customHeight="1">
      <c r="A37" s="9">
        <v>6695380.0</v>
      </c>
      <c r="B37" s="2" t="s">
        <v>205</v>
      </c>
      <c r="C37" s="2" t="s">
        <v>206</v>
      </c>
      <c r="D37" s="2" t="s">
        <v>207</v>
      </c>
      <c r="E37" s="10" t="s">
        <v>208</v>
      </c>
      <c r="F37" s="2" t="s">
        <v>81</v>
      </c>
      <c r="G37" s="2"/>
      <c r="H37" s="2"/>
      <c r="I37" s="2" t="s">
        <v>206</v>
      </c>
    </row>
    <row r="38" ht="15.75" customHeight="1">
      <c r="A38" s="9">
        <v>6714735.0</v>
      </c>
      <c r="B38" s="2" t="s">
        <v>209</v>
      </c>
      <c r="C38" s="2" t="s">
        <v>210</v>
      </c>
      <c r="D38" s="2" t="s">
        <v>211</v>
      </c>
      <c r="E38" s="10" t="s">
        <v>212</v>
      </c>
      <c r="F38" s="2" t="s">
        <v>68</v>
      </c>
      <c r="G38" s="2"/>
      <c r="H38" s="2"/>
      <c r="I38" s="2" t="s">
        <v>210</v>
      </c>
    </row>
    <row r="39" ht="15.75" customHeight="1">
      <c r="A39" s="9">
        <v>6714860.0</v>
      </c>
      <c r="B39" s="2" t="s">
        <v>215</v>
      </c>
      <c r="C39" s="2" t="s">
        <v>216</v>
      </c>
      <c r="D39" s="2" t="s">
        <v>217</v>
      </c>
      <c r="E39" s="10" t="s">
        <v>218</v>
      </c>
      <c r="F39" s="2" t="s">
        <v>221</v>
      </c>
      <c r="G39" s="2"/>
      <c r="H39" s="2"/>
      <c r="I39" s="2" t="s">
        <v>216</v>
      </c>
    </row>
    <row r="40" ht="15.75" customHeight="1">
      <c r="A40" s="9">
        <v>6772027.0</v>
      </c>
      <c r="B40" s="2" t="s">
        <v>223</v>
      </c>
      <c r="C40" s="2" t="s">
        <v>224</v>
      </c>
      <c r="D40" s="2" t="s">
        <v>225</v>
      </c>
      <c r="E40" s="10" t="s">
        <v>226</v>
      </c>
      <c r="F40" s="2" t="s">
        <v>227</v>
      </c>
      <c r="G40" s="2"/>
      <c r="H40" s="2"/>
      <c r="I40" s="2" t="s">
        <v>224</v>
      </c>
    </row>
    <row r="41" ht="15.75" customHeight="1">
      <c r="A41" s="9">
        <v>6811784.0</v>
      </c>
      <c r="B41" s="2" t="s">
        <v>229</v>
      </c>
      <c r="C41" s="2" t="s">
        <v>230</v>
      </c>
      <c r="D41" s="2" t="s">
        <v>232</v>
      </c>
      <c r="E41" s="10" t="s">
        <v>233</v>
      </c>
      <c r="F41" s="2" t="s">
        <v>219</v>
      </c>
      <c r="G41" s="2"/>
      <c r="H41" s="2"/>
      <c r="I41" s="2" t="s">
        <v>230</v>
      </c>
    </row>
    <row r="42" ht="15.75" hidden="1" customHeight="1">
      <c r="A42" s="9">
        <v>6816870.0</v>
      </c>
      <c r="B42" s="2" t="s">
        <v>234</v>
      </c>
      <c r="C42" s="2" t="s">
        <v>235</v>
      </c>
      <c r="D42" s="2" t="s">
        <v>236</v>
      </c>
      <c r="E42" s="10" t="s">
        <v>237</v>
      </c>
      <c r="F42" s="2" t="s">
        <v>238</v>
      </c>
      <c r="G42" s="2"/>
      <c r="H42" s="2"/>
      <c r="I42" s="2" t="s">
        <v>235</v>
      </c>
    </row>
    <row r="43" ht="15.75" hidden="1" customHeight="1">
      <c r="A43" s="9">
        <v>6872517.0</v>
      </c>
      <c r="B43" s="2" t="s">
        <v>239</v>
      </c>
      <c r="C43" s="2" t="s">
        <v>240</v>
      </c>
      <c r="D43" s="2" t="s">
        <v>242</v>
      </c>
      <c r="E43" s="10" t="s">
        <v>243</v>
      </c>
      <c r="F43" s="2" t="s">
        <v>106</v>
      </c>
      <c r="G43" s="2"/>
      <c r="H43" s="2"/>
      <c r="I43" s="2" t="s">
        <v>240</v>
      </c>
    </row>
    <row r="44" ht="15.75" hidden="1" customHeight="1">
      <c r="A44" s="9">
        <v>6878649.0</v>
      </c>
      <c r="B44" s="2" t="s">
        <v>245</v>
      </c>
      <c r="C44" s="2" t="s">
        <v>246</v>
      </c>
      <c r="D44" s="2" t="s">
        <v>247</v>
      </c>
      <c r="E44" s="10" t="s">
        <v>249</v>
      </c>
      <c r="F44" s="2" t="s">
        <v>106</v>
      </c>
      <c r="G44" s="2"/>
      <c r="H44" s="2"/>
      <c r="I44" s="2" t="s">
        <v>246</v>
      </c>
    </row>
    <row r="45" ht="15.75" hidden="1" customHeight="1">
      <c r="A45" s="9">
        <v>6881709.0</v>
      </c>
      <c r="B45" s="2" t="s">
        <v>251</v>
      </c>
      <c r="C45" s="2" t="s">
        <v>252</v>
      </c>
      <c r="D45" s="2" t="s">
        <v>253</v>
      </c>
      <c r="E45" s="10" t="s">
        <v>254</v>
      </c>
      <c r="F45" s="2" t="s">
        <v>106</v>
      </c>
      <c r="G45" s="2"/>
      <c r="H45" s="2"/>
      <c r="I45" s="2" t="s">
        <v>252</v>
      </c>
    </row>
    <row r="46" ht="15.75" hidden="1" customHeight="1">
      <c r="A46" s="9">
        <v>7011721.0</v>
      </c>
      <c r="B46" s="2" t="s">
        <v>256</v>
      </c>
      <c r="C46" s="2" t="s">
        <v>257</v>
      </c>
      <c r="D46" s="2" t="s">
        <v>258</v>
      </c>
      <c r="E46" s="10" t="s">
        <v>259</v>
      </c>
      <c r="F46" s="2" t="s">
        <v>140</v>
      </c>
      <c r="G46" s="2"/>
      <c r="H46" s="2"/>
      <c r="I46" s="2" t="s">
        <v>257</v>
      </c>
    </row>
    <row r="47" ht="15.75" hidden="1" customHeight="1">
      <c r="A47" s="9">
        <v>7012247.0</v>
      </c>
      <c r="B47" s="2" t="s">
        <v>260</v>
      </c>
      <c r="C47" s="2" t="s">
        <v>261</v>
      </c>
      <c r="D47" s="2" t="s">
        <v>262</v>
      </c>
      <c r="E47" s="10" t="s">
        <v>263</v>
      </c>
      <c r="F47" s="2" t="s">
        <v>265</v>
      </c>
      <c r="G47" s="2"/>
      <c r="H47" s="2"/>
      <c r="I47" s="2" t="s">
        <v>261</v>
      </c>
    </row>
    <row r="48" ht="15.75" hidden="1" customHeight="1">
      <c r="A48" s="9">
        <v>7014519.0</v>
      </c>
      <c r="B48" s="2" t="s">
        <v>267</v>
      </c>
      <c r="C48" s="2" t="s">
        <v>268</v>
      </c>
      <c r="D48" s="2" t="s">
        <v>269</v>
      </c>
      <c r="E48" s="10" t="s">
        <v>270</v>
      </c>
      <c r="F48" s="2" t="s">
        <v>81</v>
      </c>
      <c r="G48" s="2"/>
      <c r="H48" s="2"/>
      <c r="I48" s="2" t="s">
        <v>268</v>
      </c>
    </row>
    <row r="49" ht="15.75" hidden="1" customHeight="1">
      <c r="A49" s="9">
        <v>7061443.0</v>
      </c>
      <c r="B49" s="2" t="s">
        <v>272</v>
      </c>
      <c r="C49" s="2" t="s">
        <v>273</v>
      </c>
      <c r="D49" s="2" t="s">
        <v>275</v>
      </c>
      <c r="E49" s="10" t="s">
        <v>276</v>
      </c>
      <c r="F49" s="2" t="s">
        <v>277</v>
      </c>
      <c r="G49" s="2"/>
      <c r="H49" s="2"/>
      <c r="I49" s="2" t="s">
        <v>273</v>
      </c>
    </row>
    <row r="50" ht="15.75" customHeight="1">
      <c r="A50" s="9">
        <v>7081514.0</v>
      </c>
      <c r="B50" s="2" t="s">
        <v>278</v>
      </c>
      <c r="C50" s="2" t="s">
        <v>279</v>
      </c>
      <c r="D50" s="2" t="s">
        <v>280</v>
      </c>
      <c r="E50" s="10" t="s">
        <v>281</v>
      </c>
      <c r="F50" s="2" t="s">
        <v>282</v>
      </c>
      <c r="G50" s="2"/>
      <c r="H50" s="2"/>
      <c r="I50" s="2" t="s">
        <v>279</v>
      </c>
    </row>
    <row r="51" ht="15.75" hidden="1" customHeight="1">
      <c r="A51" s="9">
        <v>7102528.0</v>
      </c>
      <c r="B51" s="2" t="s">
        <v>283</v>
      </c>
      <c r="C51" s="2" t="s">
        <v>284</v>
      </c>
      <c r="D51" s="2" t="s">
        <v>285</v>
      </c>
      <c r="E51" s="10" t="s">
        <v>286</v>
      </c>
      <c r="F51" s="2" t="s">
        <v>287</v>
      </c>
      <c r="G51" s="2"/>
      <c r="H51" s="2"/>
      <c r="I51" s="2" t="s">
        <v>284</v>
      </c>
    </row>
    <row r="52" ht="15.75" hidden="1" customHeight="1">
      <c r="A52" s="9">
        <v>7103367.0</v>
      </c>
      <c r="B52" s="2" t="s">
        <v>289</v>
      </c>
      <c r="C52" s="2" t="s">
        <v>290</v>
      </c>
      <c r="D52" s="2" t="s">
        <v>291</v>
      </c>
      <c r="E52" s="10" t="s">
        <v>292</v>
      </c>
      <c r="F52" s="2" t="s">
        <v>30</v>
      </c>
      <c r="G52" s="2"/>
      <c r="H52" s="2"/>
      <c r="I52" s="2" t="s">
        <v>290</v>
      </c>
    </row>
    <row r="53" ht="15.75" hidden="1" customHeight="1">
      <c r="A53" s="9">
        <v>7109585.0</v>
      </c>
      <c r="B53" s="2" t="s">
        <v>293</v>
      </c>
      <c r="C53" s="2" t="s">
        <v>294</v>
      </c>
      <c r="D53" s="2" t="s">
        <v>296</v>
      </c>
      <c r="E53" s="10" t="s">
        <v>297</v>
      </c>
      <c r="F53" s="2" t="s">
        <v>106</v>
      </c>
      <c r="G53" s="2"/>
      <c r="H53" s="2"/>
      <c r="I53" s="2" t="s">
        <v>294</v>
      </c>
    </row>
    <row r="54" ht="15.75" hidden="1" customHeight="1">
      <c r="A54" s="9">
        <v>7130033.0</v>
      </c>
      <c r="B54" s="2" t="s">
        <v>299</v>
      </c>
      <c r="C54" s="2" t="s">
        <v>300</v>
      </c>
      <c r="D54" s="2" t="s">
        <v>301</v>
      </c>
      <c r="E54" s="10" t="s">
        <v>302</v>
      </c>
      <c r="F54" s="2" t="s">
        <v>304</v>
      </c>
      <c r="G54" s="2"/>
      <c r="H54" s="2"/>
      <c r="I54" s="2" t="s">
        <v>300</v>
      </c>
    </row>
    <row r="55" ht="15.75" hidden="1" customHeight="1">
      <c r="A55" s="9">
        <v>7225607.0</v>
      </c>
      <c r="B55" s="2" t="s">
        <v>305</v>
      </c>
      <c r="C55" s="2" t="s">
        <v>306</v>
      </c>
      <c r="D55" s="2" t="s">
        <v>307</v>
      </c>
      <c r="E55" s="10" t="s">
        <v>308</v>
      </c>
      <c r="F55" s="2" t="s">
        <v>106</v>
      </c>
      <c r="G55" s="2"/>
      <c r="H55" s="2"/>
      <c r="I55" s="2" t="s">
        <v>306</v>
      </c>
    </row>
    <row r="56" ht="15.75" hidden="1" customHeight="1">
      <c r="A56" s="9">
        <v>7225616.0</v>
      </c>
      <c r="B56" s="2" t="s">
        <v>309</v>
      </c>
      <c r="C56" s="2" t="s">
        <v>310</v>
      </c>
      <c r="D56" s="2" t="s">
        <v>311</v>
      </c>
      <c r="E56" s="10" t="s">
        <v>313</v>
      </c>
      <c r="F56" s="2" t="s">
        <v>314</v>
      </c>
      <c r="G56" s="2"/>
      <c r="H56" s="2"/>
      <c r="I56" s="2" t="s">
        <v>310</v>
      </c>
    </row>
    <row r="57" ht="15.75" hidden="1" customHeight="1">
      <c r="A57" s="9">
        <v>7225621.0</v>
      </c>
      <c r="B57" s="2" t="s">
        <v>315</v>
      </c>
      <c r="C57" s="2" t="s">
        <v>317</v>
      </c>
      <c r="D57" s="2" t="s">
        <v>318</v>
      </c>
      <c r="E57" s="10" t="s">
        <v>319</v>
      </c>
      <c r="F57" s="2" t="s">
        <v>106</v>
      </c>
      <c r="G57" s="2"/>
      <c r="H57" s="2"/>
      <c r="I57" s="2" t="s">
        <v>317</v>
      </c>
    </row>
    <row r="58" ht="15.75" hidden="1" customHeight="1">
      <c r="A58" s="9">
        <v>7225638.0</v>
      </c>
      <c r="B58" s="2" t="s">
        <v>321</v>
      </c>
      <c r="C58" s="2" t="s">
        <v>322</v>
      </c>
      <c r="D58" s="2" t="s">
        <v>324</v>
      </c>
      <c r="E58" s="10" t="s">
        <v>325</v>
      </c>
      <c r="F58" s="2" t="s">
        <v>106</v>
      </c>
      <c r="G58" s="2"/>
      <c r="H58" s="2"/>
      <c r="I58" s="2" t="s">
        <v>322</v>
      </c>
    </row>
    <row r="59" ht="15.75" hidden="1" customHeight="1">
      <c r="A59" s="9">
        <v>7225860.0</v>
      </c>
      <c r="B59" s="2" t="s">
        <v>326</v>
      </c>
      <c r="C59" s="2" t="s">
        <v>327</v>
      </c>
      <c r="D59" s="2" t="s">
        <v>328</v>
      </c>
      <c r="E59" s="10" t="s">
        <v>329</v>
      </c>
      <c r="F59" s="2" t="s">
        <v>106</v>
      </c>
      <c r="G59" s="2"/>
      <c r="H59" s="2"/>
      <c r="I59" s="2" t="s">
        <v>327</v>
      </c>
    </row>
    <row r="60" ht="15.75" hidden="1" customHeight="1">
      <c r="A60" s="9">
        <v>7225861.0</v>
      </c>
      <c r="B60" s="2" t="s">
        <v>330</v>
      </c>
      <c r="C60" s="2" t="s">
        <v>331</v>
      </c>
      <c r="D60" s="2" t="s">
        <v>332</v>
      </c>
      <c r="E60" s="10" t="s">
        <v>333</v>
      </c>
      <c r="F60" s="2" t="s">
        <v>106</v>
      </c>
      <c r="G60" s="2"/>
      <c r="H60" s="2"/>
      <c r="I60" s="2" t="s">
        <v>331</v>
      </c>
    </row>
    <row r="61" ht="15.75" hidden="1" customHeight="1">
      <c r="A61" s="9">
        <v>7225868.0</v>
      </c>
      <c r="B61" s="2" t="s">
        <v>335</v>
      </c>
      <c r="C61" s="2" t="s">
        <v>336</v>
      </c>
      <c r="D61" s="2" t="s">
        <v>337</v>
      </c>
      <c r="E61" s="10" t="s">
        <v>338</v>
      </c>
      <c r="F61" s="2" t="s">
        <v>106</v>
      </c>
      <c r="G61" s="2"/>
      <c r="H61" s="2"/>
      <c r="I61" s="2" t="s">
        <v>336</v>
      </c>
    </row>
    <row r="62" ht="15.75" hidden="1" customHeight="1">
      <c r="A62" s="9">
        <v>7225909.0</v>
      </c>
      <c r="B62" s="2" t="s">
        <v>341</v>
      </c>
      <c r="C62" s="2" t="s">
        <v>342</v>
      </c>
      <c r="D62" s="2" t="s">
        <v>344</v>
      </c>
      <c r="E62" s="10" t="s">
        <v>345</v>
      </c>
      <c r="F62" s="2" t="s">
        <v>106</v>
      </c>
      <c r="G62" s="2"/>
      <c r="H62" s="2"/>
      <c r="I62" s="2" t="s">
        <v>342</v>
      </c>
    </row>
    <row r="63" ht="15.75" hidden="1" customHeight="1">
      <c r="A63" s="9">
        <v>7226368.0</v>
      </c>
      <c r="B63" s="2" t="s">
        <v>347</v>
      </c>
      <c r="C63" s="2" t="s">
        <v>348</v>
      </c>
      <c r="D63" s="2" t="s">
        <v>349</v>
      </c>
      <c r="E63" s="10" t="s">
        <v>350</v>
      </c>
      <c r="F63" s="2" t="s">
        <v>81</v>
      </c>
      <c r="G63" s="2"/>
      <c r="H63" s="2"/>
      <c r="I63" s="2" t="s">
        <v>348</v>
      </c>
    </row>
    <row r="64" ht="15.75" hidden="1" customHeight="1">
      <c r="A64" s="9">
        <v>7226763.0</v>
      </c>
      <c r="B64" s="2" t="s">
        <v>351</v>
      </c>
      <c r="C64" s="2" t="s">
        <v>352</v>
      </c>
      <c r="D64" s="2" t="s">
        <v>353</v>
      </c>
      <c r="E64" s="10" t="s">
        <v>355</v>
      </c>
      <c r="F64" s="2" t="s">
        <v>57</v>
      </c>
      <c r="G64" s="2"/>
      <c r="H64" s="2"/>
      <c r="I64" s="2" t="s">
        <v>352</v>
      </c>
    </row>
    <row r="65" ht="15.75" hidden="1" customHeight="1">
      <c r="A65" s="9">
        <v>7228199.0</v>
      </c>
      <c r="B65" s="2" t="s">
        <v>357</v>
      </c>
      <c r="C65" s="2" t="s">
        <v>358</v>
      </c>
      <c r="D65" s="2" t="s">
        <v>360</v>
      </c>
      <c r="E65" s="10" t="s">
        <v>361</v>
      </c>
      <c r="F65" s="2" t="s">
        <v>204</v>
      </c>
      <c r="G65" s="2"/>
      <c r="H65" s="2"/>
      <c r="I65" s="2" t="s">
        <v>358</v>
      </c>
    </row>
    <row r="66" ht="15.75" hidden="1" customHeight="1">
      <c r="A66" s="9">
        <v>7228431.0</v>
      </c>
      <c r="B66" s="2" t="s">
        <v>363</v>
      </c>
      <c r="C66" s="2" t="s">
        <v>364</v>
      </c>
      <c r="D66" s="2" t="s">
        <v>366</v>
      </c>
      <c r="E66" s="10" t="s">
        <v>367</v>
      </c>
      <c r="F66" s="2" t="s">
        <v>314</v>
      </c>
      <c r="G66" s="2"/>
      <c r="H66" s="2"/>
      <c r="I66" s="2" t="s">
        <v>364</v>
      </c>
    </row>
    <row r="67" ht="15.75" hidden="1" customHeight="1">
      <c r="A67" s="9">
        <v>7228757.0</v>
      </c>
      <c r="B67" s="2" t="s">
        <v>368</v>
      </c>
      <c r="C67" s="2" t="s">
        <v>369</v>
      </c>
      <c r="D67" s="2" t="s">
        <v>370</v>
      </c>
      <c r="E67" s="10" t="s">
        <v>371</v>
      </c>
      <c r="F67" s="2" t="s">
        <v>47</v>
      </c>
      <c r="G67" s="2"/>
      <c r="H67" s="2"/>
      <c r="I67" s="2" t="s">
        <v>369</v>
      </c>
    </row>
    <row r="68" ht="15.75" hidden="1" customHeight="1">
      <c r="A68" s="9">
        <v>7229344.0</v>
      </c>
      <c r="B68" s="2" t="s">
        <v>373</v>
      </c>
      <c r="C68" s="2" t="s">
        <v>374</v>
      </c>
      <c r="D68" s="2" t="s">
        <v>376</v>
      </c>
      <c r="E68" s="10" t="s">
        <v>377</v>
      </c>
      <c r="F68" s="2" t="s">
        <v>75</v>
      </c>
      <c r="G68" s="2"/>
      <c r="H68" s="2"/>
      <c r="I68" s="2" t="s">
        <v>374</v>
      </c>
    </row>
    <row r="69" ht="15.75" hidden="1" customHeight="1">
      <c r="A69" s="9">
        <v>7231506.0</v>
      </c>
      <c r="B69" s="2" t="s">
        <v>379</v>
      </c>
      <c r="C69" s="2" t="s">
        <v>381</v>
      </c>
      <c r="D69" s="2" t="s">
        <v>382</v>
      </c>
      <c r="E69" s="10" t="s">
        <v>383</v>
      </c>
      <c r="F69" s="2" t="s">
        <v>231</v>
      </c>
      <c r="G69" s="2"/>
      <c r="H69" s="2"/>
      <c r="I69" s="2" t="s">
        <v>381</v>
      </c>
    </row>
    <row r="70" ht="15.75" hidden="1" customHeight="1">
      <c r="A70" s="9">
        <v>7232128.0</v>
      </c>
      <c r="B70" s="2" t="s">
        <v>385</v>
      </c>
      <c r="C70" s="2" t="s">
        <v>386</v>
      </c>
      <c r="D70" s="2" t="s">
        <v>387</v>
      </c>
      <c r="E70" s="10" t="s">
        <v>388</v>
      </c>
      <c r="F70" s="2" t="s">
        <v>389</v>
      </c>
      <c r="G70" s="2"/>
      <c r="H70" s="2"/>
      <c r="I70" s="2" t="s">
        <v>386</v>
      </c>
    </row>
    <row r="71" ht="15.75" hidden="1" customHeight="1">
      <c r="A71" s="9">
        <v>7232132.0</v>
      </c>
      <c r="B71" s="2" t="s">
        <v>390</v>
      </c>
      <c r="C71" s="2" t="s">
        <v>391</v>
      </c>
      <c r="D71" s="2" t="s">
        <v>393</v>
      </c>
      <c r="E71" s="10" t="s">
        <v>394</v>
      </c>
      <c r="F71" s="2" t="s">
        <v>389</v>
      </c>
      <c r="G71" s="2"/>
      <c r="H71" s="2"/>
      <c r="I71" s="2" t="s">
        <v>391</v>
      </c>
    </row>
    <row r="72" ht="15.75" hidden="1" customHeight="1">
      <c r="A72" s="9">
        <v>7232149.0</v>
      </c>
      <c r="B72" s="2" t="s">
        <v>397</v>
      </c>
      <c r="C72" s="2" t="s">
        <v>398</v>
      </c>
      <c r="D72" s="2" t="s">
        <v>400</v>
      </c>
      <c r="E72" s="10" t="s">
        <v>401</v>
      </c>
      <c r="F72" s="2" t="s">
        <v>389</v>
      </c>
      <c r="G72" s="2"/>
      <c r="H72" s="2"/>
      <c r="I72" s="2" t="s">
        <v>398</v>
      </c>
    </row>
    <row r="73" ht="15.75" customHeight="1">
      <c r="A73" s="9">
        <v>7232209.0</v>
      </c>
      <c r="B73" s="2" t="s">
        <v>403</v>
      </c>
      <c r="C73" s="2" t="s">
        <v>404</v>
      </c>
      <c r="D73" s="2" t="s">
        <v>405</v>
      </c>
      <c r="E73" s="10" t="s">
        <v>406</v>
      </c>
      <c r="F73" s="2" t="s">
        <v>221</v>
      </c>
      <c r="G73" s="2"/>
      <c r="H73" s="2"/>
      <c r="I73" s="2" t="s">
        <v>404</v>
      </c>
    </row>
    <row r="74" ht="15.75" hidden="1" customHeight="1">
      <c r="A74" s="9">
        <v>7232557.0</v>
      </c>
      <c r="B74" s="2" t="s">
        <v>407</v>
      </c>
      <c r="C74" s="2" t="s">
        <v>408</v>
      </c>
      <c r="D74" s="2" t="s">
        <v>409</v>
      </c>
      <c r="E74" s="10" t="s">
        <v>410</v>
      </c>
      <c r="F74" s="2" t="s">
        <v>304</v>
      </c>
      <c r="G74" s="2"/>
      <c r="H74" s="2"/>
      <c r="I74" s="2" t="s">
        <v>408</v>
      </c>
    </row>
    <row r="75" ht="15.75" hidden="1" customHeight="1">
      <c r="A75" s="9">
        <v>7234812.0</v>
      </c>
      <c r="B75" s="2" t="s">
        <v>412</v>
      </c>
      <c r="C75" s="2" t="s">
        <v>413</v>
      </c>
      <c r="D75" s="2" t="s">
        <v>414</v>
      </c>
      <c r="E75" s="10" t="s">
        <v>415</v>
      </c>
      <c r="F75" s="2" t="s">
        <v>30</v>
      </c>
      <c r="G75" s="2"/>
      <c r="H75" s="2"/>
      <c r="I75" s="2" t="s">
        <v>413</v>
      </c>
    </row>
    <row r="76" ht="15.75" hidden="1" customHeight="1">
      <c r="A76" s="9">
        <v>7237476.0</v>
      </c>
      <c r="B76" s="2" t="s">
        <v>418</v>
      </c>
      <c r="C76" s="2" t="s">
        <v>419</v>
      </c>
      <c r="D76" s="2" t="s">
        <v>420</v>
      </c>
      <c r="E76" s="10" t="s">
        <v>421</v>
      </c>
      <c r="F76" s="2" t="s">
        <v>231</v>
      </c>
      <c r="G76" s="2"/>
      <c r="H76" s="2"/>
      <c r="I76" s="2" t="s">
        <v>419</v>
      </c>
    </row>
    <row r="77" ht="15.75" hidden="1" customHeight="1">
      <c r="A77" s="9">
        <v>7237477.0</v>
      </c>
      <c r="B77" s="2" t="s">
        <v>422</v>
      </c>
      <c r="C77" s="2" t="s">
        <v>423</v>
      </c>
      <c r="D77" s="2" t="s">
        <v>424</v>
      </c>
      <c r="E77" s="10" t="s">
        <v>425</v>
      </c>
      <c r="F77" s="2" t="s">
        <v>231</v>
      </c>
      <c r="G77" s="2"/>
      <c r="H77" s="2"/>
      <c r="I77" s="2" t="s">
        <v>423</v>
      </c>
    </row>
    <row r="78" ht="15.75" hidden="1" customHeight="1">
      <c r="A78" s="9">
        <v>7237483.0</v>
      </c>
      <c r="B78" s="2" t="s">
        <v>427</v>
      </c>
      <c r="C78" s="2" t="s">
        <v>428</v>
      </c>
      <c r="D78" s="2" t="s">
        <v>430</v>
      </c>
      <c r="E78" s="10" t="s">
        <v>431</v>
      </c>
      <c r="F78" s="2" t="s">
        <v>81</v>
      </c>
      <c r="G78" s="2"/>
      <c r="H78" s="2"/>
      <c r="I78" s="2" t="s">
        <v>428</v>
      </c>
    </row>
    <row r="79" ht="15.75" hidden="1" customHeight="1">
      <c r="A79" s="9">
        <v>7238212.0</v>
      </c>
      <c r="B79" s="2" t="s">
        <v>434</v>
      </c>
      <c r="C79" s="2" t="s">
        <v>435</v>
      </c>
      <c r="D79" s="2" t="s">
        <v>436</v>
      </c>
      <c r="E79" s="10" t="s">
        <v>437</v>
      </c>
      <c r="F79" s="2" t="s">
        <v>140</v>
      </c>
      <c r="G79" s="2"/>
      <c r="H79" s="2"/>
      <c r="I79" s="2" t="s">
        <v>435</v>
      </c>
    </row>
    <row r="80" ht="15.75" hidden="1" customHeight="1">
      <c r="A80" s="9">
        <v>7238232.0</v>
      </c>
      <c r="B80" s="2" t="s">
        <v>438</v>
      </c>
      <c r="C80" s="2" t="s">
        <v>439</v>
      </c>
      <c r="D80" s="2" t="s">
        <v>440</v>
      </c>
      <c r="E80" s="10" t="s">
        <v>442</v>
      </c>
      <c r="F80" s="2" t="s">
        <v>57</v>
      </c>
      <c r="G80" s="2"/>
      <c r="H80" s="2"/>
      <c r="I80" s="2" t="s">
        <v>439</v>
      </c>
    </row>
    <row r="81" ht="15.75" hidden="1" customHeight="1">
      <c r="A81" s="9">
        <v>7238915.0</v>
      </c>
      <c r="B81" s="2" t="s">
        <v>444</v>
      </c>
      <c r="C81" s="2" t="s">
        <v>445</v>
      </c>
      <c r="D81" s="2" t="s">
        <v>446</v>
      </c>
      <c r="E81" s="10" t="s">
        <v>448</v>
      </c>
      <c r="F81" s="2" t="s">
        <v>57</v>
      </c>
      <c r="G81" s="2"/>
      <c r="H81" s="2"/>
      <c r="I81" s="2" t="s">
        <v>445</v>
      </c>
    </row>
    <row r="82" ht="15.75" hidden="1" customHeight="1">
      <c r="A82" s="9">
        <v>7239097.0</v>
      </c>
      <c r="B82" s="2" t="s">
        <v>450</v>
      </c>
      <c r="C82" s="2" t="s">
        <v>451</v>
      </c>
      <c r="D82" s="2" t="s">
        <v>452</v>
      </c>
      <c r="E82" s="10" t="s">
        <v>453</v>
      </c>
      <c r="F82" s="2" t="s">
        <v>231</v>
      </c>
      <c r="G82" s="2"/>
      <c r="H82" s="2"/>
      <c r="I82" s="2" t="s">
        <v>451</v>
      </c>
    </row>
    <row r="83" ht="15.75" hidden="1" customHeight="1">
      <c r="A83" s="9">
        <v>7239272.0</v>
      </c>
      <c r="B83" s="2" t="s">
        <v>454</v>
      </c>
      <c r="C83" s="2" t="s">
        <v>455</v>
      </c>
      <c r="D83" s="2" t="s">
        <v>456</v>
      </c>
      <c r="E83" s="10" t="s">
        <v>457</v>
      </c>
      <c r="F83" s="2" t="s">
        <v>231</v>
      </c>
      <c r="G83" s="2"/>
      <c r="H83" s="2"/>
      <c r="I83" s="2" t="s">
        <v>455</v>
      </c>
    </row>
    <row r="84" ht="15.75" hidden="1" customHeight="1">
      <c r="A84" s="9">
        <v>7239343.0</v>
      </c>
      <c r="B84" s="2" t="s">
        <v>459</v>
      </c>
      <c r="C84" s="2" t="s">
        <v>460</v>
      </c>
      <c r="D84" s="2" t="s">
        <v>461</v>
      </c>
      <c r="E84" s="10" t="s">
        <v>462</v>
      </c>
      <c r="F84" s="2" t="s">
        <v>231</v>
      </c>
      <c r="G84" s="2"/>
      <c r="H84" s="2"/>
      <c r="I84" s="2" t="s">
        <v>460</v>
      </c>
    </row>
    <row r="85" ht="15.75" hidden="1" customHeight="1">
      <c r="A85" s="9">
        <v>7239484.0</v>
      </c>
      <c r="B85" s="2" t="s">
        <v>465</v>
      </c>
      <c r="C85" s="2" t="s">
        <v>466</v>
      </c>
      <c r="D85" s="2" t="s">
        <v>467</v>
      </c>
      <c r="E85" s="10" t="s">
        <v>468</v>
      </c>
      <c r="F85" s="2" t="s">
        <v>57</v>
      </c>
      <c r="G85" s="2"/>
      <c r="H85" s="2"/>
      <c r="I85" s="2" t="s">
        <v>466</v>
      </c>
    </row>
    <row r="86" ht="15.75" hidden="1" customHeight="1">
      <c r="A86" s="9">
        <v>7239489.0</v>
      </c>
      <c r="B86" s="2" t="s">
        <v>470</v>
      </c>
      <c r="C86" s="2" t="s">
        <v>471</v>
      </c>
      <c r="D86" s="2" t="s">
        <v>472</v>
      </c>
      <c r="E86" s="10" t="s">
        <v>473</v>
      </c>
      <c r="F86" s="2" t="s">
        <v>231</v>
      </c>
      <c r="G86" s="2"/>
      <c r="H86" s="2"/>
      <c r="I86" s="2" t="s">
        <v>471</v>
      </c>
    </row>
    <row r="87" ht="15.75" hidden="1" customHeight="1">
      <c r="A87" s="9">
        <v>7239500.0</v>
      </c>
      <c r="B87" s="2" t="s">
        <v>475</v>
      </c>
      <c r="C87" s="2" t="s">
        <v>476</v>
      </c>
      <c r="D87" s="2" t="s">
        <v>478</v>
      </c>
      <c r="E87" s="10" t="s">
        <v>479</v>
      </c>
      <c r="F87" s="2" t="s">
        <v>231</v>
      </c>
      <c r="G87" s="2"/>
      <c r="H87" s="2"/>
      <c r="I87" s="2" t="s">
        <v>476</v>
      </c>
    </row>
    <row r="88" ht="15.75" hidden="1" customHeight="1">
      <c r="A88" s="9">
        <v>7239881.0</v>
      </c>
      <c r="B88" s="2" t="s">
        <v>481</v>
      </c>
      <c r="C88" s="2" t="s">
        <v>483</v>
      </c>
      <c r="D88" s="2" t="s">
        <v>484</v>
      </c>
      <c r="E88" s="10" t="s">
        <v>485</v>
      </c>
      <c r="F88" s="2" t="s">
        <v>231</v>
      </c>
      <c r="G88" s="2"/>
      <c r="H88" s="2"/>
      <c r="I88" s="2" t="s">
        <v>483</v>
      </c>
    </row>
    <row r="89" ht="15.75" hidden="1" customHeight="1">
      <c r="A89" s="9">
        <v>7241599.0</v>
      </c>
      <c r="B89" s="2" t="s">
        <v>486</v>
      </c>
      <c r="C89" s="2" t="s">
        <v>487</v>
      </c>
      <c r="D89" s="2" t="s">
        <v>488</v>
      </c>
      <c r="E89" s="10" t="s">
        <v>489</v>
      </c>
      <c r="F89" s="2" t="s">
        <v>63</v>
      </c>
      <c r="G89" s="2"/>
      <c r="H89" s="2"/>
      <c r="I89" s="2" t="s">
        <v>487</v>
      </c>
    </row>
    <row r="90" ht="15.75" hidden="1" customHeight="1">
      <c r="A90" s="9">
        <v>7241632.0</v>
      </c>
      <c r="B90" s="2" t="s">
        <v>491</v>
      </c>
      <c r="C90" s="2" t="s">
        <v>492</v>
      </c>
      <c r="D90" s="2" t="s">
        <v>493</v>
      </c>
      <c r="E90" s="10" t="s">
        <v>494</v>
      </c>
      <c r="F90" s="2" t="s">
        <v>57</v>
      </c>
      <c r="G90" s="2"/>
      <c r="H90" s="2"/>
      <c r="I90" s="2" t="s">
        <v>492</v>
      </c>
    </row>
    <row r="91" ht="15.75" hidden="1" customHeight="1">
      <c r="A91" s="9">
        <v>7241740.0</v>
      </c>
      <c r="B91" s="2" t="s">
        <v>497</v>
      </c>
      <c r="C91" s="2" t="s">
        <v>498</v>
      </c>
      <c r="D91" s="2" t="s">
        <v>499</v>
      </c>
      <c r="E91" s="10" t="s">
        <v>500</v>
      </c>
      <c r="F91" s="2" t="s">
        <v>57</v>
      </c>
      <c r="G91" s="2"/>
      <c r="H91" s="2"/>
      <c r="I91" s="2" t="s">
        <v>498</v>
      </c>
    </row>
    <row r="92" ht="15.75" hidden="1" customHeight="1">
      <c r="A92" s="9">
        <v>7241747.0</v>
      </c>
      <c r="B92" s="2" t="s">
        <v>502</v>
      </c>
      <c r="C92" s="2" t="s">
        <v>503</v>
      </c>
      <c r="D92" s="2" t="s">
        <v>504</v>
      </c>
      <c r="E92" s="10" t="s">
        <v>505</v>
      </c>
      <c r="F92" s="2" t="s">
        <v>506</v>
      </c>
      <c r="G92" s="2"/>
      <c r="H92" s="2"/>
      <c r="I92" s="2" t="s">
        <v>503</v>
      </c>
    </row>
    <row r="93" ht="15.75" hidden="1" customHeight="1">
      <c r="A93" s="9">
        <v>7241989.0</v>
      </c>
      <c r="B93" s="2" t="s">
        <v>507</v>
      </c>
      <c r="C93" s="2" t="s">
        <v>508</v>
      </c>
      <c r="D93" s="2" t="s">
        <v>509</v>
      </c>
      <c r="E93" s="10" t="s">
        <v>510</v>
      </c>
      <c r="F93" s="2" t="s">
        <v>512</v>
      </c>
      <c r="G93" s="2"/>
      <c r="H93" s="2"/>
      <c r="I93" s="2" t="s">
        <v>508</v>
      </c>
    </row>
    <row r="94" ht="15.75" hidden="1" customHeight="1">
      <c r="A94" s="9">
        <v>7242016.0</v>
      </c>
      <c r="B94" s="2" t="s">
        <v>514</v>
      </c>
      <c r="C94" s="2" t="s">
        <v>515</v>
      </c>
      <c r="D94" s="2" t="s">
        <v>516</v>
      </c>
      <c r="E94" s="10" t="s">
        <v>517</v>
      </c>
      <c r="F94" s="2" t="s">
        <v>57</v>
      </c>
      <c r="G94" s="2"/>
      <c r="H94" s="2"/>
      <c r="I94" s="2" t="s">
        <v>515</v>
      </c>
    </row>
    <row r="95" ht="15.75" hidden="1" customHeight="1">
      <c r="A95" s="9">
        <v>7242098.0</v>
      </c>
      <c r="B95" s="2" t="s">
        <v>520</v>
      </c>
      <c r="C95" s="2" t="s">
        <v>521</v>
      </c>
      <c r="D95" s="2" t="s">
        <v>520</v>
      </c>
      <c r="E95" s="10" t="s">
        <v>522</v>
      </c>
      <c r="F95" s="2" t="s">
        <v>523</v>
      </c>
      <c r="G95" s="2"/>
      <c r="H95" s="2"/>
      <c r="I95" s="2" t="s">
        <v>521</v>
      </c>
    </row>
    <row r="96" ht="15.75" hidden="1" customHeight="1">
      <c r="A96" s="9">
        <v>7243105.0</v>
      </c>
      <c r="B96" s="2" t="s">
        <v>525</v>
      </c>
      <c r="C96" s="2" t="s">
        <v>527</v>
      </c>
      <c r="D96" s="2" t="s">
        <v>528</v>
      </c>
      <c r="E96" s="10" t="s">
        <v>530</v>
      </c>
      <c r="F96" s="2" t="s">
        <v>57</v>
      </c>
      <c r="G96" s="2"/>
      <c r="H96" s="2"/>
      <c r="I96" s="2" t="s">
        <v>527</v>
      </c>
    </row>
    <row r="97" ht="15.75" hidden="1" customHeight="1">
      <c r="A97" s="9">
        <v>7243306.0</v>
      </c>
      <c r="B97" s="2" t="s">
        <v>532</v>
      </c>
      <c r="C97" s="2" t="s">
        <v>533</v>
      </c>
      <c r="D97" s="2" t="s">
        <v>534</v>
      </c>
      <c r="E97" s="10" t="s">
        <v>535</v>
      </c>
      <c r="F97" s="2" t="s">
        <v>17</v>
      </c>
      <c r="G97" s="2"/>
      <c r="H97" s="2"/>
      <c r="I97" s="2" t="s">
        <v>533</v>
      </c>
    </row>
    <row r="98" ht="15.75" customHeight="1">
      <c r="A98" s="9">
        <v>7243464.0</v>
      </c>
      <c r="B98" s="2" t="s">
        <v>538</v>
      </c>
      <c r="C98" s="2" t="s">
        <v>539</v>
      </c>
      <c r="D98" s="2" t="s">
        <v>540</v>
      </c>
      <c r="E98" s="10" t="s">
        <v>542</v>
      </c>
      <c r="F98" s="2" t="s">
        <v>227</v>
      </c>
      <c r="G98" s="2"/>
      <c r="H98" s="2"/>
      <c r="I98" s="2" t="s">
        <v>539</v>
      </c>
    </row>
    <row r="99" ht="15.75" hidden="1" customHeight="1">
      <c r="A99" s="9">
        <v>7243556.0</v>
      </c>
      <c r="B99" s="2" t="s">
        <v>545</v>
      </c>
      <c r="C99" s="2" t="s">
        <v>546</v>
      </c>
      <c r="D99" s="2" t="s">
        <v>547</v>
      </c>
      <c r="E99" s="10" t="s">
        <v>548</v>
      </c>
      <c r="F99" s="2" t="s">
        <v>314</v>
      </c>
      <c r="G99" s="2"/>
      <c r="H99" s="2"/>
      <c r="I99" s="2" t="s">
        <v>546</v>
      </c>
    </row>
    <row r="100" ht="15.75" hidden="1" customHeight="1">
      <c r="A100" s="9">
        <v>7244560.0</v>
      </c>
      <c r="B100" s="2" t="s">
        <v>549</v>
      </c>
      <c r="C100" s="2" t="s">
        <v>550</v>
      </c>
      <c r="D100" s="2" t="s">
        <v>551</v>
      </c>
      <c r="E100" s="10" t="s">
        <v>552</v>
      </c>
      <c r="F100" s="2" t="s">
        <v>37</v>
      </c>
      <c r="G100" s="2"/>
      <c r="H100" s="2"/>
      <c r="I100" s="2" t="s">
        <v>550</v>
      </c>
    </row>
    <row r="101" ht="15.75" hidden="1" customHeight="1">
      <c r="A101" s="9">
        <v>7245547.0</v>
      </c>
      <c r="B101" s="2" t="s">
        <v>554</v>
      </c>
      <c r="C101" s="2" t="s">
        <v>556</v>
      </c>
      <c r="D101" s="2" t="s">
        <v>557</v>
      </c>
      <c r="E101" s="10" t="s">
        <v>558</v>
      </c>
      <c r="F101" s="2" t="s">
        <v>559</v>
      </c>
      <c r="G101" s="2"/>
      <c r="H101" s="2"/>
      <c r="I101" s="2" t="s">
        <v>556</v>
      </c>
    </row>
    <row r="102" ht="15.75" hidden="1" customHeight="1">
      <c r="A102" s="9">
        <v>7245562.0</v>
      </c>
      <c r="B102" s="2" t="s">
        <v>562</v>
      </c>
      <c r="C102" s="2" t="s">
        <v>563</v>
      </c>
      <c r="D102" s="2" t="s">
        <v>564</v>
      </c>
      <c r="E102" s="10" t="s">
        <v>565</v>
      </c>
      <c r="F102" s="2" t="s">
        <v>57</v>
      </c>
      <c r="G102" s="2"/>
      <c r="H102" s="2"/>
      <c r="I102" s="2" t="s">
        <v>563</v>
      </c>
    </row>
    <row r="103" ht="15.75" hidden="1" customHeight="1">
      <c r="A103" s="9">
        <v>7245564.0</v>
      </c>
      <c r="B103" s="2" t="s">
        <v>566</v>
      </c>
      <c r="C103" s="2" t="s">
        <v>567</v>
      </c>
      <c r="D103" s="2" t="s">
        <v>568</v>
      </c>
      <c r="E103" s="10" t="s">
        <v>569</v>
      </c>
      <c r="F103" s="2" t="s">
        <v>57</v>
      </c>
      <c r="G103" s="2"/>
      <c r="H103" s="2"/>
      <c r="I103" s="2" t="s">
        <v>567</v>
      </c>
    </row>
    <row r="104" ht="15.75" hidden="1" customHeight="1">
      <c r="A104" s="9">
        <v>7245757.0</v>
      </c>
      <c r="B104" s="2" t="s">
        <v>571</v>
      </c>
      <c r="C104" s="2" t="s">
        <v>572</v>
      </c>
      <c r="D104" s="2" t="s">
        <v>573</v>
      </c>
      <c r="E104" s="10" t="s">
        <v>574</v>
      </c>
      <c r="F104" s="2" t="s">
        <v>81</v>
      </c>
      <c r="G104" s="2"/>
      <c r="H104" s="2"/>
      <c r="I104" s="2" t="s">
        <v>572</v>
      </c>
    </row>
    <row r="105" ht="15.75" hidden="1" customHeight="1">
      <c r="A105" s="9">
        <v>7245772.0</v>
      </c>
      <c r="B105" s="2" t="s">
        <v>577</v>
      </c>
      <c r="C105" s="2" t="s">
        <v>578</v>
      </c>
      <c r="D105" s="2" t="s">
        <v>579</v>
      </c>
      <c r="E105" s="10" t="s">
        <v>581</v>
      </c>
      <c r="F105" s="2" t="s">
        <v>57</v>
      </c>
      <c r="G105" s="2"/>
      <c r="H105" s="2"/>
      <c r="I105" s="2" t="s">
        <v>578</v>
      </c>
    </row>
    <row r="106" ht="15.75" hidden="1" customHeight="1">
      <c r="A106" s="9">
        <v>7245922.0</v>
      </c>
      <c r="B106" s="2" t="s">
        <v>583</v>
      </c>
      <c r="C106" s="2" t="s">
        <v>584</v>
      </c>
      <c r="D106" s="2" t="s">
        <v>585</v>
      </c>
      <c r="E106" s="10" t="s">
        <v>586</v>
      </c>
      <c r="F106" s="2" t="s">
        <v>57</v>
      </c>
      <c r="G106" s="2"/>
      <c r="H106" s="2"/>
      <c r="I106" s="2" t="s">
        <v>584</v>
      </c>
    </row>
    <row r="107" ht="15.75" hidden="1" customHeight="1">
      <c r="A107" s="9">
        <v>7246192.0</v>
      </c>
      <c r="B107" s="2" t="s">
        <v>588</v>
      </c>
      <c r="C107" s="2" t="s">
        <v>590</v>
      </c>
      <c r="D107" s="2" t="s">
        <v>591</v>
      </c>
      <c r="E107" s="10" t="s">
        <v>592</v>
      </c>
      <c r="F107" s="2" t="s">
        <v>81</v>
      </c>
      <c r="G107" s="2"/>
      <c r="H107" s="2"/>
      <c r="I107" s="2" t="s">
        <v>590</v>
      </c>
    </row>
    <row r="108" ht="15.75" hidden="1" customHeight="1">
      <c r="A108" s="9">
        <v>7246202.0</v>
      </c>
      <c r="B108" s="2" t="s">
        <v>595</v>
      </c>
      <c r="C108" s="2" t="s">
        <v>597</v>
      </c>
      <c r="D108" s="2" t="s">
        <v>598</v>
      </c>
      <c r="E108" s="10" t="s">
        <v>599</v>
      </c>
      <c r="F108" s="2" t="s">
        <v>524</v>
      </c>
      <c r="G108" s="2"/>
      <c r="H108" s="2"/>
      <c r="I108" s="2" t="s">
        <v>597</v>
      </c>
    </row>
    <row r="109" ht="15.75" hidden="1" customHeight="1">
      <c r="A109" s="9">
        <v>7247355.0</v>
      </c>
      <c r="B109" s="2" t="s">
        <v>520</v>
      </c>
      <c r="C109" s="2" t="s">
        <v>600</v>
      </c>
      <c r="D109" s="2" t="s">
        <v>520</v>
      </c>
      <c r="E109" s="10" t="s">
        <v>603</v>
      </c>
      <c r="F109" s="2" t="s">
        <v>604</v>
      </c>
      <c r="G109" s="2"/>
      <c r="H109" s="2"/>
      <c r="I109" s="2" t="s">
        <v>600</v>
      </c>
    </row>
    <row r="110" ht="15.75" customHeight="1">
      <c r="A110" s="9">
        <v>7247431.0</v>
      </c>
      <c r="B110" s="2" t="s">
        <v>607</v>
      </c>
      <c r="C110" s="2" t="s">
        <v>608</v>
      </c>
      <c r="D110" s="2" t="s">
        <v>609</v>
      </c>
      <c r="E110" s="10" t="s">
        <v>610</v>
      </c>
      <c r="F110" s="2" t="s">
        <v>219</v>
      </c>
      <c r="G110" s="2"/>
      <c r="H110" s="2"/>
      <c r="I110" s="2" t="s">
        <v>608</v>
      </c>
    </row>
    <row r="111" ht="15.75" hidden="1" customHeight="1">
      <c r="A111" s="9">
        <v>7247553.0</v>
      </c>
      <c r="B111" s="2" t="s">
        <v>613</v>
      </c>
      <c r="C111" s="2" t="s">
        <v>614</v>
      </c>
      <c r="D111" s="2" t="s">
        <v>615</v>
      </c>
      <c r="E111" s="10" t="s">
        <v>616</v>
      </c>
      <c r="F111" s="2" t="s">
        <v>37</v>
      </c>
      <c r="G111" s="2"/>
      <c r="H111" s="2"/>
      <c r="I111" s="2" t="s">
        <v>614</v>
      </c>
    </row>
    <row r="112" ht="15.75" hidden="1" customHeight="1">
      <c r="A112" s="9">
        <v>7247883.0</v>
      </c>
      <c r="B112" s="2" t="s">
        <v>618</v>
      </c>
      <c r="C112" s="2" t="s">
        <v>619</v>
      </c>
      <c r="D112" s="2" t="s">
        <v>620</v>
      </c>
      <c r="E112" s="10" t="s">
        <v>621</v>
      </c>
      <c r="F112" s="2" t="s">
        <v>231</v>
      </c>
      <c r="G112" s="2"/>
      <c r="H112" s="2"/>
      <c r="I112" s="2" t="s">
        <v>619</v>
      </c>
    </row>
    <row r="113" ht="15.75" customHeight="1">
      <c r="A113" s="9">
        <v>7248692.0</v>
      </c>
      <c r="B113" s="2" t="s">
        <v>624</v>
      </c>
      <c r="C113" s="2" t="s">
        <v>625</v>
      </c>
      <c r="D113" s="2" t="s">
        <v>626</v>
      </c>
      <c r="E113" s="10" t="s">
        <v>628</v>
      </c>
      <c r="F113" s="2" t="s">
        <v>282</v>
      </c>
      <c r="G113" s="2"/>
      <c r="H113" s="2"/>
      <c r="I113" s="2" t="s">
        <v>625</v>
      </c>
    </row>
    <row r="114" ht="15.75" hidden="1" customHeight="1">
      <c r="A114" s="9">
        <v>7250978.0</v>
      </c>
      <c r="B114" s="2" t="s">
        <v>630</v>
      </c>
      <c r="C114" s="2" t="s">
        <v>632</v>
      </c>
      <c r="D114" s="2" t="s">
        <v>633</v>
      </c>
      <c r="E114" s="5" t="s">
        <v>634</v>
      </c>
      <c r="F114" s="2" t="s">
        <v>634</v>
      </c>
      <c r="G114" s="2"/>
      <c r="H114" s="2"/>
      <c r="I114" s="2" t="s">
        <v>632</v>
      </c>
    </row>
    <row r="115" ht="15.75" hidden="1" customHeight="1">
      <c r="A115" s="9">
        <v>7252890.0</v>
      </c>
      <c r="B115" s="2" t="s">
        <v>636</v>
      </c>
      <c r="C115" s="2" t="s">
        <v>637</v>
      </c>
      <c r="D115" s="2" t="s">
        <v>638</v>
      </c>
      <c r="E115" s="10" t="s">
        <v>639</v>
      </c>
      <c r="F115" s="2" t="s">
        <v>57</v>
      </c>
      <c r="G115" s="2"/>
      <c r="H115" s="2"/>
      <c r="I115" s="2" t="s">
        <v>637</v>
      </c>
    </row>
    <row r="116" ht="15.75" hidden="1" customHeight="1">
      <c r="A116" s="9">
        <v>7253559.0</v>
      </c>
      <c r="B116" s="2" t="s">
        <v>641</v>
      </c>
      <c r="C116" s="2" t="s">
        <v>642</v>
      </c>
      <c r="D116" s="2" t="s">
        <v>643</v>
      </c>
      <c r="E116" s="10" t="s">
        <v>644</v>
      </c>
      <c r="F116" s="2" t="s">
        <v>22</v>
      </c>
      <c r="G116" s="2"/>
      <c r="H116" s="2"/>
      <c r="I116" s="2" t="s">
        <v>642</v>
      </c>
    </row>
    <row r="117" ht="15.75" hidden="1" customHeight="1">
      <c r="A117" s="9">
        <v>7255023.0</v>
      </c>
      <c r="B117" s="2" t="s">
        <v>646</v>
      </c>
      <c r="C117" s="2" t="s">
        <v>647</v>
      </c>
      <c r="D117" s="2" t="s">
        <v>649</v>
      </c>
      <c r="E117" s="10" t="s">
        <v>650</v>
      </c>
      <c r="F117" s="2" t="s">
        <v>265</v>
      </c>
      <c r="G117" s="2"/>
      <c r="H117" s="2"/>
      <c r="I117" s="2" t="s">
        <v>647</v>
      </c>
    </row>
    <row r="118" ht="15.75" customHeight="1">
      <c r="A118" s="9">
        <v>7257627.0</v>
      </c>
      <c r="B118" s="2" t="s">
        <v>653</v>
      </c>
      <c r="C118" s="2" t="s">
        <v>654</v>
      </c>
      <c r="D118" s="2" t="s">
        <v>656</v>
      </c>
      <c r="E118" s="10" t="s">
        <v>657</v>
      </c>
      <c r="F118" s="2" t="s">
        <v>221</v>
      </c>
      <c r="G118" s="2"/>
      <c r="H118" s="2"/>
      <c r="I118" s="2" t="s">
        <v>654</v>
      </c>
    </row>
    <row r="119" ht="15.75" hidden="1" customHeight="1">
      <c r="A119" s="9">
        <v>7257808.0</v>
      </c>
      <c r="B119" s="2" t="s">
        <v>356</v>
      </c>
      <c r="C119" s="2" t="s">
        <v>658</v>
      </c>
      <c r="D119" s="2" t="s">
        <v>354</v>
      </c>
      <c r="E119" s="10" t="s">
        <v>359</v>
      </c>
      <c r="F119" s="2" t="s">
        <v>365</v>
      </c>
      <c r="G119" s="2"/>
      <c r="H119" s="2"/>
      <c r="I119" s="2" t="s">
        <v>658</v>
      </c>
    </row>
    <row r="120" ht="15.75" hidden="1" customHeight="1">
      <c r="A120" s="9">
        <v>7257861.0</v>
      </c>
      <c r="B120" s="2" t="s">
        <v>660</v>
      </c>
      <c r="C120" s="2" t="s">
        <v>662</v>
      </c>
      <c r="D120" s="2" t="s">
        <v>663</v>
      </c>
      <c r="E120" s="10" t="s">
        <v>664</v>
      </c>
      <c r="F120" s="2" t="s">
        <v>604</v>
      </c>
      <c r="G120" s="2"/>
      <c r="H120" s="2"/>
      <c r="I120" s="2" t="s">
        <v>662</v>
      </c>
    </row>
    <row r="121" ht="15.75" customHeight="1">
      <c r="A121" s="9">
        <v>7257882.0</v>
      </c>
      <c r="B121" s="2" t="s">
        <v>667</v>
      </c>
      <c r="C121" s="2" t="s">
        <v>668</v>
      </c>
      <c r="D121" s="2" t="s">
        <v>669</v>
      </c>
      <c r="E121" s="10" t="s">
        <v>670</v>
      </c>
      <c r="F121" s="2" t="s">
        <v>68</v>
      </c>
      <c r="G121" s="2"/>
      <c r="H121" s="2"/>
      <c r="I121" s="2" t="s">
        <v>668</v>
      </c>
    </row>
    <row r="122" ht="15.75" hidden="1" customHeight="1">
      <c r="A122" s="9">
        <v>7258696.0</v>
      </c>
      <c r="B122" s="2" t="s">
        <v>673</v>
      </c>
      <c r="C122" s="2" t="s">
        <v>674</v>
      </c>
      <c r="D122" s="2" t="s">
        <v>675</v>
      </c>
      <c r="E122" s="10" t="s">
        <v>676</v>
      </c>
      <c r="F122" s="2" t="s">
        <v>559</v>
      </c>
      <c r="G122" s="2"/>
      <c r="H122" s="2"/>
      <c r="I122" s="2" t="s">
        <v>674</v>
      </c>
    </row>
    <row r="123" ht="15.75" hidden="1" customHeight="1">
      <c r="A123" s="9">
        <v>7261112.0</v>
      </c>
      <c r="B123" s="2" t="s">
        <v>678</v>
      </c>
      <c r="C123" s="2" t="s">
        <v>679</v>
      </c>
      <c r="D123" s="2" t="s">
        <v>680</v>
      </c>
      <c r="E123" s="10" t="s">
        <v>681</v>
      </c>
      <c r="F123" s="2" t="s">
        <v>106</v>
      </c>
      <c r="G123" s="2"/>
      <c r="H123" s="2"/>
      <c r="I123" s="2" t="s">
        <v>679</v>
      </c>
    </row>
    <row r="124" ht="15.75" hidden="1" customHeight="1">
      <c r="A124" s="9">
        <v>7261228.0</v>
      </c>
      <c r="B124" s="2" t="s">
        <v>683</v>
      </c>
      <c r="C124" s="2" t="s">
        <v>684</v>
      </c>
      <c r="D124" s="2" t="s">
        <v>686</v>
      </c>
      <c r="E124" s="10" t="s">
        <v>688</v>
      </c>
      <c r="F124" s="2" t="s">
        <v>689</v>
      </c>
      <c r="G124" s="2"/>
      <c r="H124" s="2"/>
      <c r="I124" s="2" t="s">
        <v>684</v>
      </c>
    </row>
    <row r="125" ht="15.75" hidden="1" customHeight="1">
      <c r="A125" s="9">
        <v>7261810.0</v>
      </c>
      <c r="B125" s="2" t="s">
        <v>692</v>
      </c>
      <c r="C125" s="2" t="s">
        <v>693</v>
      </c>
      <c r="D125" s="2" t="s">
        <v>694</v>
      </c>
      <c r="E125" s="10" t="s">
        <v>695</v>
      </c>
      <c r="F125" s="2" t="s">
        <v>231</v>
      </c>
      <c r="G125" s="2"/>
      <c r="H125" s="2"/>
      <c r="I125" s="2" t="s">
        <v>693</v>
      </c>
    </row>
    <row r="126" ht="15.75" hidden="1" customHeight="1">
      <c r="A126" s="9">
        <v>7261923.0</v>
      </c>
      <c r="B126" s="2" t="s">
        <v>696</v>
      </c>
      <c r="C126" s="2" t="s">
        <v>698</v>
      </c>
      <c r="D126" s="2" t="s">
        <v>699</v>
      </c>
      <c r="E126" s="10" t="s">
        <v>700</v>
      </c>
      <c r="F126" s="2" t="s">
        <v>469</v>
      </c>
      <c r="G126" s="2"/>
      <c r="H126" s="2"/>
      <c r="I126" s="2" t="s">
        <v>698</v>
      </c>
    </row>
    <row r="127" ht="15.75" hidden="1" customHeight="1">
      <c r="A127" s="9">
        <v>7262290.0</v>
      </c>
      <c r="B127" s="2" t="s">
        <v>703</v>
      </c>
      <c r="C127" s="2" t="s">
        <v>704</v>
      </c>
      <c r="D127" s="2" t="s">
        <v>705</v>
      </c>
      <c r="E127" s="10" t="s">
        <v>707</v>
      </c>
      <c r="F127" s="2" t="s">
        <v>231</v>
      </c>
      <c r="G127" s="2"/>
      <c r="H127" s="2"/>
      <c r="I127" s="2" t="s">
        <v>704</v>
      </c>
    </row>
    <row r="128" ht="15.75" hidden="1" customHeight="1">
      <c r="A128" s="9">
        <v>7262294.0</v>
      </c>
      <c r="B128" s="2" t="s">
        <v>711</v>
      </c>
      <c r="C128" s="2" t="s">
        <v>712</v>
      </c>
      <c r="D128" s="2" t="s">
        <v>713</v>
      </c>
      <c r="E128" s="10" t="s">
        <v>714</v>
      </c>
      <c r="F128" s="2" t="s">
        <v>231</v>
      </c>
      <c r="G128" s="2"/>
      <c r="H128" s="2"/>
      <c r="I128" s="2" t="s">
        <v>712</v>
      </c>
    </row>
    <row r="129" ht="15.75" hidden="1" customHeight="1">
      <c r="A129" s="9">
        <v>7262295.0</v>
      </c>
      <c r="B129" s="2" t="s">
        <v>716</v>
      </c>
      <c r="C129" s="2" t="s">
        <v>717</v>
      </c>
      <c r="D129" s="2" t="s">
        <v>719</v>
      </c>
      <c r="E129" s="10" t="s">
        <v>720</v>
      </c>
      <c r="F129" s="2" t="s">
        <v>106</v>
      </c>
      <c r="G129" s="2"/>
      <c r="H129" s="2"/>
      <c r="I129" s="2" t="s">
        <v>717</v>
      </c>
    </row>
    <row r="130" ht="15.75" hidden="1" customHeight="1">
      <c r="A130" s="9">
        <v>7262296.0</v>
      </c>
      <c r="B130" s="2" t="s">
        <v>723</v>
      </c>
      <c r="C130" s="2" t="s">
        <v>724</v>
      </c>
      <c r="D130" s="2" t="s">
        <v>726</v>
      </c>
      <c r="E130" s="10" t="s">
        <v>727</v>
      </c>
      <c r="F130" s="2" t="s">
        <v>57</v>
      </c>
      <c r="G130" s="2"/>
      <c r="H130" s="2"/>
      <c r="I130" s="2" t="s">
        <v>724</v>
      </c>
    </row>
    <row r="131" ht="15.75" hidden="1" customHeight="1">
      <c r="A131" s="9">
        <v>7262298.0</v>
      </c>
      <c r="B131" s="2" t="s">
        <v>730</v>
      </c>
      <c r="C131" s="2" t="s">
        <v>732</v>
      </c>
      <c r="D131" s="2" t="s">
        <v>733</v>
      </c>
      <c r="E131" s="10" t="s">
        <v>734</v>
      </c>
      <c r="F131" s="2" t="s">
        <v>81</v>
      </c>
      <c r="G131" s="2"/>
      <c r="H131" s="2"/>
      <c r="I131" s="2" t="s">
        <v>732</v>
      </c>
    </row>
    <row r="132" ht="15.75" customHeight="1">
      <c r="A132" s="9">
        <v>7262818.0</v>
      </c>
      <c r="B132" s="2" t="s">
        <v>736</v>
      </c>
      <c r="C132" s="2" t="s">
        <v>738</v>
      </c>
      <c r="D132" s="2" t="s">
        <v>739</v>
      </c>
      <c r="E132" s="10" t="s">
        <v>740</v>
      </c>
      <c r="F132" s="2" t="s">
        <v>543</v>
      </c>
      <c r="G132" s="2"/>
      <c r="H132" s="2"/>
      <c r="I132" s="2" t="s">
        <v>738</v>
      </c>
    </row>
    <row r="133" ht="15.75" customHeight="1">
      <c r="A133" s="9">
        <v>7262879.0</v>
      </c>
      <c r="B133" s="2" t="s">
        <v>742</v>
      </c>
      <c r="C133" s="2" t="s">
        <v>743</v>
      </c>
      <c r="D133" s="2" t="s">
        <v>745</v>
      </c>
      <c r="E133" s="10" t="s">
        <v>746</v>
      </c>
      <c r="F133" s="2" t="s">
        <v>543</v>
      </c>
      <c r="G133" s="2"/>
      <c r="H133" s="2"/>
      <c r="I133" s="2" t="s">
        <v>743</v>
      </c>
    </row>
    <row r="134" ht="15.75" hidden="1" customHeight="1">
      <c r="A134" s="9">
        <v>7263617.0</v>
      </c>
      <c r="B134" s="2" t="s">
        <v>750</v>
      </c>
      <c r="C134" s="2" t="s">
        <v>751</v>
      </c>
      <c r="D134" s="2" t="s">
        <v>754</v>
      </c>
      <c r="E134" s="10" t="s">
        <v>755</v>
      </c>
      <c r="F134" s="2" t="s">
        <v>756</v>
      </c>
      <c r="G134" s="2"/>
      <c r="H134" s="2"/>
      <c r="I134" s="2" t="s">
        <v>751</v>
      </c>
    </row>
    <row r="135" ht="15.75" hidden="1" customHeight="1">
      <c r="A135" s="9">
        <v>7264434.0</v>
      </c>
      <c r="B135" s="2" t="s">
        <v>757</v>
      </c>
      <c r="C135" s="2" t="s">
        <v>760</v>
      </c>
      <c r="D135" s="2" t="s">
        <v>761</v>
      </c>
      <c r="E135" s="10" t="s">
        <v>762</v>
      </c>
      <c r="F135" s="2" t="s">
        <v>42</v>
      </c>
      <c r="G135" s="2"/>
      <c r="H135" s="2"/>
      <c r="I135" s="2" t="s">
        <v>760</v>
      </c>
    </row>
    <row r="136" ht="15.75" hidden="1" customHeight="1">
      <c r="A136" s="9">
        <v>7264832.0</v>
      </c>
      <c r="B136" s="2" t="s">
        <v>763</v>
      </c>
      <c r="C136" s="2" t="s">
        <v>765</v>
      </c>
      <c r="D136" s="2" t="s">
        <v>766</v>
      </c>
      <c r="E136" s="10" t="s">
        <v>767</v>
      </c>
      <c r="F136" s="2" t="s">
        <v>57</v>
      </c>
      <c r="G136" s="2"/>
      <c r="H136" s="2"/>
      <c r="I136" s="2" t="s">
        <v>765</v>
      </c>
    </row>
    <row r="137" ht="15.75" hidden="1" customHeight="1">
      <c r="A137" s="9">
        <v>7264848.0</v>
      </c>
      <c r="B137" s="2" t="s">
        <v>770</v>
      </c>
      <c r="C137" s="2" t="s">
        <v>772</v>
      </c>
      <c r="D137" s="2" t="s">
        <v>773</v>
      </c>
      <c r="E137" s="10" t="s">
        <v>774</v>
      </c>
      <c r="F137" s="2" t="s">
        <v>106</v>
      </c>
      <c r="G137" s="2"/>
      <c r="H137" s="2"/>
      <c r="I137" s="2" t="s">
        <v>772</v>
      </c>
    </row>
    <row r="138" ht="15.75" hidden="1" customHeight="1">
      <c r="A138" s="9">
        <v>7265043.0</v>
      </c>
      <c r="B138" s="2" t="s">
        <v>776</v>
      </c>
      <c r="C138" s="2" t="s">
        <v>777</v>
      </c>
      <c r="D138" s="2" t="s">
        <v>779</v>
      </c>
      <c r="E138" s="10" t="s">
        <v>780</v>
      </c>
      <c r="F138" s="2" t="s">
        <v>782</v>
      </c>
      <c r="G138" s="2"/>
      <c r="H138" s="2"/>
      <c r="I138" s="2" t="s">
        <v>777</v>
      </c>
    </row>
    <row r="139" ht="15.75" hidden="1" customHeight="1">
      <c r="A139" s="9">
        <v>7265859.0</v>
      </c>
      <c r="B139" s="2" t="s">
        <v>784</v>
      </c>
      <c r="C139" s="2" t="s">
        <v>785</v>
      </c>
      <c r="D139" s="2" t="s">
        <v>787</v>
      </c>
      <c r="E139" s="10" t="s">
        <v>789</v>
      </c>
      <c r="F139" s="2" t="s">
        <v>52</v>
      </c>
      <c r="G139" s="2"/>
      <c r="H139" s="2"/>
      <c r="I139" s="2" t="s">
        <v>785</v>
      </c>
    </row>
    <row r="140" ht="15.75" hidden="1" customHeight="1">
      <c r="A140" s="9">
        <v>7265860.0</v>
      </c>
      <c r="B140" s="2" t="s">
        <v>793</v>
      </c>
      <c r="C140" s="2" t="s">
        <v>794</v>
      </c>
      <c r="D140" s="2" t="s">
        <v>795</v>
      </c>
      <c r="E140" s="10" t="s">
        <v>797</v>
      </c>
      <c r="F140" s="2" t="s">
        <v>52</v>
      </c>
      <c r="G140" s="2"/>
      <c r="H140" s="2"/>
      <c r="I140" s="2" t="s">
        <v>794</v>
      </c>
    </row>
    <row r="141" ht="15.75" hidden="1" customHeight="1">
      <c r="A141" s="9">
        <v>7265861.0</v>
      </c>
      <c r="B141" s="2" t="s">
        <v>798</v>
      </c>
      <c r="C141" s="2" t="s">
        <v>800</v>
      </c>
      <c r="D141" s="2" t="s">
        <v>801</v>
      </c>
      <c r="E141" s="10" t="s">
        <v>804</v>
      </c>
      <c r="F141" s="2" t="s">
        <v>52</v>
      </c>
      <c r="G141" s="2"/>
      <c r="H141" s="2"/>
      <c r="I141" s="2" t="s">
        <v>800</v>
      </c>
    </row>
    <row r="142" ht="15.75" hidden="1" customHeight="1">
      <c r="A142" s="9">
        <v>7265862.0</v>
      </c>
      <c r="B142" s="2" t="s">
        <v>806</v>
      </c>
      <c r="C142" s="2" t="s">
        <v>807</v>
      </c>
      <c r="D142" s="2" t="s">
        <v>808</v>
      </c>
      <c r="E142" s="10" t="s">
        <v>810</v>
      </c>
      <c r="F142" s="2" t="s">
        <v>52</v>
      </c>
      <c r="G142" s="2"/>
      <c r="H142" s="2"/>
      <c r="I142" s="2" t="s">
        <v>807</v>
      </c>
    </row>
    <row r="143" ht="15.75" hidden="1" customHeight="1">
      <c r="A143" s="9">
        <v>7265863.0</v>
      </c>
      <c r="B143" s="2" t="s">
        <v>814</v>
      </c>
      <c r="C143" s="2" t="s">
        <v>815</v>
      </c>
      <c r="D143" s="2" t="s">
        <v>816</v>
      </c>
      <c r="E143" s="10" t="s">
        <v>817</v>
      </c>
      <c r="F143" s="2" t="s">
        <v>52</v>
      </c>
      <c r="G143" s="2"/>
      <c r="H143" s="2"/>
      <c r="I143" s="2" t="s">
        <v>815</v>
      </c>
    </row>
    <row r="144" ht="15.75" hidden="1" customHeight="1">
      <c r="A144" s="9">
        <v>7265864.0</v>
      </c>
      <c r="B144" s="2" t="s">
        <v>819</v>
      </c>
      <c r="C144" s="2" t="s">
        <v>820</v>
      </c>
      <c r="D144" s="2" t="s">
        <v>821</v>
      </c>
      <c r="E144" s="10" t="s">
        <v>822</v>
      </c>
      <c r="F144" s="2" t="s">
        <v>52</v>
      </c>
      <c r="G144" s="2"/>
      <c r="H144" s="2"/>
      <c r="I144" s="2" t="s">
        <v>820</v>
      </c>
    </row>
    <row r="145" ht="15.75" hidden="1" customHeight="1">
      <c r="A145" s="9">
        <v>7265865.0</v>
      </c>
      <c r="B145" s="2" t="s">
        <v>823</v>
      </c>
      <c r="C145" s="2" t="s">
        <v>825</v>
      </c>
      <c r="D145" s="2" t="s">
        <v>827</v>
      </c>
      <c r="E145" s="10" t="s">
        <v>828</v>
      </c>
      <c r="F145" s="2" t="s">
        <v>52</v>
      </c>
      <c r="G145" s="2"/>
      <c r="H145" s="2"/>
      <c r="I145" s="2" t="s">
        <v>825</v>
      </c>
    </row>
    <row r="146" ht="15.75" hidden="1" customHeight="1">
      <c r="A146" s="9">
        <v>7265866.0</v>
      </c>
      <c r="B146" s="2" t="s">
        <v>829</v>
      </c>
      <c r="C146" s="2" t="s">
        <v>831</v>
      </c>
      <c r="D146" s="2" t="s">
        <v>426</v>
      </c>
      <c r="E146" s="10" t="s">
        <v>432</v>
      </c>
      <c r="F146" s="2" t="s">
        <v>52</v>
      </c>
      <c r="G146" s="2"/>
      <c r="H146" s="2"/>
      <c r="I146" s="2" t="s">
        <v>831</v>
      </c>
    </row>
    <row r="147" ht="15.75" hidden="1" customHeight="1">
      <c r="A147" s="9">
        <v>7265867.0</v>
      </c>
      <c r="B147" s="2" t="s">
        <v>836</v>
      </c>
      <c r="C147" s="2" t="s">
        <v>837</v>
      </c>
      <c r="D147" s="2" t="s">
        <v>838</v>
      </c>
      <c r="E147" s="10" t="s">
        <v>839</v>
      </c>
      <c r="F147" s="2" t="s">
        <v>52</v>
      </c>
      <c r="G147" s="2"/>
      <c r="H147" s="2"/>
      <c r="I147" s="2" t="s">
        <v>837</v>
      </c>
    </row>
    <row r="148" ht="15.75" hidden="1" customHeight="1">
      <c r="A148" s="9">
        <v>7265868.0</v>
      </c>
      <c r="B148" s="2" t="s">
        <v>842</v>
      </c>
      <c r="C148" s="2" t="s">
        <v>843</v>
      </c>
      <c r="D148" s="2" t="s">
        <v>844</v>
      </c>
      <c r="E148" s="10" t="s">
        <v>846</v>
      </c>
      <c r="F148" s="2" t="s">
        <v>52</v>
      </c>
      <c r="G148" s="2"/>
      <c r="H148" s="2"/>
      <c r="I148" s="2" t="s">
        <v>843</v>
      </c>
    </row>
    <row r="149" ht="15.75" hidden="1" customHeight="1">
      <c r="A149" s="9">
        <v>7265869.0</v>
      </c>
      <c r="B149" s="2" t="s">
        <v>848</v>
      </c>
      <c r="C149" s="2" t="s">
        <v>849</v>
      </c>
      <c r="D149" s="2" t="s">
        <v>850</v>
      </c>
      <c r="E149" s="10" t="s">
        <v>851</v>
      </c>
      <c r="F149" s="2" t="s">
        <v>52</v>
      </c>
      <c r="G149" s="2"/>
      <c r="H149" s="2"/>
      <c r="I149" s="2" t="s">
        <v>849</v>
      </c>
    </row>
    <row r="150" ht="15.75" hidden="1" customHeight="1">
      <c r="A150" s="9">
        <v>7265870.0</v>
      </c>
      <c r="B150" s="2" t="s">
        <v>855</v>
      </c>
      <c r="C150" s="2" t="s">
        <v>857</v>
      </c>
      <c r="D150" s="2" t="s">
        <v>858</v>
      </c>
      <c r="E150" s="10" t="s">
        <v>859</v>
      </c>
      <c r="F150" s="2" t="s">
        <v>52</v>
      </c>
      <c r="G150" s="2"/>
      <c r="H150" s="2"/>
      <c r="I150" s="2" t="s">
        <v>857</v>
      </c>
    </row>
    <row r="151" ht="15.75" hidden="1" customHeight="1">
      <c r="A151" s="9">
        <v>7265871.0</v>
      </c>
      <c r="B151" s="2" t="s">
        <v>862</v>
      </c>
      <c r="C151" s="2" t="s">
        <v>864</v>
      </c>
      <c r="D151" s="2" t="s">
        <v>865</v>
      </c>
      <c r="E151" s="10" t="s">
        <v>867</v>
      </c>
      <c r="F151" s="2" t="s">
        <v>52</v>
      </c>
      <c r="G151" s="2"/>
      <c r="H151" s="2"/>
      <c r="I151" s="2" t="s">
        <v>864</v>
      </c>
    </row>
    <row r="152" ht="15.75" hidden="1" customHeight="1">
      <c r="A152" s="9">
        <v>7265872.0</v>
      </c>
      <c r="B152" s="2" t="s">
        <v>868</v>
      </c>
      <c r="C152" s="2" t="s">
        <v>869</v>
      </c>
      <c r="D152" s="2" t="s">
        <v>870</v>
      </c>
      <c r="E152" s="10" t="s">
        <v>871</v>
      </c>
      <c r="F152" s="2" t="s">
        <v>52</v>
      </c>
      <c r="G152" s="2"/>
      <c r="H152" s="2"/>
      <c r="I152" s="2" t="s">
        <v>869</v>
      </c>
    </row>
    <row r="153" ht="15.75" hidden="1" customHeight="1">
      <c r="A153" s="9">
        <v>7265873.0</v>
      </c>
      <c r="B153" s="2" t="s">
        <v>874</v>
      </c>
      <c r="C153" s="2" t="s">
        <v>876</v>
      </c>
      <c r="D153" s="2" t="s">
        <v>877</v>
      </c>
      <c r="E153" s="10" t="s">
        <v>878</v>
      </c>
      <c r="F153" s="2" t="s">
        <v>52</v>
      </c>
      <c r="G153" s="2"/>
      <c r="H153" s="2"/>
      <c r="I153" s="2" t="s">
        <v>876</v>
      </c>
    </row>
    <row r="154" ht="15.75" hidden="1" customHeight="1">
      <c r="A154" s="9">
        <v>7265874.0</v>
      </c>
      <c r="B154" s="2" t="s">
        <v>881</v>
      </c>
      <c r="C154" s="2" t="s">
        <v>883</v>
      </c>
      <c r="D154" s="2" t="s">
        <v>884</v>
      </c>
      <c r="E154" s="10" t="s">
        <v>885</v>
      </c>
      <c r="F154" s="2" t="s">
        <v>52</v>
      </c>
      <c r="G154" s="2"/>
      <c r="H154" s="2"/>
      <c r="I154" s="2" t="s">
        <v>883</v>
      </c>
    </row>
    <row r="155" ht="15.75" hidden="1" customHeight="1">
      <c r="A155" s="9">
        <v>7265875.0</v>
      </c>
      <c r="B155" s="2" t="s">
        <v>890</v>
      </c>
      <c r="C155" s="2" t="s">
        <v>891</v>
      </c>
      <c r="D155" s="2" t="s">
        <v>892</v>
      </c>
      <c r="E155" s="10" t="s">
        <v>893</v>
      </c>
      <c r="F155" s="2" t="s">
        <v>52</v>
      </c>
      <c r="G155" s="2"/>
      <c r="H155" s="2"/>
      <c r="I155" s="2" t="s">
        <v>891</v>
      </c>
    </row>
    <row r="156" ht="15.75" hidden="1" customHeight="1">
      <c r="A156" s="9">
        <v>7265876.0</v>
      </c>
      <c r="B156" s="2" t="s">
        <v>895</v>
      </c>
      <c r="C156" s="2" t="s">
        <v>896</v>
      </c>
      <c r="D156" s="2" t="s">
        <v>897</v>
      </c>
      <c r="E156" s="10" t="s">
        <v>898</v>
      </c>
      <c r="F156" s="2" t="s">
        <v>52</v>
      </c>
      <c r="G156" s="2"/>
      <c r="H156" s="2"/>
      <c r="I156" s="2" t="s">
        <v>896</v>
      </c>
    </row>
    <row r="157" ht="15.75" hidden="1" customHeight="1">
      <c r="A157" s="9">
        <v>7265877.0</v>
      </c>
      <c r="B157" s="2" t="s">
        <v>902</v>
      </c>
      <c r="C157" s="2" t="s">
        <v>904</v>
      </c>
      <c r="D157" s="2" t="s">
        <v>905</v>
      </c>
      <c r="E157" s="10" t="s">
        <v>906</v>
      </c>
      <c r="F157" s="2" t="s">
        <v>52</v>
      </c>
      <c r="G157" s="2"/>
      <c r="H157" s="2"/>
      <c r="I157" s="2" t="s">
        <v>904</v>
      </c>
    </row>
    <row r="158" ht="15.75" hidden="1" customHeight="1">
      <c r="A158" s="9">
        <v>7265878.0</v>
      </c>
      <c r="B158" s="2" t="s">
        <v>909</v>
      </c>
      <c r="C158" s="2" t="s">
        <v>910</v>
      </c>
      <c r="D158" s="2" t="s">
        <v>912</v>
      </c>
      <c r="E158" s="10" t="s">
        <v>913</v>
      </c>
      <c r="F158" s="2" t="s">
        <v>52</v>
      </c>
      <c r="G158" s="2"/>
      <c r="H158" s="2"/>
      <c r="I158" s="2" t="s">
        <v>910</v>
      </c>
    </row>
    <row r="159" ht="15.75" hidden="1" customHeight="1">
      <c r="A159" s="9">
        <v>7265879.0</v>
      </c>
      <c r="B159" s="2" t="s">
        <v>915</v>
      </c>
      <c r="C159" s="2" t="s">
        <v>916</v>
      </c>
      <c r="D159" s="2" t="s">
        <v>918</v>
      </c>
      <c r="E159" s="10" t="s">
        <v>919</v>
      </c>
      <c r="F159" s="2" t="s">
        <v>52</v>
      </c>
      <c r="G159" s="2"/>
      <c r="H159" s="2"/>
      <c r="I159" s="2" t="s">
        <v>916</v>
      </c>
    </row>
    <row r="160" ht="15.75" hidden="1" customHeight="1">
      <c r="A160" s="9">
        <v>7265880.0</v>
      </c>
      <c r="B160" s="2" t="s">
        <v>922</v>
      </c>
      <c r="C160" s="2" t="s">
        <v>924</v>
      </c>
      <c r="D160" s="2" t="s">
        <v>925</v>
      </c>
      <c r="E160" s="10" t="s">
        <v>926</v>
      </c>
      <c r="F160" s="2" t="s">
        <v>52</v>
      </c>
      <c r="G160" s="2"/>
      <c r="H160" s="2"/>
      <c r="I160" s="2" t="s">
        <v>924</v>
      </c>
    </row>
    <row r="161" ht="15.75" hidden="1" customHeight="1">
      <c r="A161" s="9">
        <v>7265881.0</v>
      </c>
      <c r="B161" s="2" t="s">
        <v>931</v>
      </c>
      <c r="C161" s="2" t="s">
        <v>932</v>
      </c>
      <c r="D161" s="2" t="s">
        <v>933</v>
      </c>
      <c r="E161" s="10" t="s">
        <v>934</v>
      </c>
      <c r="F161" s="2" t="s">
        <v>52</v>
      </c>
      <c r="G161" s="2"/>
      <c r="H161" s="2"/>
      <c r="I161" s="2" t="s">
        <v>932</v>
      </c>
    </row>
    <row r="162" ht="15.75" hidden="1" customHeight="1">
      <c r="A162" s="9">
        <v>7265882.0</v>
      </c>
      <c r="B162" s="2" t="s">
        <v>936</v>
      </c>
      <c r="C162" s="2" t="s">
        <v>937</v>
      </c>
      <c r="D162" s="2" t="s">
        <v>661</v>
      </c>
      <c r="E162" s="10" t="s">
        <v>671</v>
      </c>
      <c r="F162" s="2" t="s">
        <v>52</v>
      </c>
      <c r="G162" s="2"/>
      <c r="H162" s="2"/>
      <c r="I162" s="2" t="s">
        <v>937</v>
      </c>
    </row>
    <row r="163" ht="15.75" hidden="1" customHeight="1">
      <c r="A163" s="9">
        <v>7265883.0</v>
      </c>
      <c r="B163" s="2" t="s">
        <v>941</v>
      </c>
      <c r="C163" s="2" t="s">
        <v>942</v>
      </c>
      <c r="D163" s="2" t="s">
        <v>943</v>
      </c>
      <c r="E163" s="10" t="s">
        <v>944</v>
      </c>
      <c r="F163" s="2" t="s">
        <v>52</v>
      </c>
      <c r="G163" s="2"/>
      <c r="H163" s="2"/>
      <c r="I163" s="2" t="s">
        <v>942</v>
      </c>
    </row>
    <row r="164" ht="15.75" hidden="1" customHeight="1">
      <c r="A164" s="9">
        <v>7265884.0</v>
      </c>
      <c r="B164" s="2" t="s">
        <v>948</v>
      </c>
      <c r="C164" s="2" t="s">
        <v>949</v>
      </c>
      <c r="D164" s="2" t="s">
        <v>951</v>
      </c>
      <c r="E164" s="10" t="s">
        <v>953</v>
      </c>
      <c r="F164" s="2" t="s">
        <v>52</v>
      </c>
      <c r="G164" s="2"/>
      <c r="H164" s="2"/>
      <c r="I164" s="2" t="s">
        <v>949</v>
      </c>
    </row>
    <row r="165" ht="15.75" hidden="1" customHeight="1">
      <c r="A165" s="9">
        <v>7265885.0</v>
      </c>
      <c r="B165" s="2" t="s">
        <v>955</v>
      </c>
      <c r="C165" s="2" t="s">
        <v>956</v>
      </c>
      <c r="D165" s="2" t="s">
        <v>957</v>
      </c>
      <c r="E165" s="10" t="s">
        <v>958</v>
      </c>
      <c r="F165" s="2" t="s">
        <v>140</v>
      </c>
      <c r="G165" s="2"/>
      <c r="H165" s="2"/>
      <c r="I165" s="2" t="s">
        <v>956</v>
      </c>
    </row>
    <row r="166" ht="15.75" hidden="1" customHeight="1">
      <c r="A166" s="9">
        <v>7265886.0</v>
      </c>
      <c r="B166" s="2" t="s">
        <v>961</v>
      </c>
      <c r="C166" s="2" t="s">
        <v>962</v>
      </c>
      <c r="D166" s="2" t="s">
        <v>964</v>
      </c>
      <c r="E166" s="10" t="s">
        <v>965</v>
      </c>
      <c r="F166" s="2" t="s">
        <v>140</v>
      </c>
      <c r="G166" s="2"/>
      <c r="H166" s="2"/>
      <c r="I166" s="2" t="s">
        <v>962</v>
      </c>
    </row>
    <row r="167" ht="15.75" hidden="1" customHeight="1">
      <c r="A167" s="9">
        <v>7265887.0</v>
      </c>
      <c r="B167" s="2" t="s">
        <v>967</v>
      </c>
      <c r="C167" s="2" t="s">
        <v>970</v>
      </c>
      <c r="D167" s="2" t="s">
        <v>972</v>
      </c>
      <c r="E167" s="10" t="s">
        <v>973</v>
      </c>
      <c r="F167" s="2" t="s">
        <v>140</v>
      </c>
      <c r="G167" s="2"/>
      <c r="H167" s="2"/>
      <c r="I167" s="2" t="s">
        <v>970</v>
      </c>
    </row>
    <row r="168" ht="15.75" hidden="1" customHeight="1">
      <c r="A168" s="9">
        <v>7265888.0</v>
      </c>
      <c r="B168" s="2" t="s">
        <v>975</v>
      </c>
      <c r="C168" s="2" t="s">
        <v>976</v>
      </c>
      <c r="D168" s="2" t="s">
        <v>978</v>
      </c>
      <c r="E168" s="10" t="s">
        <v>979</v>
      </c>
      <c r="F168" s="2" t="s">
        <v>140</v>
      </c>
      <c r="G168" s="2"/>
      <c r="H168" s="2"/>
      <c r="I168" s="2" t="s">
        <v>976</v>
      </c>
    </row>
    <row r="169" ht="15.75" hidden="1" customHeight="1">
      <c r="A169" s="9">
        <v>7265889.0</v>
      </c>
      <c r="B169" s="2" t="s">
        <v>982</v>
      </c>
      <c r="C169" s="2" t="s">
        <v>983</v>
      </c>
      <c r="D169" s="2" t="s">
        <v>984</v>
      </c>
      <c r="E169" s="10" t="s">
        <v>986</v>
      </c>
      <c r="F169" s="2" t="s">
        <v>140</v>
      </c>
      <c r="G169" s="2"/>
      <c r="H169" s="2"/>
      <c r="I169" s="2" t="s">
        <v>983</v>
      </c>
    </row>
    <row r="170" ht="15.75" hidden="1" customHeight="1">
      <c r="A170" s="9">
        <v>7265890.0</v>
      </c>
      <c r="B170" s="2" t="s">
        <v>989</v>
      </c>
      <c r="C170" s="2" t="s">
        <v>991</v>
      </c>
      <c r="D170" s="2" t="s">
        <v>992</v>
      </c>
      <c r="E170" s="10" t="s">
        <v>993</v>
      </c>
      <c r="F170" s="2" t="s">
        <v>140</v>
      </c>
      <c r="G170" s="2"/>
      <c r="H170" s="2"/>
      <c r="I170" s="2" t="s">
        <v>991</v>
      </c>
    </row>
    <row r="171" ht="15.75" hidden="1" customHeight="1">
      <c r="A171" s="9">
        <v>7265891.0</v>
      </c>
      <c r="B171" s="2" t="s">
        <v>997</v>
      </c>
      <c r="C171" s="2" t="s">
        <v>998</v>
      </c>
      <c r="D171" s="2" t="s">
        <v>1000</v>
      </c>
      <c r="E171" s="10" t="s">
        <v>1001</v>
      </c>
      <c r="F171" s="2" t="s">
        <v>140</v>
      </c>
      <c r="G171" s="2"/>
      <c r="H171" s="2"/>
      <c r="I171" s="2" t="s">
        <v>998</v>
      </c>
    </row>
    <row r="172" ht="15.75" hidden="1" customHeight="1">
      <c r="A172" s="9">
        <v>7265892.0</v>
      </c>
      <c r="B172" s="2" t="s">
        <v>1003</v>
      </c>
      <c r="C172" s="2" t="s">
        <v>1004</v>
      </c>
      <c r="D172" s="2" t="s">
        <v>1005</v>
      </c>
      <c r="E172" s="10" t="s">
        <v>1007</v>
      </c>
      <c r="F172" s="2" t="s">
        <v>140</v>
      </c>
      <c r="G172" s="2"/>
      <c r="H172" s="2"/>
      <c r="I172" s="2" t="s">
        <v>1004</v>
      </c>
    </row>
    <row r="173" ht="15.75" hidden="1" customHeight="1">
      <c r="A173" s="9">
        <v>7265893.0</v>
      </c>
      <c r="B173" s="2" t="s">
        <v>1010</v>
      </c>
      <c r="C173" s="2" t="s">
        <v>1011</v>
      </c>
      <c r="D173" s="2" t="s">
        <v>1012</v>
      </c>
      <c r="E173" s="10" t="s">
        <v>1013</v>
      </c>
      <c r="F173" s="2" t="s">
        <v>140</v>
      </c>
      <c r="G173" s="2"/>
      <c r="H173" s="2"/>
      <c r="I173" s="2" t="s">
        <v>1011</v>
      </c>
    </row>
    <row r="174" ht="15.75" hidden="1" customHeight="1">
      <c r="A174" s="9">
        <v>7265894.0</v>
      </c>
      <c r="B174" s="2" t="s">
        <v>1018</v>
      </c>
      <c r="C174" s="2" t="s">
        <v>1019</v>
      </c>
      <c r="D174" s="2" t="s">
        <v>1020</v>
      </c>
      <c r="E174" s="10" t="s">
        <v>1021</v>
      </c>
      <c r="F174" s="2" t="s">
        <v>140</v>
      </c>
      <c r="G174" s="2"/>
      <c r="H174" s="2"/>
      <c r="I174" s="2" t="s">
        <v>1019</v>
      </c>
    </row>
    <row r="175" ht="15.75" hidden="1" customHeight="1">
      <c r="A175" s="9">
        <v>7265895.0</v>
      </c>
      <c r="B175" s="2" t="s">
        <v>1025</v>
      </c>
      <c r="C175" s="2" t="s">
        <v>1026</v>
      </c>
      <c r="D175" s="2" t="s">
        <v>1027</v>
      </c>
      <c r="E175" s="10" t="s">
        <v>1028</v>
      </c>
      <c r="F175" s="2" t="s">
        <v>140</v>
      </c>
      <c r="G175" s="2"/>
      <c r="H175" s="2"/>
      <c r="I175" s="2" t="s">
        <v>1026</v>
      </c>
    </row>
    <row r="176" ht="15.75" hidden="1" customHeight="1">
      <c r="A176" s="9">
        <v>7265896.0</v>
      </c>
      <c r="B176" s="2" t="s">
        <v>1030</v>
      </c>
      <c r="C176" s="2" t="s">
        <v>1031</v>
      </c>
      <c r="D176" s="2" t="s">
        <v>741</v>
      </c>
      <c r="E176" s="10" t="s">
        <v>749</v>
      </c>
      <c r="F176" s="2" t="s">
        <v>140</v>
      </c>
      <c r="G176" s="2"/>
      <c r="H176" s="2"/>
      <c r="I176" s="2" t="s">
        <v>1031</v>
      </c>
    </row>
    <row r="177" ht="15.75" hidden="1" customHeight="1">
      <c r="A177" s="9">
        <v>7265897.0</v>
      </c>
      <c r="B177" s="2" t="s">
        <v>1035</v>
      </c>
      <c r="C177" s="2" t="s">
        <v>1037</v>
      </c>
      <c r="D177" s="2" t="s">
        <v>1039</v>
      </c>
      <c r="E177" s="10" t="s">
        <v>1040</v>
      </c>
      <c r="F177" s="2" t="s">
        <v>140</v>
      </c>
      <c r="G177" s="2"/>
      <c r="H177" s="2"/>
      <c r="I177" s="2" t="s">
        <v>1037</v>
      </c>
    </row>
    <row r="178" ht="15.75" hidden="1" customHeight="1">
      <c r="A178" s="9">
        <v>7265898.0</v>
      </c>
      <c r="B178" s="2" t="s">
        <v>1043</v>
      </c>
      <c r="C178" s="2" t="s">
        <v>1045</v>
      </c>
      <c r="D178" s="2" t="s">
        <v>1046</v>
      </c>
      <c r="E178" s="10" t="s">
        <v>1047</v>
      </c>
      <c r="F178" s="2" t="s">
        <v>140</v>
      </c>
      <c r="G178" s="2"/>
      <c r="H178" s="2"/>
      <c r="I178" s="2" t="s">
        <v>1045</v>
      </c>
    </row>
    <row r="179" ht="15.75" hidden="1" customHeight="1">
      <c r="A179" s="9">
        <v>7265899.0</v>
      </c>
      <c r="B179" s="2" t="s">
        <v>1049</v>
      </c>
      <c r="C179" s="2" t="s">
        <v>1050</v>
      </c>
      <c r="D179" s="2" t="s">
        <v>1053</v>
      </c>
      <c r="E179" s="10" t="s">
        <v>1054</v>
      </c>
      <c r="F179" s="2" t="s">
        <v>140</v>
      </c>
      <c r="G179" s="2"/>
      <c r="H179" s="2"/>
      <c r="I179" s="2" t="s">
        <v>1050</v>
      </c>
    </row>
    <row r="180" ht="15.75" hidden="1" customHeight="1">
      <c r="A180" s="9">
        <v>7265900.0</v>
      </c>
      <c r="B180" s="2" t="s">
        <v>1056</v>
      </c>
      <c r="C180" s="2" t="s">
        <v>1058</v>
      </c>
      <c r="D180" s="2" t="s">
        <v>1060</v>
      </c>
      <c r="E180" s="10" t="s">
        <v>1062</v>
      </c>
      <c r="F180" s="2" t="s">
        <v>140</v>
      </c>
      <c r="G180" s="2"/>
      <c r="H180" s="2"/>
      <c r="I180" s="2" t="s">
        <v>1058</v>
      </c>
    </row>
    <row r="181" ht="15.75" hidden="1" customHeight="1">
      <c r="A181" s="9">
        <v>7265901.0</v>
      </c>
      <c r="B181" s="2" t="s">
        <v>1065</v>
      </c>
      <c r="C181" s="2" t="s">
        <v>1066</v>
      </c>
      <c r="D181" s="2" t="s">
        <v>1067</v>
      </c>
      <c r="E181" s="10" t="s">
        <v>1069</v>
      </c>
      <c r="F181" s="2" t="s">
        <v>140</v>
      </c>
      <c r="G181" s="2"/>
      <c r="H181" s="2"/>
      <c r="I181" s="2" t="s">
        <v>1066</v>
      </c>
    </row>
    <row r="182" ht="15.75" hidden="1" customHeight="1">
      <c r="A182" s="9">
        <v>7265902.0</v>
      </c>
      <c r="B182" s="2" t="s">
        <v>1072</v>
      </c>
      <c r="C182" s="2" t="s">
        <v>1073</v>
      </c>
      <c r="D182" s="2" t="s">
        <v>1074</v>
      </c>
      <c r="E182" s="10" t="s">
        <v>1075</v>
      </c>
      <c r="F182" s="2" t="s">
        <v>140</v>
      </c>
      <c r="G182" s="2"/>
      <c r="H182" s="2"/>
      <c r="I182" s="2" t="s">
        <v>1073</v>
      </c>
    </row>
    <row r="183" ht="15.75" hidden="1" customHeight="1">
      <c r="A183" s="9">
        <v>7265904.0</v>
      </c>
      <c r="B183" s="2" t="s">
        <v>1080</v>
      </c>
      <c r="C183" s="2" t="s">
        <v>1081</v>
      </c>
      <c r="D183" s="2" t="s">
        <v>1082</v>
      </c>
      <c r="E183" s="10" t="s">
        <v>1083</v>
      </c>
      <c r="F183" s="2" t="s">
        <v>140</v>
      </c>
      <c r="G183" s="2"/>
      <c r="H183" s="2"/>
      <c r="I183" s="2" t="s">
        <v>1081</v>
      </c>
    </row>
    <row r="184" ht="15.75" hidden="1" customHeight="1">
      <c r="A184" s="9">
        <v>7265905.0</v>
      </c>
      <c r="B184" s="2" t="s">
        <v>1087</v>
      </c>
      <c r="C184" s="2" t="s">
        <v>1088</v>
      </c>
      <c r="D184" s="2" t="s">
        <v>1089</v>
      </c>
      <c r="E184" s="10" t="s">
        <v>1090</v>
      </c>
      <c r="F184" s="2" t="s">
        <v>140</v>
      </c>
      <c r="G184" s="2"/>
      <c r="H184" s="2"/>
      <c r="I184" s="2" t="s">
        <v>1088</v>
      </c>
    </row>
    <row r="185" ht="15.75" hidden="1" customHeight="1">
      <c r="A185" s="9">
        <v>7265906.0</v>
      </c>
      <c r="B185" s="2" t="s">
        <v>1093</v>
      </c>
      <c r="C185" s="2" t="s">
        <v>1094</v>
      </c>
      <c r="D185" s="2" t="s">
        <v>131</v>
      </c>
      <c r="E185" s="10" t="s">
        <v>136</v>
      </c>
      <c r="F185" s="2" t="s">
        <v>140</v>
      </c>
      <c r="G185" s="2"/>
      <c r="H185" s="2"/>
      <c r="I185" s="2" t="s">
        <v>1094</v>
      </c>
    </row>
    <row r="186" ht="15.75" hidden="1" customHeight="1">
      <c r="A186" s="9">
        <v>7265907.0</v>
      </c>
      <c r="B186" s="2" t="s">
        <v>1097</v>
      </c>
      <c r="C186" s="2" t="s">
        <v>1098</v>
      </c>
      <c r="D186" s="2" t="s">
        <v>1100</v>
      </c>
      <c r="E186" s="10" t="s">
        <v>1101</v>
      </c>
      <c r="F186" s="2" t="s">
        <v>140</v>
      </c>
      <c r="G186" s="2"/>
      <c r="H186" s="2"/>
      <c r="I186" s="2" t="s">
        <v>1098</v>
      </c>
    </row>
    <row r="187" ht="15.75" hidden="1" customHeight="1">
      <c r="A187" s="9">
        <v>7265908.0</v>
      </c>
      <c r="B187" s="2" t="s">
        <v>1103</v>
      </c>
      <c r="C187" s="2" t="s">
        <v>1105</v>
      </c>
      <c r="D187" s="2" t="s">
        <v>1107</v>
      </c>
      <c r="E187" s="10" t="s">
        <v>1109</v>
      </c>
      <c r="F187" s="2" t="s">
        <v>140</v>
      </c>
      <c r="G187" s="2"/>
      <c r="H187" s="2"/>
      <c r="I187" s="2" t="s">
        <v>1105</v>
      </c>
    </row>
    <row r="188" ht="15.75" hidden="1" customHeight="1">
      <c r="A188" s="9">
        <v>7265909.0</v>
      </c>
      <c r="B188" s="2" t="s">
        <v>1110</v>
      </c>
      <c r="C188" s="2" t="s">
        <v>1111</v>
      </c>
      <c r="D188" s="2" t="s">
        <v>1112</v>
      </c>
      <c r="E188" s="10" t="s">
        <v>1113</v>
      </c>
      <c r="F188" s="2" t="s">
        <v>140</v>
      </c>
      <c r="G188" s="2"/>
      <c r="H188" s="2"/>
      <c r="I188" s="2" t="s">
        <v>1111</v>
      </c>
    </row>
    <row r="189" ht="15.75" hidden="1" customHeight="1">
      <c r="A189" s="9">
        <v>7265910.0</v>
      </c>
      <c r="B189" s="2" t="s">
        <v>1115</v>
      </c>
      <c r="C189" s="2" t="s">
        <v>1117</v>
      </c>
      <c r="D189" s="2" t="s">
        <v>1119</v>
      </c>
      <c r="E189" s="10" t="s">
        <v>1120</v>
      </c>
      <c r="F189" s="2" t="s">
        <v>140</v>
      </c>
      <c r="G189" s="2"/>
      <c r="H189" s="2"/>
      <c r="I189" s="2" t="s">
        <v>1117</v>
      </c>
    </row>
    <row r="190" ht="15.75" hidden="1" customHeight="1">
      <c r="A190" s="9">
        <v>7265911.0</v>
      </c>
      <c r="B190" s="2" t="s">
        <v>1123</v>
      </c>
      <c r="C190" s="2" t="s">
        <v>1125</v>
      </c>
      <c r="D190" s="2" t="s">
        <v>1126</v>
      </c>
      <c r="E190" s="10" t="s">
        <v>1127</v>
      </c>
      <c r="F190" s="2" t="s">
        <v>140</v>
      </c>
      <c r="G190" s="2"/>
      <c r="H190" s="2"/>
      <c r="I190" s="2" t="s">
        <v>1125</v>
      </c>
    </row>
    <row r="191" ht="15.75" hidden="1" customHeight="1">
      <c r="A191" s="9">
        <v>7265912.0</v>
      </c>
      <c r="B191" s="2" t="s">
        <v>1131</v>
      </c>
      <c r="C191" s="2" t="s">
        <v>1132</v>
      </c>
      <c r="D191" s="2" t="s">
        <v>1133</v>
      </c>
      <c r="E191" s="10" t="s">
        <v>1134</v>
      </c>
      <c r="F191" s="2" t="s">
        <v>140</v>
      </c>
      <c r="G191" s="2"/>
      <c r="H191" s="2"/>
      <c r="I191" s="2" t="s">
        <v>1132</v>
      </c>
    </row>
    <row r="192" ht="15.75" hidden="1" customHeight="1">
      <c r="A192" s="9">
        <v>7265913.0</v>
      </c>
      <c r="B192" s="2" t="s">
        <v>1135</v>
      </c>
      <c r="C192" s="2" t="s">
        <v>1137</v>
      </c>
      <c r="D192" s="2" t="s">
        <v>1138</v>
      </c>
      <c r="E192" s="10" t="s">
        <v>1139</v>
      </c>
      <c r="F192" s="2" t="s">
        <v>140</v>
      </c>
      <c r="G192" s="2"/>
      <c r="H192" s="2"/>
      <c r="I192" s="2" t="s">
        <v>1137</v>
      </c>
    </row>
    <row r="193" ht="15.75" hidden="1" customHeight="1">
      <c r="A193" s="9">
        <v>7265914.0</v>
      </c>
      <c r="B193" s="2" t="s">
        <v>1143</v>
      </c>
      <c r="C193" s="2" t="s">
        <v>1144</v>
      </c>
      <c r="D193" s="2" t="s">
        <v>1146</v>
      </c>
      <c r="E193" s="10" t="s">
        <v>1148</v>
      </c>
      <c r="F193" s="2" t="s">
        <v>1149</v>
      </c>
      <c r="G193" s="2"/>
      <c r="H193" s="2"/>
      <c r="I193" s="2" t="s">
        <v>1144</v>
      </c>
    </row>
    <row r="194" ht="15.75" hidden="1" customHeight="1">
      <c r="A194" s="9">
        <v>7265915.0</v>
      </c>
      <c r="B194" s="2" t="s">
        <v>1152</v>
      </c>
      <c r="C194" s="2" t="s">
        <v>1153</v>
      </c>
      <c r="D194" s="2" t="s">
        <v>1154</v>
      </c>
      <c r="E194" s="10" t="s">
        <v>1156</v>
      </c>
      <c r="F194" s="2" t="s">
        <v>1149</v>
      </c>
      <c r="G194" s="2"/>
      <c r="H194" s="2"/>
      <c r="I194" s="2" t="s">
        <v>1153</v>
      </c>
    </row>
    <row r="195" ht="15.75" hidden="1" customHeight="1">
      <c r="A195" s="9">
        <v>7265916.0</v>
      </c>
      <c r="B195" s="2" t="s">
        <v>1157</v>
      </c>
      <c r="C195" s="2" t="s">
        <v>1158</v>
      </c>
      <c r="D195" s="2" t="s">
        <v>1159</v>
      </c>
      <c r="E195" s="10" t="s">
        <v>1161</v>
      </c>
      <c r="F195" s="2" t="s">
        <v>1149</v>
      </c>
      <c r="G195" s="2"/>
      <c r="H195" s="2"/>
      <c r="I195" s="2" t="s">
        <v>1158</v>
      </c>
    </row>
    <row r="196" ht="15.75" hidden="1" customHeight="1">
      <c r="A196" s="9">
        <v>7265917.0</v>
      </c>
      <c r="B196" s="2" t="s">
        <v>1164</v>
      </c>
      <c r="C196" s="2" t="s">
        <v>1165</v>
      </c>
      <c r="D196" s="2" t="s">
        <v>1167</v>
      </c>
      <c r="E196" s="10" t="s">
        <v>1168</v>
      </c>
      <c r="F196" s="2" t="s">
        <v>1149</v>
      </c>
      <c r="G196" s="2"/>
      <c r="H196" s="2"/>
      <c r="I196" s="2" t="s">
        <v>1165</v>
      </c>
    </row>
    <row r="197" ht="15.75" hidden="1" customHeight="1">
      <c r="A197" s="9">
        <v>7265918.0</v>
      </c>
      <c r="B197" s="2" t="s">
        <v>1172</v>
      </c>
      <c r="C197" s="2" t="s">
        <v>1174</v>
      </c>
      <c r="D197" s="2" t="s">
        <v>1175</v>
      </c>
      <c r="E197" s="10" t="s">
        <v>1176</v>
      </c>
      <c r="F197" s="2" t="s">
        <v>1149</v>
      </c>
      <c r="G197" s="2"/>
      <c r="H197" s="2"/>
      <c r="I197" s="2" t="s">
        <v>1174</v>
      </c>
    </row>
    <row r="198" ht="15.75" customHeight="1">
      <c r="A198" s="9">
        <v>7265919.0</v>
      </c>
      <c r="B198" s="2" t="s">
        <v>1178</v>
      </c>
      <c r="C198" s="2" t="s">
        <v>1179</v>
      </c>
      <c r="D198" s="2" t="s">
        <v>1180</v>
      </c>
      <c r="E198" s="10" t="s">
        <v>1181</v>
      </c>
      <c r="F198" s="2" t="s">
        <v>221</v>
      </c>
      <c r="G198" s="2"/>
      <c r="H198" s="2"/>
      <c r="I198" s="2" t="s">
        <v>1179</v>
      </c>
    </row>
    <row r="199" ht="15.75" hidden="1" customHeight="1">
      <c r="A199" s="9">
        <v>7265920.0</v>
      </c>
      <c r="B199" s="2" t="s">
        <v>1185</v>
      </c>
      <c r="C199" s="2" t="s">
        <v>1186</v>
      </c>
      <c r="D199" s="2" t="s">
        <v>1187</v>
      </c>
      <c r="E199" s="10" t="s">
        <v>1188</v>
      </c>
      <c r="F199" s="2" t="s">
        <v>1149</v>
      </c>
      <c r="G199" s="2"/>
      <c r="H199" s="2"/>
      <c r="I199" s="2" t="s">
        <v>1186</v>
      </c>
    </row>
    <row r="200" ht="15.75" hidden="1" customHeight="1">
      <c r="A200" s="9">
        <v>7265921.0</v>
      </c>
      <c r="B200" s="2" t="s">
        <v>1193</v>
      </c>
      <c r="C200" s="2" t="s">
        <v>1194</v>
      </c>
      <c r="D200" s="2" t="s">
        <v>1195</v>
      </c>
      <c r="E200" s="10" t="s">
        <v>1197</v>
      </c>
      <c r="F200" s="2" t="s">
        <v>1149</v>
      </c>
      <c r="G200" s="2"/>
      <c r="H200" s="2"/>
      <c r="I200" s="2" t="s">
        <v>1194</v>
      </c>
    </row>
    <row r="201" ht="15.75" hidden="1" customHeight="1">
      <c r="A201" s="9">
        <v>7265922.0</v>
      </c>
      <c r="B201" s="2" t="s">
        <v>1199</v>
      </c>
      <c r="C201" s="2" t="s">
        <v>1200</v>
      </c>
      <c r="D201" s="2" t="s">
        <v>1201</v>
      </c>
      <c r="E201" s="10" t="s">
        <v>1202</v>
      </c>
      <c r="F201" s="2" t="s">
        <v>1149</v>
      </c>
      <c r="G201" s="2"/>
      <c r="H201" s="2"/>
      <c r="I201" s="2" t="s">
        <v>1200</v>
      </c>
    </row>
    <row r="202" ht="15.75" hidden="1" customHeight="1">
      <c r="A202" s="9">
        <v>7265923.0</v>
      </c>
      <c r="B202" s="2" t="s">
        <v>1204</v>
      </c>
      <c r="C202" s="2" t="s">
        <v>1206</v>
      </c>
      <c r="D202" s="2" t="s">
        <v>1207</v>
      </c>
      <c r="E202" s="10" t="s">
        <v>1209</v>
      </c>
      <c r="F202" s="2" t="s">
        <v>1149</v>
      </c>
      <c r="G202" s="2"/>
      <c r="H202" s="2"/>
      <c r="I202" s="2" t="s">
        <v>1206</v>
      </c>
    </row>
    <row r="203" ht="15.75" hidden="1" customHeight="1">
      <c r="A203" s="9">
        <v>7265924.0</v>
      </c>
      <c r="B203" s="2" t="s">
        <v>1212</v>
      </c>
      <c r="C203" s="2" t="s">
        <v>1213</v>
      </c>
      <c r="D203" s="2" t="s">
        <v>1214</v>
      </c>
      <c r="E203" s="10" t="s">
        <v>1216</v>
      </c>
      <c r="F203" s="2" t="s">
        <v>1149</v>
      </c>
      <c r="G203" s="2"/>
      <c r="H203" s="2"/>
      <c r="I203" s="2" t="s">
        <v>1213</v>
      </c>
    </row>
    <row r="204" ht="15.75" hidden="1" customHeight="1">
      <c r="A204" s="9">
        <v>7265925.0</v>
      </c>
      <c r="B204" s="2" t="s">
        <v>1219</v>
      </c>
      <c r="C204" s="2" t="s">
        <v>1221</v>
      </c>
      <c r="D204" s="2" t="s">
        <v>1222</v>
      </c>
      <c r="E204" s="10" t="s">
        <v>1223</v>
      </c>
      <c r="F204" s="2" t="s">
        <v>1149</v>
      </c>
      <c r="G204" s="2"/>
      <c r="H204" s="2"/>
      <c r="I204" s="2" t="s">
        <v>1221</v>
      </c>
    </row>
    <row r="205" ht="15.75" hidden="1" customHeight="1">
      <c r="A205" s="9">
        <v>7265926.0</v>
      </c>
      <c r="B205" s="2" t="s">
        <v>1225</v>
      </c>
      <c r="C205" s="2" t="s">
        <v>1226</v>
      </c>
      <c r="D205" s="2" t="s">
        <v>1227</v>
      </c>
      <c r="E205" s="10" t="s">
        <v>1228</v>
      </c>
      <c r="F205" s="2" t="s">
        <v>1149</v>
      </c>
      <c r="G205" s="2"/>
      <c r="H205" s="2"/>
      <c r="I205" s="2" t="s">
        <v>1226</v>
      </c>
    </row>
    <row r="206" ht="15.75" hidden="1" customHeight="1">
      <c r="A206" s="9">
        <v>7265927.0</v>
      </c>
      <c r="B206" s="2" t="s">
        <v>1230</v>
      </c>
      <c r="C206" s="2" t="s">
        <v>1232</v>
      </c>
      <c r="D206" s="2" t="s">
        <v>1233</v>
      </c>
      <c r="E206" s="10" t="s">
        <v>1234</v>
      </c>
      <c r="F206" s="2" t="s">
        <v>1149</v>
      </c>
      <c r="G206" s="2"/>
      <c r="H206" s="2"/>
      <c r="I206" s="2" t="s">
        <v>1232</v>
      </c>
    </row>
    <row r="207" ht="15.75" hidden="1" customHeight="1">
      <c r="A207" s="9">
        <v>7265928.0</v>
      </c>
      <c r="B207" s="2" t="s">
        <v>748</v>
      </c>
      <c r="C207" s="2" t="s">
        <v>1238</v>
      </c>
      <c r="D207" s="2" t="s">
        <v>1240</v>
      </c>
      <c r="E207" s="10" t="s">
        <v>1242</v>
      </c>
      <c r="F207" s="2" t="s">
        <v>1149</v>
      </c>
      <c r="G207" s="2"/>
      <c r="H207" s="2"/>
      <c r="I207" s="2" t="s">
        <v>1238</v>
      </c>
    </row>
    <row r="208" ht="15.75" hidden="1" customHeight="1">
      <c r="A208" s="9">
        <v>7265929.0</v>
      </c>
      <c r="B208" s="2" t="s">
        <v>1244</v>
      </c>
      <c r="C208" s="2" t="s">
        <v>1245</v>
      </c>
      <c r="D208" s="2" t="s">
        <v>1246</v>
      </c>
      <c r="E208" s="10" t="s">
        <v>1248</v>
      </c>
      <c r="F208" s="2" t="s">
        <v>1149</v>
      </c>
      <c r="G208" s="2"/>
      <c r="H208" s="2"/>
      <c r="I208" s="2" t="s">
        <v>1245</v>
      </c>
    </row>
    <row r="209" ht="15.75" hidden="1" customHeight="1">
      <c r="A209" s="9">
        <v>7265930.0</v>
      </c>
      <c r="B209" s="2" t="s">
        <v>1250</v>
      </c>
      <c r="C209" s="2" t="s">
        <v>1251</v>
      </c>
      <c r="D209" s="2" t="s">
        <v>1253</v>
      </c>
      <c r="E209" s="10" t="s">
        <v>1254</v>
      </c>
      <c r="F209" s="2" t="s">
        <v>1149</v>
      </c>
      <c r="G209" s="2"/>
      <c r="H209" s="2"/>
      <c r="I209" s="2" t="s">
        <v>1251</v>
      </c>
    </row>
    <row r="210" ht="15.75" hidden="1" customHeight="1">
      <c r="A210" s="9">
        <v>7265931.0</v>
      </c>
      <c r="B210" s="2" t="s">
        <v>1258</v>
      </c>
      <c r="C210" s="2" t="s">
        <v>1260</v>
      </c>
      <c r="D210" s="2" t="s">
        <v>1261</v>
      </c>
      <c r="E210" s="10" t="s">
        <v>1263</v>
      </c>
      <c r="F210" s="2" t="s">
        <v>1149</v>
      </c>
      <c r="G210" s="2"/>
      <c r="H210" s="2"/>
      <c r="I210" s="2" t="s">
        <v>1260</v>
      </c>
    </row>
    <row r="211" ht="15.75" hidden="1" customHeight="1">
      <c r="A211" s="9">
        <v>7265932.0</v>
      </c>
      <c r="B211" s="2" t="s">
        <v>1265</v>
      </c>
      <c r="C211" s="2" t="s">
        <v>1266</v>
      </c>
      <c r="D211" s="2" t="s">
        <v>1268</v>
      </c>
      <c r="E211" s="10" t="s">
        <v>1269</v>
      </c>
      <c r="F211" s="2" t="s">
        <v>1149</v>
      </c>
      <c r="G211" s="2"/>
      <c r="H211" s="2"/>
      <c r="I211" s="2" t="s">
        <v>1266</v>
      </c>
    </row>
    <row r="212" ht="15.75" hidden="1" customHeight="1">
      <c r="A212" s="9">
        <v>7265933.0</v>
      </c>
      <c r="B212" s="2" t="s">
        <v>1271</v>
      </c>
      <c r="C212" s="2" t="s">
        <v>1272</v>
      </c>
      <c r="D212" s="2" t="s">
        <v>1273</v>
      </c>
      <c r="E212" s="10" t="s">
        <v>1275</v>
      </c>
      <c r="F212" s="2" t="s">
        <v>1149</v>
      </c>
      <c r="G212" s="2"/>
      <c r="H212" s="2"/>
      <c r="I212" s="2" t="s">
        <v>1272</v>
      </c>
    </row>
    <row r="213" ht="15.75" hidden="1" customHeight="1">
      <c r="A213" s="9">
        <v>7265934.0</v>
      </c>
      <c r="B213" s="2" t="s">
        <v>1278</v>
      </c>
      <c r="C213" s="2" t="s">
        <v>1280</v>
      </c>
      <c r="D213" s="2" t="s">
        <v>1281</v>
      </c>
      <c r="E213" s="10" t="s">
        <v>1282</v>
      </c>
      <c r="F213" s="2" t="s">
        <v>1149</v>
      </c>
      <c r="G213" s="2"/>
      <c r="H213" s="2"/>
      <c r="I213" s="2" t="s">
        <v>1280</v>
      </c>
    </row>
    <row r="214" ht="15.75" hidden="1" customHeight="1">
      <c r="A214" s="9">
        <v>7265935.0</v>
      </c>
      <c r="B214" s="2" t="s">
        <v>1285</v>
      </c>
      <c r="C214" s="2" t="s">
        <v>1286</v>
      </c>
      <c r="D214" s="2" t="s">
        <v>1287</v>
      </c>
      <c r="E214" s="10" t="s">
        <v>1288</v>
      </c>
      <c r="F214" s="2" t="s">
        <v>1149</v>
      </c>
      <c r="G214" s="2"/>
      <c r="H214" s="2"/>
      <c r="I214" s="2" t="s">
        <v>1286</v>
      </c>
    </row>
    <row r="215" ht="15.75" hidden="1" customHeight="1">
      <c r="A215" s="9">
        <v>7265936.0</v>
      </c>
      <c r="B215" s="2" t="s">
        <v>1291</v>
      </c>
      <c r="C215" s="2" t="s">
        <v>1292</v>
      </c>
      <c r="D215" s="2" t="s">
        <v>1293</v>
      </c>
      <c r="E215" s="10" t="s">
        <v>1294</v>
      </c>
      <c r="F215" s="2" t="s">
        <v>1149</v>
      </c>
      <c r="G215" s="2"/>
      <c r="H215" s="2"/>
      <c r="I215" s="2" t="s">
        <v>1292</v>
      </c>
    </row>
    <row r="216" ht="15.75" hidden="1" customHeight="1">
      <c r="A216" s="9">
        <v>7265937.0</v>
      </c>
      <c r="B216" s="2" t="s">
        <v>1298</v>
      </c>
      <c r="C216" s="2" t="s">
        <v>1300</v>
      </c>
      <c r="D216" s="2" t="s">
        <v>1301</v>
      </c>
      <c r="E216" s="10" t="s">
        <v>1302</v>
      </c>
      <c r="F216" s="2" t="s">
        <v>1149</v>
      </c>
      <c r="G216" s="2"/>
      <c r="H216" s="2"/>
      <c r="I216" s="2" t="s">
        <v>1300</v>
      </c>
    </row>
    <row r="217" ht="15.75" hidden="1" customHeight="1">
      <c r="A217" s="9">
        <v>7265938.0</v>
      </c>
      <c r="B217" s="2" t="s">
        <v>1304</v>
      </c>
      <c r="C217" s="2" t="s">
        <v>1306</v>
      </c>
      <c r="D217" s="2" t="s">
        <v>1307</v>
      </c>
      <c r="E217" s="10" t="s">
        <v>1309</v>
      </c>
      <c r="F217" s="2" t="s">
        <v>1149</v>
      </c>
      <c r="G217" s="2"/>
      <c r="H217" s="2"/>
      <c r="I217" s="2" t="s">
        <v>1306</v>
      </c>
    </row>
    <row r="218" ht="15.75" hidden="1" customHeight="1">
      <c r="A218" s="9">
        <v>7265939.0</v>
      </c>
      <c r="B218" s="2" t="s">
        <v>1310</v>
      </c>
      <c r="C218" s="2" t="s">
        <v>1311</v>
      </c>
      <c r="D218" s="2" t="s">
        <v>1313</v>
      </c>
      <c r="E218" s="10" t="s">
        <v>1314</v>
      </c>
      <c r="F218" s="2" t="s">
        <v>389</v>
      </c>
      <c r="G218" s="2"/>
      <c r="H218" s="2"/>
      <c r="I218" s="2" t="s">
        <v>1311</v>
      </c>
    </row>
    <row r="219" ht="15.75" hidden="1" customHeight="1">
      <c r="A219" s="9">
        <v>7265940.0</v>
      </c>
      <c r="B219" s="2" t="s">
        <v>1318</v>
      </c>
      <c r="C219" s="2" t="s">
        <v>1320</v>
      </c>
      <c r="D219" s="2" t="s">
        <v>1321</v>
      </c>
      <c r="E219" s="10" t="s">
        <v>1322</v>
      </c>
      <c r="F219" s="2" t="s">
        <v>389</v>
      </c>
      <c r="G219" s="2"/>
      <c r="H219" s="2"/>
      <c r="I219" s="2" t="s">
        <v>1320</v>
      </c>
    </row>
    <row r="220" ht="15.75" hidden="1" customHeight="1">
      <c r="A220" s="9">
        <v>7265941.0</v>
      </c>
      <c r="B220" s="2" t="s">
        <v>1327</v>
      </c>
      <c r="C220" s="2" t="s">
        <v>1328</v>
      </c>
      <c r="D220" s="2" t="s">
        <v>1329</v>
      </c>
      <c r="E220" s="10" t="s">
        <v>1330</v>
      </c>
      <c r="F220" s="2" t="s">
        <v>389</v>
      </c>
      <c r="G220" s="2"/>
      <c r="H220" s="2"/>
      <c r="I220" s="2" t="s">
        <v>1328</v>
      </c>
    </row>
    <row r="221" ht="15.75" hidden="1" customHeight="1">
      <c r="A221" s="9">
        <v>7265942.0</v>
      </c>
      <c r="B221" s="2" t="s">
        <v>1332</v>
      </c>
      <c r="C221" s="2" t="s">
        <v>1334</v>
      </c>
      <c r="D221" s="2" t="s">
        <v>1336</v>
      </c>
      <c r="E221" s="10" t="s">
        <v>1337</v>
      </c>
      <c r="F221" s="2" t="s">
        <v>389</v>
      </c>
      <c r="G221" s="2"/>
      <c r="H221" s="2"/>
      <c r="I221" s="2" t="s">
        <v>1334</v>
      </c>
    </row>
    <row r="222" ht="15.75" hidden="1" customHeight="1">
      <c r="A222" s="9">
        <v>7265943.0</v>
      </c>
      <c r="B222" s="2" t="s">
        <v>1340</v>
      </c>
      <c r="C222" s="2" t="s">
        <v>1342</v>
      </c>
      <c r="D222" s="2" t="s">
        <v>1343</v>
      </c>
      <c r="E222" s="10" t="s">
        <v>1345</v>
      </c>
      <c r="F222" s="2" t="s">
        <v>389</v>
      </c>
      <c r="G222" s="2"/>
      <c r="H222" s="2"/>
      <c r="I222" s="2" t="s">
        <v>1342</v>
      </c>
    </row>
    <row r="223" ht="15.75" hidden="1" customHeight="1">
      <c r="A223" s="9">
        <v>7265944.0</v>
      </c>
      <c r="B223" s="2" t="s">
        <v>1348</v>
      </c>
      <c r="C223" s="2" t="s">
        <v>1349</v>
      </c>
      <c r="D223" s="2" t="s">
        <v>1350</v>
      </c>
      <c r="E223" s="10" t="s">
        <v>1351</v>
      </c>
      <c r="F223" s="2" t="s">
        <v>389</v>
      </c>
      <c r="G223" s="2"/>
      <c r="H223" s="2"/>
      <c r="I223" s="2" t="s">
        <v>1349</v>
      </c>
    </row>
    <row r="224" ht="15.75" hidden="1" customHeight="1">
      <c r="A224" s="9">
        <v>7265945.0</v>
      </c>
      <c r="B224" s="2" t="s">
        <v>1353</v>
      </c>
      <c r="C224" s="2" t="s">
        <v>1355</v>
      </c>
      <c r="D224" s="2" t="s">
        <v>1356</v>
      </c>
      <c r="E224" s="10" t="s">
        <v>1357</v>
      </c>
      <c r="F224" s="2" t="s">
        <v>389</v>
      </c>
      <c r="G224" s="2"/>
      <c r="H224" s="2"/>
      <c r="I224" s="2" t="s">
        <v>1355</v>
      </c>
    </row>
    <row r="225" ht="15.75" hidden="1" customHeight="1">
      <c r="A225" s="9">
        <v>7265946.0</v>
      </c>
      <c r="B225" s="2" t="s">
        <v>1361</v>
      </c>
      <c r="C225" s="2" t="s">
        <v>1362</v>
      </c>
      <c r="D225" s="2" t="s">
        <v>1363</v>
      </c>
      <c r="E225" s="10" t="s">
        <v>1364</v>
      </c>
      <c r="F225" s="2" t="s">
        <v>389</v>
      </c>
      <c r="G225" s="2"/>
      <c r="H225" s="2"/>
      <c r="I225" s="2" t="s">
        <v>1362</v>
      </c>
    </row>
    <row r="226" ht="15.75" hidden="1" customHeight="1">
      <c r="A226" s="9">
        <v>7265947.0</v>
      </c>
      <c r="B226" s="2" t="s">
        <v>1368</v>
      </c>
      <c r="C226" s="2" t="s">
        <v>1369</v>
      </c>
      <c r="D226" s="2" t="s">
        <v>1370</v>
      </c>
      <c r="E226" s="10" t="s">
        <v>1371</v>
      </c>
      <c r="F226" s="2" t="s">
        <v>389</v>
      </c>
      <c r="G226" s="2"/>
      <c r="H226" s="2"/>
      <c r="I226" s="2" t="s">
        <v>1369</v>
      </c>
    </row>
    <row r="227" ht="15.75" hidden="1" customHeight="1">
      <c r="A227" s="9">
        <v>7265948.0</v>
      </c>
      <c r="B227" s="2" t="s">
        <v>1374</v>
      </c>
      <c r="C227" s="2" t="s">
        <v>1375</v>
      </c>
      <c r="D227" s="2" t="s">
        <v>1376</v>
      </c>
      <c r="E227" s="10" t="s">
        <v>1377</v>
      </c>
      <c r="F227" s="2" t="s">
        <v>389</v>
      </c>
      <c r="G227" s="2"/>
      <c r="H227" s="2"/>
      <c r="I227" s="2" t="s">
        <v>1375</v>
      </c>
    </row>
    <row r="228" ht="15.75" hidden="1" customHeight="1">
      <c r="A228" s="9">
        <v>7265949.0</v>
      </c>
      <c r="B228" s="2" t="s">
        <v>1380</v>
      </c>
      <c r="C228" s="2" t="s">
        <v>1382</v>
      </c>
      <c r="D228" s="2" t="s">
        <v>1383</v>
      </c>
      <c r="E228" s="10" t="s">
        <v>1384</v>
      </c>
      <c r="F228" s="2" t="s">
        <v>389</v>
      </c>
      <c r="G228" s="2"/>
      <c r="H228" s="2"/>
      <c r="I228" s="2" t="s">
        <v>1382</v>
      </c>
    </row>
    <row r="229" ht="15.75" hidden="1" customHeight="1">
      <c r="A229" s="9">
        <v>7265950.0</v>
      </c>
      <c r="B229" s="2" t="s">
        <v>1387</v>
      </c>
      <c r="C229" s="2" t="s">
        <v>1388</v>
      </c>
      <c r="D229" s="2" t="s">
        <v>1391</v>
      </c>
      <c r="E229" s="10" t="s">
        <v>1392</v>
      </c>
      <c r="F229" s="2" t="s">
        <v>389</v>
      </c>
      <c r="G229" s="2"/>
      <c r="H229" s="2"/>
      <c r="I229" s="2" t="s">
        <v>1388</v>
      </c>
    </row>
    <row r="230" ht="15.75" hidden="1" customHeight="1">
      <c r="A230" s="9">
        <v>7265951.0</v>
      </c>
      <c r="B230" s="2" t="s">
        <v>1395</v>
      </c>
      <c r="C230" s="2" t="s">
        <v>1396</v>
      </c>
      <c r="D230" s="2" t="s">
        <v>1397</v>
      </c>
      <c r="E230" s="10" t="s">
        <v>1399</v>
      </c>
      <c r="F230" s="2" t="s">
        <v>389</v>
      </c>
      <c r="G230" s="2"/>
      <c r="H230" s="2"/>
      <c r="I230" s="2" t="s">
        <v>1396</v>
      </c>
    </row>
    <row r="231" ht="15.75" hidden="1" customHeight="1">
      <c r="A231" s="9">
        <v>7265952.0</v>
      </c>
      <c r="B231" s="2" t="s">
        <v>1401</v>
      </c>
      <c r="C231" s="2" t="s">
        <v>1402</v>
      </c>
      <c r="D231" s="2" t="s">
        <v>1403</v>
      </c>
      <c r="E231" s="10" t="s">
        <v>1404</v>
      </c>
      <c r="F231" s="2" t="s">
        <v>389</v>
      </c>
      <c r="G231" s="2"/>
      <c r="H231" s="2"/>
      <c r="I231" s="2" t="s">
        <v>1402</v>
      </c>
    </row>
    <row r="232" ht="15.75" hidden="1" customHeight="1">
      <c r="A232" s="9">
        <v>7265953.0</v>
      </c>
      <c r="B232" s="2" t="s">
        <v>1406</v>
      </c>
      <c r="C232" s="2" t="s">
        <v>1407</v>
      </c>
      <c r="D232" s="2" t="s">
        <v>1408</v>
      </c>
      <c r="E232" s="10" t="s">
        <v>1410</v>
      </c>
      <c r="F232" s="2" t="s">
        <v>389</v>
      </c>
      <c r="G232" s="2"/>
      <c r="H232" s="2"/>
      <c r="I232" s="2" t="s">
        <v>1407</v>
      </c>
    </row>
    <row r="233" ht="15.75" hidden="1" customHeight="1">
      <c r="A233" s="9">
        <v>7265954.0</v>
      </c>
      <c r="B233" s="2" t="s">
        <v>1412</v>
      </c>
      <c r="C233" s="2" t="s">
        <v>1414</v>
      </c>
      <c r="D233" s="2" t="s">
        <v>1415</v>
      </c>
      <c r="E233" s="10" t="s">
        <v>1416</v>
      </c>
      <c r="F233" s="2" t="s">
        <v>389</v>
      </c>
      <c r="G233" s="2"/>
      <c r="H233" s="2"/>
      <c r="I233" s="2" t="s">
        <v>1414</v>
      </c>
    </row>
    <row r="234" ht="15.75" hidden="1" customHeight="1">
      <c r="A234" s="9">
        <v>7265955.0</v>
      </c>
      <c r="B234" s="2" t="s">
        <v>1418</v>
      </c>
      <c r="C234" s="2" t="s">
        <v>1419</v>
      </c>
      <c r="D234" s="2" t="s">
        <v>1421</v>
      </c>
      <c r="E234" s="10" t="s">
        <v>1422</v>
      </c>
      <c r="F234" s="2" t="s">
        <v>389</v>
      </c>
      <c r="G234" s="2"/>
      <c r="H234" s="2"/>
      <c r="I234" s="2" t="s">
        <v>1419</v>
      </c>
    </row>
    <row r="235" ht="15.75" hidden="1" customHeight="1">
      <c r="A235" s="9">
        <v>7265956.0</v>
      </c>
      <c r="B235" s="2" t="s">
        <v>1423</v>
      </c>
      <c r="C235" s="2" t="s">
        <v>1425</v>
      </c>
      <c r="D235" s="2" t="s">
        <v>1426</v>
      </c>
      <c r="E235" s="10" t="s">
        <v>1427</v>
      </c>
      <c r="F235" s="2" t="s">
        <v>389</v>
      </c>
      <c r="G235" s="2"/>
      <c r="H235" s="2"/>
      <c r="I235" s="2" t="s">
        <v>1425</v>
      </c>
    </row>
    <row r="236" ht="15.75" hidden="1" customHeight="1">
      <c r="A236" s="9">
        <v>7265957.0</v>
      </c>
      <c r="B236" s="2" t="s">
        <v>1432</v>
      </c>
      <c r="C236" s="2" t="s">
        <v>1433</v>
      </c>
      <c r="D236" s="2" t="s">
        <v>1434</v>
      </c>
      <c r="E236" s="10" t="s">
        <v>1435</v>
      </c>
      <c r="F236" s="2" t="s">
        <v>389</v>
      </c>
      <c r="G236" s="2"/>
      <c r="H236" s="2"/>
      <c r="I236" s="2" t="s">
        <v>1433</v>
      </c>
    </row>
    <row r="237" ht="15.75" hidden="1" customHeight="1">
      <c r="A237" s="9">
        <v>7265958.0</v>
      </c>
      <c r="B237" s="2" t="s">
        <v>1438</v>
      </c>
      <c r="C237" s="2" t="s">
        <v>1439</v>
      </c>
      <c r="D237" s="2" t="s">
        <v>1440</v>
      </c>
      <c r="E237" s="10" t="s">
        <v>1441</v>
      </c>
      <c r="F237" s="2" t="s">
        <v>389</v>
      </c>
      <c r="G237" s="2"/>
      <c r="H237" s="2"/>
      <c r="I237" s="2" t="s">
        <v>1439</v>
      </c>
    </row>
    <row r="238" ht="15.75" hidden="1" customHeight="1">
      <c r="A238" s="9">
        <v>7265959.0</v>
      </c>
      <c r="B238" s="2" t="s">
        <v>1130</v>
      </c>
      <c r="C238" s="2" t="s">
        <v>1443</v>
      </c>
      <c r="D238" s="2" t="s">
        <v>1444</v>
      </c>
      <c r="E238" s="10" t="s">
        <v>1445</v>
      </c>
      <c r="F238" s="2" t="s">
        <v>389</v>
      </c>
      <c r="G238" s="2"/>
      <c r="H238" s="2"/>
      <c r="I238" s="2" t="s">
        <v>1443</v>
      </c>
    </row>
    <row r="239" ht="15.75" hidden="1" customHeight="1">
      <c r="A239" s="9">
        <v>7265960.0</v>
      </c>
      <c r="B239" s="2" t="s">
        <v>1448</v>
      </c>
      <c r="C239" s="2" t="s">
        <v>1449</v>
      </c>
      <c r="D239" s="2" t="s">
        <v>1451</v>
      </c>
      <c r="E239" s="10" t="s">
        <v>1453</v>
      </c>
      <c r="F239" s="2" t="s">
        <v>389</v>
      </c>
      <c r="G239" s="2"/>
      <c r="H239" s="2"/>
      <c r="I239" s="2" t="s">
        <v>1449</v>
      </c>
    </row>
    <row r="240" ht="15.75" hidden="1" customHeight="1">
      <c r="A240" s="9">
        <v>7265961.0</v>
      </c>
      <c r="B240" s="2" t="s">
        <v>1455</v>
      </c>
      <c r="C240" s="2" t="s">
        <v>1456</v>
      </c>
      <c r="D240" s="2" t="s">
        <v>1457</v>
      </c>
      <c r="E240" s="10" t="s">
        <v>1459</v>
      </c>
      <c r="F240" s="2" t="s">
        <v>389</v>
      </c>
      <c r="G240" s="2"/>
      <c r="H240" s="2"/>
      <c r="I240" s="2" t="s">
        <v>1456</v>
      </c>
    </row>
    <row r="241" ht="15.75" hidden="1" customHeight="1">
      <c r="A241" s="9">
        <v>7265962.0</v>
      </c>
      <c r="B241" s="2" t="s">
        <v>1463</v>
      </c>
      <c r="C241" s="2" t="s">
        <v>1464</v>
      </c>
      <c r="D241" s="2" t="s">
        <v>1465</v>
      </c>
      <c r="E241" s="10" t="s">
        <v>1466</v>
      </c>
      <c r="F241" s="2" t="s">
        <v>389</v>
      </c>
      <c r="G241" s="2"/>
      <c r="H241" s="2"/>
      <c r="I241" s="2" t="s">
        <v>1464</v>
      </c>
    </row>
    <row r="242" ht="15.75" hidden="1" customHeight="1">
      <c r="A242" s="9">
        <v>7265963.0</v>
      </c>
      <c r="B242" s="2" t="s">
        <v>1468</v>
      </c>
      <c r="C242" s="2" t="s">
        <v>1469</v>
      </c>
      <c r="D242" s="2" t="s">
        <v>1470</v>
      </c>
      <c r="E242" s="10" t="s">
        <v>1471</v>
      </c>
      <c r="F242" s="2" t="s">
        <v>75</v>
      </c>
      <c r="G242" s="2"/>
      <c r="H242" s="2"/>
      <c r="I242" s="2" t="s">
        <v>1469</v>
      </c>
    </row>
    <row r="243" ht="15.75" hidden="1" customHeight="1">
      <c r="A243" s="9">
        <v>7265964.0</v>
      </c>
      <c r="B243" s="2" t="s">
        <v>1476</v>
      </c>
      <c r="C243" s="2" t="s">
        <v>1477</v>
      </c>
      <c r="D243" s="2" t="s">
        <v>1478</v>
      </c>
      <c r="E243" s="10" t="s">
        <v>1479</v>
      </c>
      <c r="F243" s="2" t="s">
        <v>75</v>
      </c>
      <c r="G243" s="2"/>
      <c r="H243" s="2"/>
      <c r="I243" s="2" t="s">
        <v>1477</v>
      </c>
    </row>
    <row r="244" ht="15.75" hidden="1" customHeight="1">
      <c r="A244" s="9">
        <v>7265965.0</v>
      </c>
      <c r="B244" s="2" t="s">
        <v>1484</v>
      </c>
      <c r="C244" s="2" t="s">
        <v>1485</v>
      </c>
      <c r="D244" s="2" t="s">
        <v>1486</v>
      </c>
      <c r="E244" s="10" t="s">
        <v>1487</v>
      </c>
      <c r="F244" s="2" t="s">
        <v>75</v>
      </c>
      <c r="G244" s="2"/>
      <c r="H244" s="2"/>
      <c r="I244" s="2" t="s">
        <v>1485</v>
      </c>
    </row>
    <row r="245" ht="15.75" hidden="1" customHeight="1">
      <c r="A245" s="9">
        <v>7265966.0</v>
      </c>
      <c r="B245" s="2" t="s">
        <v>1488</v>
      </c>
      <c r="C245" s="2" t="s">
        <v>1491</v>
      </c>
      <c r="D245" s="2" t="s">
        <v>1492</v>
      </c>
      <c r="E245" s="10" t="s">
        <v>1493</v>
      </c>
      <c r="F245" s="2" t="s">
        <v>75</v>
      </c>
      <c r="G245" s="2"/>
      <c r="H245" s="2"/>
      <c r="I245" s="2" t="s">
        <v>1491</v>
      </c>
    </row>
    <row r="246" ht="15.75" hidden="1" customHeight="1">
      <c r="A246" s="9">
        <v>7265967.0</v>
      </c>
      <c r="B246" s="2" t="s">
        <v>1495</v>
      </c>
      <c r="C246" s="2" t="s">
        <v>1496</v>
      </c>
      <c r="D246" s="2" t="s">
        <v>1498</v>
      </c>
      <c r="E246" s="10" t="s">
        <v>1499</v>
      </c>
      <c r="F246" s="2" t="s">
        <v>75</v>
      </c>
      <c r="G246" s="2"/>
      <c r="H246" s="2"/>
      <c r="I246" s="2" t="s">
        <v>1496</v>
      </c>
    </row>
    <row r="247" ht="15.75" hidden="1" customHeight="1">
      <c r="A247" s="9">
        <v>7265968.0</v>
      </c>
      <c r="B247" s="2" t="s">
        <v>1502</v>
      </c>
      <c r="C247" s="2" t="s">
        <v>1504</v>
      </c>
      <c r="D247" s="2" t="s">
        <v>1505</v>
      </c>
      <c r="E247" s="10" t="s">
        <v>1507</v>
      </c>
      <c r="F247" s="2" t="s">
        <v>75</v>
      </c>
      <c r="G247" s="2"/>
      <c r="H247" s="2"/>
      <c r="I247" s="2" t="s">
        <v>1504</v>
      </c>
    </row>
    <row r="248" ht="15.75" hidden="1" customHeight="1">
      <c r="A248" s="9">
        <v>7265969.0</v>
      </c>
      <c r="B248" s="2" t="s">
        <v>1508</v>
      </c>
      <c r="C248" s="2" t="s">
        <v>1509</v>
      </c>
      <c r="D248" s="2" t="s">
        <v>1510</v>
      </c>
      <c r="E248" s="10" t="s">
        <v>1511</v>
      </c>
      <c r="F248" s="2" t="s">
        <v>75</v>
      </c>
      <c r="G248" s="2"/>
      <c r="H248" s="2"/>
      <c r="I248" s="2" t="s">
        <v>1509</v>
      </c>
    </row>
    <row r="249" ht="15.75" hidden="1" customHeight="1">
      <c r="A249" s="9">
        <v>7265970.0</v>
      </c>
      <c r="B249" s="2" t="s">
        <v>1514</v>
      </c>
      <c r="C249" s="2" t="s">
        <v>1515</v>
      </c>
      <c r="D249" s="2" t="s">
        <v>1516</v>
      </c>
      <c r="E249" s="10" t="s">
        <v>1517</v>
      </c>
      <c r="F249" s="2" t="s">
        <v>75</v>
      </c>
      <c r="G249" s="2"/>
      <c r="H249" s="2"/>
      <c r="I249" s="2" t="s">
        <v>1515</v>
      </c>
    </row>
    <row r="250" ht="15.75" hidden="1" customHeight="1">
      <c r="A250" s="9">
        <v>7265971.0</v>
      </c>
      <c r="B250" s="2" t="s">
        <v>1522</v>
      </c>
      <c r="C250" s="2" t="s">
        <v>1523</v>
      </c>
      <c r="D250" s="2" t="s">
        <v>1524</v>
      </c>
      <c r="E250" s="10" t="s">
        <v>1525</v>
      </c>
      <c r="F250" s="2" t="s">
        <v>75</v>
      </c>
      <c r="G250" s="2"/>
      <c r="H250" s="2"/>
      <c r="I250" s="2" t="s">
        <v>1523</v>
      </c>
    </row>
    <row r="251" ht="15.75" hidden="1" customHeight="1">
      <c r="A251" s="9">
        <v>7265972.0</v>
      </c>
      <c r="B251" s="2" t="s">
        <v>1528</v>
      </c>
      <c r="C251" s="2" t="s">
        <v>1529</v>
      </c>
      <c r="D251" s="2" t="s">
        <v>1530</v>
      </c>
      <c r="E251" s="10" t="s">
        <v>1532</v>
      </c>
      <c r="F251" s="2" t="s">
        <v>75</v>
      </c>
      <c r="G251" s="2"/>
      <c r="H251" s="2"/>
      <c r="I251" s="2" t="s">
        <v>1529</v>
      </c>
    </row>
    <row r="252" ht="15.75" hidden="1" customHeight="1">
      <c r="A252" s="9">
        <v>7265973.0</v>
      </c>
      <c r="B252" s="2" t="s">
        <v>1534</v>
      </c>
      <c r="C252" s="2" t="s">
        <v>1535</v>
      </c>
      <c r="D252" s="2" t="s">
        <v>1536</v>
      </c>
      <c r="E252" s="10" t="s">
        <v>1537</v>
      </c>
      <c r="F252" s="2" t="s">
        <v>75</v>
      </c>
      <c r="G252" s="2"/>
      <c r="H252" s="2"/>
      <c r="I252" s="2" t="s">
        <v>1535</v>
      </c>
    </row>
    <row r="253" ht="15.75" hidden="1" customHeight="1">
      <c r="A253" s="9">
        <v>7265974.0</v>
      </c>
      <c r="B253" s="2" t="s">
        <v>1541</v>
      </c>
      <c r="C253" s="2" t="s">
        <v>1542</v>
      </c>
      <c r="D253" s="2" t="s">
        <v>1543</v>
      </c>
      <c r="E253" s="10" t="s">
        <v>1544</v>
      </c>
      <c r="F253" s="2" t="s">
        <v>75</v>
      </c>
      <c r="G253" s="2"/>
      <c r="H253" s="2"/>
      <c r="I253" s="2" t="s">
        <v>1542</v>
      </c>
    </row>
    <row r="254" ht="15.75" hidden="1" customHeight="1">
      <c r="A254" s="9">
        <v>7265975.0</v>
      </c>
      <c r="B254" s="2" t="s">
        <v>1546</v>
      </c>
      <c r="C254" s="2" t="s">
        <v>1547</v>
      </c>
      <c r="D254" s="2" t="s">
        <v>1550</v>
      </c>
      <c r="E254" s="10" t="s">
        <v>1551</v>
      </c>
      <c r="F254" s="2" t="s">
        <v>75</v>
      </c>
      <c r="G254" s="2"/>
      <c r="H254" s="2"/>
      <c r="I254" s="2" t="s">
        <v>1547</v>
      </c>
    </row>
    <row r="255" ht="15.75" hidden="1" customHeight="1">
      <c r="A255" s="9">
        <v>7265976.0</v>
      </c>
      <c r="B255" s="2" t="s">
        <v>1554</v>
      </c>
      <c r="C255" s="2" t="s">
        <v>1555</v>
      </c>
      <c r="D255" s="2" t="s">
        <v>1556</v>
      </c>
      <c r="E255" s="10" t="s">
        <v>1558</v>
      </c>
      <c r="F255" s="2" t="s">
        <v>75</v>
      </c>
      <c r="G255" s="2"/>
      <c r="H255" s="2"/>
      <c r="I255" s="2" t="s">
        <v>1555</v>
      </c>
    </row>
    <row r="256" ht="15.75" hidden="1" customHeight="1">
      <c r="A256" s="9">
        <v>7265977.0</v>
      </c>
      <c r="B256" s="2" t="s">
        <v>1562</v>
      </c>
      <c r="C256" s="2" t="s">
        <v>1563</v>
      </c>
      <c r="D256" s="2" t="s">
        <v>1564</v>
      </c>
      <c r="E256" s="10" t="s">
        <v>1565</v>
      </c>
      <c r="F256" s="2" t="s">
        <v>75</v>
      </c>
      <c r="G256" s="2"/>
      <c r="H256" s="2"/>
      <c r="I256" s="2" t="s">
        <v>1563</v>
      </c>
    </row>
    <row r="257" ht="15.75" hidden="1" customHeight="1">
      <c r="A257" s="9">
        <v>7265978.0</v>
      </c>
      <c r="B257" s="2" t="s">
        <v>1567</v>
      </c>
      <c r="C257" s="2" t="s">
        <v>1568</v>
      </c>
      <c r="D257" s="2" t="s">
        <v>1569</v>
      </c>
      <c r="E257" s="10" t="s">
        <v>1570</v>
      </c>
      <c r="F257" s="2" t="s">
        <v>75</v>
      </c>
      <c r="G257" s="2"/>
      <c r="H257" s="2"/>
      <c r="I257" s="2" t="s">
        <v>1568</v>
      </c>
    </row>
    <row r="258" ht="15.75" hidden="1" customHeight="1">
      <c r="A258" s="9">
        <v>7265979.0</v>
      </c>
      <c r="B258" s="2" t="s">
        <v>1573</v>
      </c>
      <c r="C258" s="2" t="s">
        <v>1574</v>
      </c>
      <c r="D258" s="2" t="s">
        <v>1576</v>
      </c>
      <c r="E258" s="10" t="s">
        <v>1577</v>
      </c>
      <c r="F258" s="2" t="s">
        <v>75</v>
      </c>
      <c r="G258" s="2"/>
      <c r="H258" s="2"/>
      <c r="I258" s="2" t="s">
        <v>1574</v>
      </c>
    </row>
    <row r="259" ht="15.75" hidden="1" customHeight="1">
      <c r="A259" s="9">
        <v>7265980.0</v>
      </c>
      <c r="B259" s="2" t="s">
        <v>1580</v>
      </c>
      <c r="C259" s="2" t="s">
        <v>1582</v>
      </c>
      <c r="D259" s="2" t="s">
        <v>1584</v>
      </c>
      <c r="E259" s="10" t="s">
        <v>1585</v>
      </c>
      <c r="F259" s="2" t="s">
        <v>75</v>
      </c>
      <c r="G259" s="2"/>
      <c r="H259" s="2"/>
      <c r="I259" s="2" t="s">
        <v>1582</v>
      </c>
    </row>
    <row r="260" ht="15.75" hidden="1" customHeight="1">
      <c r="A260" s="9">
        <v>7265981.0</v>
      </c>
      <c r="B260" s="2" t="s">
        <v>1587</v>
      </c>
      <c r="C260" s="2" t="s">
        <v>1588</v>
      </c>
      <c r="D260" s="2" t="s">
        <v>1589</v>
      </c>
      <c r="E260" s="10" t="s">
        <v>1590</v>
      </c>
      <c r="F260" s="2" t="s">
        <v>75</v>
      </c>
      <c r="G260" s="2"/>
      <c r="H260" s="2"/>
      <c r="I260" s="2" t="s">
        <v>1588</v>
      </c>
    </row>
    <row r="261" ht="15.75" hidden="1" customHeight="1">
      <c r="A261" s="9">
        <v>7265982.0</v>
      </c>
      <c r="B261" s="2" t="s">
        <v>1592</v>
      </c>
      <c r="C261" s="2" t="s">
        <v>1594</v>
      </c>
      <c r="D261" s="2" t="s">
        <v>1596</v>
      </c>
      <c r="E261" s="10" t="s">
        <v>1597</v>
      </c>
      <c r="F261" s="2" t="s">
        <v>75</v>
      </c>
      <c r="G261" s="2"/>
      <c r="H261" s="2"/>
      <c r="I261" s="2" t="s">
        <v>1594</v>
      </c>
    </row>
    <row r="262" ht="15.75" hidden="1" customHeight="1">
      <c r="A262" s="9">
        <v>7265983.0</v>
      </c>
      <c r="B262" s="2" t="s">
        <v>1599</v>
      </c>
      <c r="C262" s="2" t="s">
        <v>1602</v>
      </c>
      <c r="D262" s="2" t="s">
        <v>1604</v>
      </c>
      <c r="E262" s="10" t="s">
        <v>1605</v>
      </c>
      <c r="F262" s="2" t="s">
        <v>75</v>
      </c>
      <c r="G262" s="2"/>
      <c r="H262" s="2"/>
      <c r="I262" s="2" t="s">
        <v>1602</v>
      </c>
    </row>
    <row r="263" ht="15.75" hidden="1" customHeight="1">
      <c r="A263" s="9">
        <v>7265984.0</v>
      </c>
      <c r="B263" s="2" t="s">
        <v>1608</v>
      </c>
      <c r="C263" s="2" t="s">
        <v>1609</v>
      </c>
      <c r="D263" s="2" t="s">
        <v>1610</v>
      </c>
      <c r="E263" s="10" t="s">
        <v>1612</v>
      </c>
      <c r="F263" s="2" t="s">
        <v>75</v>
      </c>
      <c r="G263" s="2"/>
      <c r="H263" s="2"/>
      <c r="I263" s="2" t="s">
        <v>1609</v>
      </c>
    </row>
    <row r="264" ht="15.75" hidden="1" customHeight="1">
      <c r="A264" s="9">
        <v>7265985.0</v>
      </c>
      <c r="B264" s="2" t="s">
        <v>1614</v>
      </c>
      <c r="C264" s="2" t="s">
        <v>1615</v>
      </c>
      <c r="D264" s="2" t="s">
        <v>1616</v>
      </c>
      <c r="E264" s="10" t="s">
        <v>1617</v>
      </c>
      <c r="F264" s="2" t="s">
        <v>75</v>
      </c>
      <c r="G264" s="2"/>
      <c r="H264" s="2"/>
      <c r="I264" s="2" t="s">
        <v>1615</v>
      </c>
    </row>
    <row r="265" ht="15.75" hidden="1" customHeight="1">
      <c r="A265" s="9">
        <v>7265986.0</v>
      </c>
      <c r="B265" s="2" t="s">
        <v>1623</v>
      </c>
      <c r="C265" s="2" t="s">
        <v>1624</v>
      </c>
      <c r="D265" s="2" t="s">
        <v>1625</v>
      </c>
      <c r="E265" s="10" t="s">
        <v>1626</v>
      </c>
      <c r="F265" s="2" t="s">
        <v>75</v>
      </c>
      <c r="G265" s="2"/>
      <c r="H265" s="2"/>
      <c r="I265" s="2" t="s">
        <v>1624</v>
      </c>
    </row>
    <row r="266" ht="15.75" hidden="1" customHeight="1">
      <c r="A266" s="9">
        <v>7265987.0</v>
      </c>
      <c r="B266" s="2" t="s">
        <v>1630</v>
      </c>
      <c r="C266" s="2" t="s">
        <v>1631</v>
      </c>
      <c r="D266" s="2" t="s">
        <v>1633</v>
      </c>
      <c r="E266" s="10" t="s">
        <v>1634</v>
      </c>
      <c r="F266" s="2" t="s">
        <v>75</v>
      </c>
      <c r="G266" s="2"/>
      <c r="H266" s="2"/>
      <c r="I266" s="2" t="s">
        <v>1631</v>
      </c>
    </row>
    <row r="267" ht="15.75" hidden="1" customHeight="1">
      <c r="A267" s="9">
        <v>7265988.0</v>
      </c>
      <c r="B267" s="2" t="s">
        <v>1636</v>
      </c>
      <c r="C267" s="2" t="s">
        <v>1637</v>
      </c>
      <c r="D267" s="2" t="s">
        <v>1638</v>
      </c>
      <c r="E267" s="10" t="s">
        <v>1639</v>
      </c>
      <c r="F267" s="2" t="s">
        <v>75</v>
      </c>
      <c r="G267" s="2"/>
      <c r="H267" s="2"/>
      <c r="I267" s="2" t="s">
        <v>1637</v>
      </c>
    </row>
    <row r="268" ht="15.75" hidden="1" customHeight="1">
      <c r="A268" s="9">
        <v>7265989.0</v>
      </c>
      <c r="B268" s="2" t="s">
        <v>1642</v>
      </c>
      <c r="C268" s="2" t="s">
        <v>1643</v>
      </c>
      <c r="D268" s="2" t="s">
        <v>1644</v>
      </c>
      <c r="E268" s="10" t="s">
        <v>1645</v>
      </c>
      <c r="F268" s="2" t="s">
        <v>75</v>
      </c>
      <c r="G268" s="2"/>
      <c r="H268" s="2"/>
      <c r="I268" s="2" t="s">
        <v>1643</v>
      </c>
    </row>
    <row r="269" ht="15.75" hidden="1" customHeight="1">
      <c r="A269" s="9">
        <v>7265990.0</v>
      </c>
      <c r="B269" s="2" t="s">
        <v>1647</v>
      </c>
      <c r="C269" s="2" t="s">
        <v>1649</v>
      </c>
      <c r="D269" s="2" t="s">
        <v>1650</v>
      </c>
      <c r="E269" s="10" t="s">
        <v>1651</v>
      </c>
      <c r="F269" s="2" t="s">
        <v>1653</v>
      </c>
      <c r="G269" s="2"/>
      <c r="H269" s="2"/>
      <c r="I269" s="2" t="s">
        <v>1649</v>
      </c>
    </row>
    <row r="270" ht="15.75" hidden="1" customHeight="1">
      <c r="A270" s="9">
        <v>7265991.0</v>
      </c>
      <c r="B270" s="2" t="s">
        <v>1655</v>
      </c>
      <c r="C270" s="2" t="s">
        <v>1656</v>
      </c>
      <c r="D270" s="2" t="s">
        <v>1658</v>
      </c>
      <c r="E270" s="10" t="s">
        <v>1659</v>
      </c>
      <c r="F270" s="2" t="s">
        <v>1653</v>
      </c>
      <c r="G270" s="2"/>
      <c r="H270" s="2"/>
      <c r="I270" s="2" t="s">
        <v>1656</v>
      </c>
    </row>
    <row r="271" ht="15.75" hidden="1" customHeight="1">
      <c r="A271" s="9">
        <v>7265992.0</v>
      </c>
      <c r="B271" s="2" t="s">
        <v>1660</v>
      </c>
      <c r="C271" s="2" t="s">
        <v>1663</v>
      </c>
      <c r="D271" s="2" t="s">
        <v>1664</v>
      </c>
      <c r="E271" s="10" t="s">
        <v>1666</v>
      </c>
      <c r="F271" s="2" t="s">
        <v>1653</v>
      </c>
      <c r="G271" s="2"/>
      <c r="H271" s="2"/>
      <c r="I271" s="2" t="s">
        <v>1663</v>
      </c>
    </row>
    <row r="272" ht="15.75" hidden="1" customHeight="1">
      <c r="A272" s="9">
        <v>7265993.0</v>
      </c>
      <c r="B272" s="2" t="s">
        <v>1668</v>
      </c>
      <c r="C272" s="2" t="s">
        <v>1669</v>
      </c>
      <c r="D272" s="2" t="s">
        <v>1670</v>
      </c>
      <c r="E272" s="10" t="s">
        <v>1672</v>
      </c>
      <c r="F272" s="2" t="s">
        <v>1653</v>
      </c>
      <c r="G272" s="2"/>
      <c r="H272" s="2"/>
      <c r="I272" s="2" t="s">
        <v>1669</v>
      </c>
    </row>
    <row r="273" ht="15.75" hidden="1" customHeight="1">
      <c r="A273" s="9">
        <v>7265994.0</v>
      </c>
      <c r="B273" s="2" t="s">
        <v>1676</v>
      </c>
      <c r="C273" s="2" t="s">
        <v>1677</v>
      </c>
      <c r="D273" s="2" t="s">
        <v>1678</v>
      </c>
      <c r="E273" s="10" t="s">
        <v>1679</v>
      </c>
      <c r="F273" s="2" t="s">
        <v>1653</v>
      </c>
      <c r="G273" s="2"/>
      <c r="H273" s="2"/>
      <c r="I273" s="2" t="s">
        <v>1677</v>
      </c>
    </row>
    <row r="274" ht="15.75" hidden="1" customHeight="1">
      <c r="A274" s="9">
        <v>7265995.0</v>
      </c>
      <c r="B274" s="2" t="s">
        <v>1682</v>
      </c>
      <c r="C274" s="2" t="s">
        <v>1683</v>
      </c>
      <c r="D274" s="2" t="s">
        <v>1684</v>
      </c>
      <c r="E274" s="10" t="s">
        <v>1685</v>
      </c>
      <c r="F274" s="2" t="s">
        <v>1653</v>
      </c>
      <c r="G274" s="2"/>
      <c r="H274" s="2"/>
      <c r="I274" s="2" t="s">
        <v>1683</v>
      </c>
    </row>
    <row r="275" ht="15.75" hidden="1" customHeight="1">
      <c r="A275" s="9">
        <v>7265996.0</v>
      </c>
      <c r="B275" s="2" t="s">
        <v>1686</v>
      </c>
      <c r="C275" s="2" t="s">
        <v>1688</v>
      </c>
      <c r="D275" s="2" t="s">
        <v>1689</v>
      </c>
      <c r="E275" s="10" t="s">
        <v>1690</v>
      </c>
      <c r="F275" s="2" t="s">
        <v>1653</v>
      </c>
      <c r="G275" s="2"/>
      <c r="H275" s="2"/>
      <c r="I275" s="2" t="s">
        <v>1688</v>
      </c>
    </row>
    <row r="276" ht="15.75" hidden="1" customHeight="1">
      <c r="A276" s="9">
        <v>7265997.0</v>
      </c>
      <c r="B276" s="2" t="s">
        <v>1691</v>
      </c>
      <c r="C276" s="2" t="s">
        <v>1694</v>
      </c>
      <c r="D276" s="2" t="s">
        <v>1696</v>
      </c>
      <c r="E276" s="10" t="s">
        <v>1697</v>
      </c>
      <c r="F276" s="2" t="s">
        <v>1653</v>
      </c>
      <c r="G276" s="2"/>
      <c r="H276" s="2"/>
      <c r="I276" s="2" t="s">
        <v>1694</v>
      </c>
    </row>
    <row r="277" ht="15.75" hidden="1" customHeight="1">
      <c r="A277" s="9">
        <v>7265998.0</v>
      </c>
      <c r="B277" s="2" t="s">
        <v>1698</v>
      </c>
      <c r="C277" s="2" t="s">
        <v>1699</v>
      </c>
      <c r="D277" s="2" t="s">
        <v>1700</v>
      </c>
      <c r="E277" s="10" t="s">
        <v>1701</v>
      </c>
      <c r="F277" s="2" t="s">
        <v>1653</v>
      </c>
      <c r="G277" s="2"/>
      <c r="H277" s="2"/>
      <c r="I277" s="2" t="s">
        <v>1699</v>
      </c>
    </row>
    <row r="278" ht="15.75" hidden="1" customHeight="1">
      <c r="A278" s="9">
        <v>7265999.0</v>
      </c>
      <c r="B278" s="2" t="s">
        <v>1703</v>
      </c>
      <c r="C278" s="2" t="s">
        <v>1705</v>
      </c>
      <c r="D278" s="2" t="s">
        <v>1707</v>
      </c>
      <c r="E278" s="10" t="s">
        <v>1708</v>
      </c>
      <c r="F278" s="2" t="s">
        <v>1653</v>
      </c>
      <c r="G278" s="2"/>
      <c r="H278" s="2"/>
      <c r="I278" s="2" t="s">
        <v>1705</v>
      </c>
    </row>
    <row r="279" ht="15.75" hidden="1" customHeight="1">
      <c r="A279" s="9">
        <v>7266000.0</v>
      </c>
      <c r="B279" s="2" t="s">
        <v>1712</v>
      </c>
      <c r="C279" s="2" t="s">
        <v>1714</v>
      </c>
      <c r="D279" s="2" t="s">
        <v>1716</v>
      </c>
      <c r="E279" s="10" t="s">
        <v>1717</v>
      </c>
      <c r="F279" s="2" t="s">
        <v>1653</v>
      </c>
      <c r="G279" s="2"/>
      <c r="H279" s="2"/>
      <c r="I279" s="2" t="s">
        <v>1714</v>
      </c>
    </row>
    <row r="280" ht="15.75" hidden="1" customHeight="1">
      <c r="A280" s="9">
        <v>7266001.0</v>
      </c>
      <c r="B280" s="2" t="s">
        <v>1720</v>
      </c>
      <c r="C280" s="2" t="s">
        <v>1721</v>
      </c>
      <c r="D280" s="2" t="s">
        <v>1722</v>
      </c>
      <c r="E280" s="10" t="s">
        <v>1723</v>
      </c>
      <c r="F280" s="2" t="s">
        <v>1653</v>
      </c>
      <c r="G280" s="2"/>
      <c r="H280" s="2"/>
      <c r="I280" s="2" t="s">
        <v>1721</v>
      </c>
    </row>
    <row r="281" ht="15.75" hidden="1" customHeight="1">
      <c r="A281" s="9">
        <v>7266002.0</v>
      </c>
      <c r="B281" s="2" t="s">
        <v>1727</v>
      </c>
      <c r="C281" s="2" t="s">
        <v>1729</v>
      </c>
      <c r="D281" s="2" t="s">
        <v>1730</v>
      </c>
      <c r="E281" s="10" t="s">
        <v>1732</v>
      </c>
      <c r="F281" s="2" t="s">
        <v>1653</v>
      </c>
      <c r="G281" s="2"/>
      <c r="H281" s="2"/>
      <c r="I281" s="2" t="s">
        <v>1729</v>
      </c>
    </row>
    <row r="282" ht="15.75" hidden="1" customHeight="1">
      <c r="A282" s="9">
        <v>7266003.0</v>
      </c>
      <c r="B282" s="2" t="s">
        <v>1735</v>
      </c>
      <c r="C282" s="2" t="s">
        <v>1738</v>
      </c>
      <c r="D282" s="2" t="s">
        <v>1739</v>
      </c>
      <c r="E282" s="10" t="s">
        <v>1740</v>
      </c>
      <c r="F282" s="2" t="s">
        <v>1653</v>
      </c>
      <c r="G282" s="2"/>
      <c r="H282" s="2"/>
      <c r="I282" s="2" t="s">
        <v>1738</v>
      </c>
    </row>
    <row r="283" ht="15.75" hidden="1" customHeight="1">
      <c r="A283" s="9">
        <v>7266004.0</v>
      </c>
      <c r="B283" s="2" t="s">
        <v>1741</v>
      </c>
      <c r="C283" s="2" t="s">
        <v>1742</v>
      </c>
      <c r="D283" s="2" t="s">
        <v>1743</v>
      </c>
      <c r="E283" s="10" t="s">
        <v>1745</v>
      </c>
      <c r="F283" s="2" t="s">
        <v>1653</v>
      </c>
      <c r="G283" s="2"/>
      <c r="H283" s="2"/>
      <c r="I283" s="2" t="s">
        <v>1742</v>
      </c>
    </row>
    <row r="284" ht="15.75" hidden="1" customHeight="1">
      <c r="A284" s="9">
        <v>7266005.0</v>
      </c>
      <c r="B284" s="2" t="s">
        <v>1748</v>
      </c>
      <c r="C284" s="2" t="s">
        <v>1750</v>
      </c>
      <c r="D284" s="2" t="s">
        <v>1751</v>
      </c>
      <c r="E284" s="10" t="s">
        <v>1752</v>
      </c>
      <c r="F284" s="2" t="s">
        <v>1653</v>
      </c>
      <c r="G284" s="2"/>
      <c r="H284" s="2"/>
      <c r="I284" s="2" t="s">
        <v>1750</v>
      </c>
    </row>
    <row r="285" ht="15.75" hidden="1" customHeight="1">
      <c r="A285" s="9">
        <v>7266006.0</v>
      </c>
      <c r="B285" s="2" t="s">
        <v>1757</v>
      </c>
      <c r="C285" s="2" t="s">
        <v>1758</v>
      </c>
      <c r="D285" s="2" t="s">
        <v>1760</v>
      </c>
      <c r="E285" s="10" t="s">
        <v>1761</v>
      </c>
      <c r="F285" s="2" t="s">
        <v>1653</v>
      </c>
      <c r="G285" s="2"/>
      <c r="H285" s="2"/>
      <c r="I285" s="2" t="s">
        <v>1758</v>
      </c>
    </row>
    <row r="286" ht="15.75" hidden="1" customHeight="1">
      <c r="A286" s="9">
        <v>7266007.0</v>
      </c>
      <c r="B286" s="2" t="s">
        <v>1763</v>
      </c>
      <c r="C286" s="2" t="s">
        <v>1764</v>
      </c>
      <c r="D286" s="2" t="s">
        <v>1765</v>
      </c>
      <c r="E286" s="10" t="s">
        <v>1766</v>
      </c>
      <c r="F286" s="2" t="s">
        <v>1653</v>
      </c>
      <c r="G286" s="2"/>
      <c r="H286" s="2"/>
      <c r="I286" s="2" t="s">
        <v>1764</v>
      </c>
    </row>
    <row r="287" ht="15.75" hidden="1" customHeight="1">
      <c r="A287" s="9">
        <v>7266008.0</v>
      </c>
      <c r="B287" s="2" t="s">
        <v>1770</v>
      </c>
      <c r="C287" s="2" t="s">
        <v>1771</v>
      </c>
      <c r="D287" s="2" t="s">
        <v>1772</v>
      </c>
      <c r="E287" s="10" t="s">
        <v>1773</v>
      </c>
      <c r="F287" s="2" t="s">
        <v>1653</v>
      </c>
      <c r="G287" s="2"/>
      <c r="H287" s="2"/>
      <c r="I287" s="2" t="s">
        <v>1771</v>
      </c>
    </row>
    <row r="288" ht="15.75" hidden="1" customHeight="1">
      <c r="A288" s="9">
        <v>7266009.0</v>
      </c>
      <c r="B288" s="2" t="s">
        <v>1775</v>
      </c>
      <c r="C288" s="2" t="s">
        <v>1777</v>
      </c>
      <c r="D288" s="2" t="s">
        <v>1778</v>
      </c>
      <c r="E288" s="10" t="s">
        <v>1780</v>
      </c>
      <c r="F288" s="2" t="s">
        <v>1653</v>
      </c>
      <c r="G288" s="2"/>
      <c r="H288" s="2"/>
      <c r="I288" s="2" t="s">
        <v>1777</v>
      </c>
    </row>
    <row r="289" ht="15.75" hidden="1" customHeight="1">
      <c r="A289" s="9">
        <v>7266010.0</v>
      </c>
      <c r="B289" s="2" t="s">
        <v>1781</v>
      </c>
      <c r="C289" s="2" t="s">
        <v>1782</v>
      </c>
      <c r="D289" s="2" t="s">
        <v>1783</v>
      </c>
      <c r="E289" s="10" t="s">
        <v>1784</v>
      </c>
      <c r="F289" s="2" t="s">
        <v>1653</v>
      </c>
      <c r="G289" s="2"/>
      <c r="H289" s="2"/>
      <c r="I289" s="2" t="s">
        <v>1782</v>
      </c>
    </row>
    <row r="290" ht="15.75" hidden="1" customHeight="1">
      <c r="A290" s="9">
        <v>7266011.0</v>
      </c>
      <c r="B290" s="2" t="s">
        <v>1786</v>
      </c>
      <c r="C290" s="2" t="s">
        <v>1787</v>
      </c>
      <c r="D290" s="2" t="s">
        <v>1788</v>
      </c>
      <c r="E290" s="10" t="s">
        <v>1789</v>
      </c>
      <c r="F290" s="2" t="s">
        <v>1653</v>
      </c>
      <c r="G290" s="2"/>
      <c r="H290" s="2"/>
      <c r="I290" s="2" t="s">
        <v>1787</v>
      </c>
    </row>
    <row r="291" ht="15.75" hidden="1" customHeight="1">
      <c r="A291" s="9">
        <v>7266012.0</v>
      </c>
      <c r="B291" s="2" t="s">
        <v>1795</v>
      </c>
      <c r="C291" s="2" t="s">
        <v>1797</v>
      </c>
      <c r="D291" s="2" t="s">
        <v>1798</v>
      </c>
      <c r="E291" s="10" t="s">
        <v>1799</v>
      </c>
      <c r="F291" s="2" t="s">
        <v>1653</v>
      </c>
      <c r="G291" s="2"/>
      <c r="H291" s="2"/>
      <c r="I291" s="2" t="s">
        <v>1797</v>
      </c>
    </row>
    <row r="292" ht="15.75" hidden="1" customHeight="1">
      <c r="A292" s="9">
        <v>7266013.0</v>
      </c>
      <c r="B292" s="2" t="s">
        <v>969</v>
      </c>
      <c r="C292" s="2" t="s">
        <v>1803</v>
      </c>
      <c r="D292" s="2" t="s">
        <v>1804</v>
      </c>
      <c r="E292" s="10" t="s">
        <v>1805</v>
      </c>
      <c r="F292" s="2" t="s">
        <v>1653</v>
      </c>
      <c r="G292" s="2"/>
      <c r="H292" s="2"/>
      <c r="I292" s="2" t="s">
        <v>1803</v>
      </c>
    </row>
    <row r="293" ht="15.75" hidden="1" customHeight="1">
      <c r="A293" s="9">
        <v>7266014.0</v>
      </c>
      <c r="B293" s="2" t="s">
        <v>1809</v>
      </c>
      <c r="C293" s="2" t="s">
        <v>1810</v>
      </c>
      <c r="D293" s="2" t="s">
        <v>1811</v>
      </c>
      <c r="E293" s="10" t="s">
        <v>1812</v>
      </c>
      <c r="F293" s="2" t="s">
        <v>1653</v>
      </c>
      <c r="G293" s="2"/>
      <c r="H293" s="2"/>
      <c r="I293" s="2" t="s">
        <v>1810</v>
      </c>
    </row>
    <row r="294" ht="15.75" hidden="1" customHeight="1">
      <c r="A294" s="9">
        <v>7266015.0</v>
      </c>
      <c r="B294" s="2" t="s">
        <v>1814</v>
      </c>
      <c r="C294" s="2" t="s">
        <v>1815</v>
      </c>
      <c r="D294" s="2" t="s">
        <v>1817</v>
      </c>
      <c r="E294" s="10" t="s">
        <v>1818</v>
      </c>
      <c r="F294" s="2" t="s">
        <v>1653</v>
      </c>
      <c r="G294" s="2"/>
      <c r="H294" s="2"/>
      <c r="I294" s="2" t="s">
        <v>1815</v>
      </c>
    </row>
    <row r="295" ht="15.75" hidden="1" customHeight="1">
      <c r="A295" s="9">
        <v>7266016.0</v>
      </c>
      <c r="B295" s="2" t="s">
        <v>1822</v>
      </c>
      <c r="C295" s="2" t="s">
        <v>1823</v>
      </c>
      <c r="D295" s="2" t="s">
        <v>1825</v>
      </c>
      <c r="E295" s="10" t="s">
        <v>1826</v>
      </c>
      <c r="F295" s="2" t="s">
        <v>1653</v>
      </c>
      <c r="G295" s="2"/>
      <c r="H295" s="2"/>
      <c r="I295" s="2" t="s">
        <v>1823</v>
      </c>
    </row>
    <row r="296" ht="15.75" hidden="1" customHeight="1">
      <c r="A296" s="9">
        <v>7266017.0</v>
      </c>
      <c r="B296" s="2" t="s">
        <v>1828</v>
      </c>
      <c r="C296" s="2" t="s">
        <v>1829</v>
      </c>
      <c r="D296" s="2" t="s">
        <v>1830</v>
      </c>
      <c r="E296" s="10" t="s">
        <v>1831</v>
      </c>
      <c r="F296" s="2" t="s">
        <v>782</v>
      </c>
      <c r="G296" s="2"/>
      <c r="H296" s="2"/>
      <c r="I296" s="2" t="s">
        <v>1829</v>
      </c>
    </row>
    <row r="297" ht="15.75" hidden="1" customHeight="1">
      <c r="A297" s="9">
        <v>7266018.0</v>
      </c>
      <c r="B297" s="2" t="s">
        <v>1834</v>
      </c>
      <c r="C297" s="2" t="s">
        <v>1836</v>
      </c>
      <c r="D297" s="2" t="s">
        <v>1837</v>
      </c>
      <c r="E297" s="10" t="s">
        <v>1838</v>
      </c>
      <c r="F297" s="2" t="s">
        <v>782</v>
      </c>
      <c r="G297" s="2"/>
      <c r="H297" s="2"/>
      <c r="I297" s="2" t="s">
        <v>1836</v>
      </c>
    </row>
    <row r="298" ht="15.75" hidden="1" customHeight="1">
      <c r="A298" s="9">
        <v>7266019.0</v>
      </c>
      <c r="B298" s="2" t="s">
        <v>1839</v>
      </c>
      <c r="C298" s="2" t="s">
        <v>1841</v>
      </c>
      <c r="D298" s="2" t="s">
        <v>1842</v>
      </c>
      <c r="E298" s="10" t="s">
        <v>1843</v>
      </c>
      <c r="F298" s="2" t="s">
        <v>782</v>
      </c>
      <c r="G298" s="2"/>
      <c r="H298" s="2"/>
      <c r="I298" s="2" t="s">
        <v>1841</v>
      </c>
    </row>
    <row r="299" ht="15.75" hidden="1" customHeight="1">
      <c r="A299" s="9">
        <v>7266020.0</v>
      </c>
      <c r="B299" s="2" t="s">
        <v>1845</v>
      </c>
      <c r="C299" s="2" t="s">
        <v>1846</v>
      </c>
      <c r="D299" s="2" t="s">
        <v>1847</v>
      </c>
      <c r="E299" s="10" t="s">
        <v>1848</v>
      </c>
      <c r="F299" s="2" t="s">
        <v>782</v>
      </c>
      <c r="G299" s="2"/>
      <c r="H299" s="2"/>
      <c r="I299" s="2" t="s">
        <v>1846</v>
      </c>
    </row>
    <row r="300" ht="15.75" hidden="1" customHeight="1">
      <c r="A300" s="9">
        <v>7266021.0</v>
      </c>
      <c r="B300" s="2" t="s">
        <v>1849</v>
      </c>
      <c r="C300" s="2" t="s">
        <v>1850</v>
      </c>
      <c r="D300" s="2" t="s">
        <v>1851</v>
      </c>
      <c r="E300" s="10" t="s">
        <v>1852</v>
      </c>
      <c r="F300" s="2" t="s">
        <v>782</v>
      </c>
      <c r="G300" s="2"/>
      <c r="H300" s="2"/>
      <c r="I300" s="2" t="s">
        <v>1850</v>
      </c>
    </row>
    <row r="301" ht="15.75" hidden="1" customHeight="1">
      <c r="A301" s="9">
        <v>7266022.0</v>
      </c>
      <c r="B301" s="2" t="s">
        <v>1855</v>
      </c>
      <c r="C301" s="2" t="s">
        <v>1856</v>
      </c>
      <c r="D301" s="2" t="s">
        <v>1858</v>
      </c>
      <c r="E301" s="10" t="s">
        <v>1859</v>
      </c>
      <c r="F301" s="2" t="s">
        <v>782</v>
      </c>
      <c r="G301" s="2"/>
      <c r="H301" s="2"/>
      <c r="I301" s="2" t="s">
        <v>1856</v>
      </c>
    </row>
    <row r="302" ht="15.75" hidden="1" customHeight="1">
      <c r="A302" s="9">
        <v>7266023.0</v>
      </c>
      <c r="B302" s="2" t="s">
        <v>1861</v>
      </c>
      <c r="C302" s="2" t="s">
        <v>1862</v>
      </c>
      <c r="D302" s="2" t="s">
        <v>1863</v>
      </c>
      <c r="E302" s="10" t="s">
        <v>1865</v>
      </c>
      <c r="F302" s="2" t="s">
        <v>782</v>
      </c>
      <c r="G302" s="2"/>
      <c r="H302" s="2"/>
      <c r="I302" s="2" t="s">
        <v>1862</v>
      </c>
    </row>
    <row r="303" ht="15.75" hidden="1" customHeight="1">
      <c r="A303" s="9">
        <v>7266024.0</v>
      </c>
      <c r="B303" s="2" t="s">
        <v>1867</v>
      </c>
      <c r="C303" s="2" t="s">
        <v>1868</v>
      </c>
      <c r="D303" s="2" t="s">
        <v>1870</v>
      </c>
      <c r="E303" s="10" t="s">
        <v>1871</v>
      </c>
      <c r="F303" s="2" t="s">
        <v>782</v>
      </c>
      <c r="G303" s="2"/>
      <c r="H303" s="2"/>
      <c r="I303" s="2" t="s">
        <v>1868</v>
      </c>
    </row>
    <row r="304" ht="15.75" hidden="1" customHeight="1">
      <c r="A304" s="9">
        <v>7266025.0</v>
      </c>
      <c r="B304" s="2" t="s">
        <v>1874</v>
      </c>
      <c r="C304" s="2" t="s">
        <v>1875</v>
      </c>
      <c r="D304" s="2" t="s">
        <v>1876</v>
      </c>
      <c r="E304" s="10" t="s">
        <v>1877</v>
      </c>
      <c r="F304" s="2" t="s">
        <v>782</v>
      </c>
      <c r="G304" s="2"/>
      <c r="H304" s="2"/>
      <c r="I304" s="2" t="s">
        <v>1875</v>
      </c>
    </row>
    <row r="305" ht="15.75" hidden="1" customHeight="1">
      <c r="A305" s="9">
        <v>7266026.0</v>
      </c>
      <c r="B305" s="2" t="s">
        <v>1878</v>
      </c>
      <c r="C305" s="2" t="s">
        <v>1880</v>
      </c>
      <c r="D305" s="2" t="s">
        <v>1881</v>
      </c>
      <c r="E305" s="10" t="s">
        <v>1882</v>
      </c>
      <c r="F305" s="2" t="s">
        <v>782</v>
      </c>
      <c r="G305" s="2"/>
      <c r="H305" s="2"/>
      <c r="I305" s="2" t="s">
        <v>1880</v>
      </c>
    </row>
    <row r="306" ht="15.75" hidden="1" customHeight="1">
      <c r="A306" s="9">
        <v>7266027.0</v>
      </c>
      <c r="B306" s="2" t="s">
        <v>1883</v>
      </c>
      <c r="C306" s="2" t="s">
        <v>1885</v>
      </c>
      <c r="D306" s="2" t="s">
        <v>1886</v>
      </c>
      <c r="E306" s="10" t="s">
        <v>1887</v>
      </c>
      <c r="F306" s="2" t="s">
        <v>782</v>
      </c>
      <c r="G306" s="2"/>
      <c r="H306" s="2"/>
      <c r="I306" s="2" t="s">
        <v>1885</v>
      </c>
    </row>
    <row r="307" ht="15.75" hidden="1" customHeight="1">
      <c r="A307" s="9">
        <v>7266028.0</v>
      </c>
      <c r="B307" s="2" t="s">
        <v>1890</v>
      </c>
      <c r="C307" s="2" t="s">
        <v>1891</v>
      </c>
      <c r="D307" s="2" t="s">
        <v>1892</v>
      </c>
      <c r="E307" s="10" t="s">
        <v>1893</v>
      </c>
      <c r="F307" s="2" t="s">
        <v>782</v>
      </c>
      <c r="G307" s="2"/>
      <c r="H307" s="2"/>
      <c r="I307" s="2" t="s">
        <v>1891</v>
      </c>
    </row>
    <row r="308" ht="15.75" hidden="1" customHeight="1">
      <c r="A308" s="9">
        <v>7266029.0</v>
      </c>
      <c r="B308" s="2" t="s">
        <v>1894</v>
      </c>
      <c r="C308" s="2" t="s">
        <v>1895</v>
      </c>
      <c r="D308" s="2" t="s">
        <v>1896</v>
      </c>
      <c r="E308" s="10" t="s">
        <v>1897</v>
      </c>
      <c r="F308" s="2" t="s">
        <v>782</v>
      </c>
      <c r="G308" s="2"/>
      <c r="H308" s="2"/>
      <c r="I308" s="2" t="s">
        <v>1895</v>
      </c>
    </row>
    <row r="309" ht="15.75" hidden="1" customHeight="1">
      <c r="A309" s="9">
        <v>7266030.0</v>
      </c>
      <c r="B309" s="2" t="s">
        <v>1900</v>
      </c>
      <c r="C309" s="2" t="s">
        <v>1901</v>
      </c>
      <c r="D309" s="2" t="s">
        <v>1903</v>
      </c>
      <c r="E309" s="10" t="s">
        <v>1904</v>
      </c>
      <c r="F309" s="2" t="s">
        <v>782</v>
      </c>
      <c r="G309" s="2"/>
      <c r="H309" s="2"/>
      <c r="I309" s="2" t="s">
        <v>1901</v>
      </c>
    </row>
    <row r="310" ht="15.75" hidden="1" customHeight="1">
      <c r="A310" s="9">
        <v>7266031.0</v>
      </c>
      <c r="B310" s="2" t="s">
        <v>1905</v>
      </c>
      <c r="C310" s="2" t="s">
        <v>1906</v>
      </c>
      <c r="D310" s="2" t="s">
        <v>1907</v>
      </c>
      <c r="E310" s="10" t="s">
        <v>1908</v>
      </c>
      <c r="F310" s="2" t="s">
        <v>782</v>
      </c>
      <c r="G310" s="2"/>
      <c r="H310" s="2"/>
      <c r="I310" s="2" t="s">
        <v>1906</v>
      </c>
    </row>
    <row r="311" ht="15.75" hidden="1" customHeight="1">
      <c r="A311" s="9">
        <v>7266032.0</v>
      </c>
      <c r="B311" s="2" t="s">
        <v>1909</v>
      </c>
      <c r="C311" s="2" t="s">
        <v>1910</v>
      </c>
      <c r="D311" s="2" t="s">
        <v>1912</v>
      </c>
      <c r="E311" s="10" t="s">
        <v>1913</v>
      </c>
      <c r="F311" s="2" t="s">
        <v>782</v>
      </c>
      <c r="G311" s="2"/>
      <c r="H311" s="2"/>
      <c r="I311" s="2" t="s">
        <v>1910</v>
      </c>
    </row>
    <row r="312" ht="15.75" hidden="1" customHeight="1">
      <c r="A312" s="9">
        <v>7266033.0</v>
      </c>
      <c r="B312" s="2" t="s">
        <v>1916</v>
      </c>
      <c r="C312" s="2" t="s">
        <v>1917</v>
      </c>
      <c r="D312" s="2" t="s">
        <v>1918</v>
      </c>
      <c r="E312" s="10" t="s">
        <v>1920</v>
      </c>
      <c r="F312" s="2" t="s">
        <v>782</v>
      </c>
      <c r="G312" s="2"/>
      <c r="H312" s="2"/>
      <c r="I312" s="2" t="s">
        <v>1917</v>
      </c>
    </row>
    <row r="313" ht="15.75" hidden="1" customHeight="1">
      <c r="A313" s="9">
        <v>7266034.0</v>
      </c>
      <c r="B313" s="2" t="s">
        <v>1921</v>
      </c>
      <c r="C313" s="2" t="s">
        <v>1922</v>
      </c>
      <c r="D313" s="2" t="s">
        <v>1923</v>
      </c>
      <c r="E313" s="10" t="s">
        <v>1924</v>
      </c>
      <c r="F313" s="2" t="s">
        <v>782</v>
      </c>
      <c r="G313" s="2"/>
      <c r="H313" s="2"/>
      <c r="I313" s="2" t="s">
        <v>1922</v>
      </c>
    </row>
    <row r="314" ht="15.75" hidden="1" customHeight="1">
      <c r="A314" s="9">
        <v>7266035.0</v>
      </c>
      <c r="B314" s="2" t="s">
        <v>1926</v>
      </c>
      <c r="C314" s="2" t="s">
        <v>1927</v>
      </c>
      <c r="D314" s="2" t="s">
        <v>1929</v>
      </c>
      <c r="E314" s="10" t="s">
        <v>1930</v>
      </c>
      <c r="F314" s="2" t="s">
        <v>782</v>
      </c>
      <c r="G314" s="2"/>
      <c r="H314" s="2"/>
      <c r="I314" s="2" t="s">
        <v>1927</v>
      </c>
    </row>
    <row r="315" ht="15.75" hidden="1" customHeight="1">
      <c r="A315" s="9">
        <v>7266036.0</v>
      </c>
      <c r="B315" s="2" t="s">
        <v>1933</v>
      </c>
      <c r="C315" s="2" t="s">
        <v>1934</v>
      </c>
      <c r="D315" s="2" t="s">
        <v>1935</v>
      </c>
      <c r="E315" s="10" t="s">
        <v>1936</v>
      </c>
      <c r="F315" s="2" t="s">
        <v>782</v>
      </c>
      <c r="G315" s="2"/>
      <c r="H315" s="2"/>
      <c r="I315" s="2" t="s">
        <v>1934</v>
      </c>
    </row>
    <row r="316" ht="15.75" hidden="1" customHeight="1">
      <c r="A316" s="9">
        <v>7266037.0</v>
      </c>
      <c r="B316" s="2" t="s">
        <v>1938</v>
      </c>
      <c r="C316" s="2" t="s">
        <v>1939</v>
      </c>
      <c r="D316" s="2" t="s">
        <v>1941</v>
      </c>
      <c r="E316" s="10" t="s">
        <v>1942</v>
      </c>
      <c r="F316" s="2" t="s">
        <v>782</v>
      </c>
      <c r="G316" s="2"/>
      <c r="H316" s="2"/>
      <c r="I316" s="2" t="s">
        <v>1939</v>
      </c>
    </row>
    <row r="317" ht="15.75" hidden="1" customHeight="1">
      <c r="A317" s="9">
        <v>7266038.0</v>
      </c>
      <c r="B317" s="2" t="s">
        <v>1945</v>
      </c>
      <c r="C317" s="2" t="s">
        <v>1947</v>
      </c>
      <c r="D317" s="2" t="s">
        <v>1948</v>
      </c>
      <c r="E317" s="10" t="s">
        <v>1949</v>
      </c>
      <c r="F317" s="2" t="s">
        <v>782</v>
      </c>
      <c r="G317" s="2"/>
      <c r="H317" s="2"/>
      <c r="I317" s="2" t="s">
        <v>1947</v>
      </c>
    </row>
    <row r="318" ht="15.75" hidden="1" customHeight="1">
      <c r="A318" s="9">
        <v>7266039.0</v>
      </c>
      <c r="B318" s="2" t="s">
        <v>1950</v>
      </c>
      <c r="C318" s="2" t="s">
        <v>1951</v>
      </c>
      <c r="D318" s="2" t="s">
        <v>1952</v>
      </c>
      <c r="E318" s="10" t="s">
        <v>1954</v>
      </c>
      <c r="F318" s="2" t="s">
        <v>782</v>
      </c>
      <c r="G318" s="2"/>
      <c r="H318" s="2"/>
      <c r="I318" s="2" t="s">
        <v>1951</v>
      </c>
    </row>
    <row r="319" ht="15.75" hidden="1" customHeight="1">
      <c r="A319" s="9">
        <v>7266040.0</v>
      </c>
      <c r="B319" s="2" t="s">
        <v>1957</v>
      </c>
      <c r="C319" s="2" t="s">
        <v>1958</v>
      </c>
      <c r="D319" s="2" t="s">
        <v>1959</v>
      </c>
      <c r="E319" s="10" t="s">
        <v>1961</v>
      </c>
      <c r="F319" s="2" t="s">
        <v>782</v>
      </c>
      <c r="G319" s="2"/>
      <c r="H319" s="2"/>
      <c r="I319" s="2" t="s">
        <v>1958</v>
      </c>
    </row>
    <row r="320" ht="15.75" hidden="1" customHeight="1">
      <c r="A320" s="9">
        <v>7266041.0</v>
      </c>
      <c r="B320" s="2" t="s">
        <v>1962</v>
      </c>
      <c r="C320" s="2" t="s">
        <v>1963</v>
      </c>
      <c r="D320" s="2" t="s">
        <v>1964</v>
      </c>
      <c r="E320" s="10" t="s">
        <v>1965</v>
      </c>
      <c r="F320" s="2" t="s">
        <v>782</v>
      </c>
      <c r="G320" s="2"/>
      <c r="H320" s="2"/>
      <c r="I320" s="2" t="s">
        <v>1963</v>
      </c>
    </row>
    <row r="321" ht="15.75" hidden="1" customHeight="1">
      <c r="A321" s="9">
        <v>7266042.0</v>
      </c>
      <c r="B321" s="2" t="s">
        <v>1967</v>
      </c>
      <c r="C321" s="2" t="s">
        <v>1968</v>
      </c>
      <c r="D321" s="2" t="s">
        <v>1969</v>
      </c>
      <c r="E321" s="10" t="s">
        <v>1971</v>
      </c>
      <c r="F321" s="2" t="s">
        <v>17</v>
      </c>
      <c r="G321" s="2"/>
      <c r="H321" s="2"/>
      <c r="I321" s="2" t="s">
        <v>1968</v>
      </c>
    </row>
    <row r="322" ht="15.75" hidden="1" customHeight="1">
      <c r="A322" s="9">
        <v>7266043.0</v>
      </c>
      <c r="B322" s="2" t="s">
        <v>1974</v>
      </c>
      <c r="C322" s="2" t="s">
        <v>1975</v>
      </c>
      <c r="D322" s="2" t="s">
        <v>1976</v>
      </c>
      <c r="E322" s="10" t="s">
        <v>1977</v>
      </c>
      <c r="F322" s="2" t="s">
        <v>17</v>
      </c>
      <c r="G322" s="2"/>
      <c r="H322" s="2"/>
      <c r="I322" s="2" t="s">
        <v>1975</v>
      </c>
    </row>
    <row r="323" ht="15.75" hidden="1" customHeight="1">
      <c r="A323" s="9">
        <v>7266044.0</v>
      </c>
      <c r="B323" s="2" t="s">
        <v>1978</v>
      </c>
      <c r="C323" s="2" t="s">
        <v>1979</v>
      </c>
      <c r="D323" s="2" t="s">
        <v>1980</v>
      </c>
      <c r="E323" s="10" t="s">
        <v>1981</v>
      </c>
      <c r="F323" s="2" t="s">
        <v>17</v>
      </c>
      <c r="G323" s="2"/>
      <c r="H323" s="2"/>
      <c r="I323" s="2" t="s">
        <v>1979</v>
      </c>
    </row>
    <row r="324" ht="15.75" hidden="1" customHeight="1">
      <c r="A324" s="9">
        <v>7266045.0</v>
      </c>
      <c r="B324" s="2" t="s">
        <v>1984</v>
      </c>
      <c r="C324" s="2" t="s">
        <v>1985</v>
      </c>
      <c r="D324" s="2" t="s">
        <v>1986</v>
      </c>
      <c r="E324" s="10" t="s">
        <v>1988</v>
      </c>
      <c r="F324" s="2" t="s">
        <v>17</v>
      </c>
      <c r="G324" s="2"/>
      <c r="H324" s="2"/>
      <c r="I324" s="2" t="s">
        <v>1985</v>
      </c>
    </row>
    <row r="325" ht="15.75" hidden="1" customHeight="1">
      <c r="A325" s="9">
        <v>7266046.0</v>
      </c>
      <c r="B325" s="2" t="s">
        <v>1990</v>
      </c>
      <c r="C325" s="2" t="s">
        <v>1991</v>
      </c>
      <c r="D325" s="2" t="s">
        <v>1992</v>
      </c>
      <c r="E325" s="10" t="s">
        <v>1993</v>
      </c>
      <c r="F325" s="2" t="s">
        <v>17</v>
      </c>
      <c r="G325" s="2"/>
      <c r="H325" s="2"/>
      <c r="I325" s="2" t="s">
        <v>1991</v>
      </c>
    </row>
    <row r="326" ht="15.75" hidden="1" customHeight="1">
      <c r="A326" s="9">
        <v>7266047.0</v>
      </c>
      <c r="B326" s="2" t="s">
        <v>1994</v>
      </c>
      <c r="C326" s="2" t="s">
        <v>1995</v>
      </c>
      <c r="D326" s="2" t="s">
        <v>1996</v>
      </c>
      <c r="E326" s="10" t="s">
        <v>1997</v>
      </c>
      <c r="F326" s="2" t="s">
        <v>17</v>
      </c>
      <c r="G326" s="2"/>
      <c r="H326" s="2"/>
      <c r="I326" s="2" t="s">
        <v>1995</v>
      </c>
    </row>
    <row r="327" ht="15.75" hidden="1" customHeight="1">
      <c r="A327" s="9">
        <v>7266048.0</v>
      </c>
      <c r="B327" s="2" t="s">
        <v>1998</v>
      </c>
      <c r="C327" s="2" t="s">
        <v>1999</v>
      </c>
      <c r="D327" s="2" t="s">
        <v>2000</v>
      </c>
      <c r="E327" s="10" t="s">
        <v>2002</v>
      </c>
      <c r="F327" s="2" t="s">
        <v>17</v>
      </c>
      <c r="G327" s="2"/>
      <c r="H327" s="2"/>
      <c r="I327" s="2" t="s">
        <v>1999</v>
      </c>
    </row>
    <row r="328" ht="15.75" hidden="1" customHeight="1">
      <c r="A328" s="9">
        <v>7266049.0</v>
      </c>
      <c r="B328" s="2" t="s">
        <v>2003</v>
      </c>
      <c r="C328" s="2" t="s">
        <v>2004</v>
      </c>
      <c r="D328" s="2" t="s">
        <v>2005</v>
      </c>
      <c r="E328" s="10" t="s">
        <v>2007</v>
      </c>
      <c r="F328" s="2" t="s">
        <v>17</v>
      </c>
      <c r="G328" s="2"/>
      <c r="H328" s="2"/>
      <c r="I328" s="2" t="s">
        <v>2004</v>
      </c>
    </row>
    <row r="329" ht="15.75" hidden="1" customHeight="1">
      <c r="A329" s="9">
        <v>7266050.0</v>
      </c>
      <c r="B329" s="2" t="s">
        <v>2008</v>
      </c>
      <c r="C329" s="2" t="s">
        <v>2009</v>
      </c>
      <c r="D329" s="2" t="s">
        <v>2010</v>
      </c>
      <c r="E329" s="10" t="s">
        <v>2011</v>
      </c>
      <c r="F329" s="2" t="s">
        <v>17</v>
      </c>
      <c r="G329" s="2"/>
      <c r="H329" s="2"/>
      <c r="I329" s="2" t="s">
        <v>2009</v>
      </c>
    </row>
    <row r="330" ht="15.75" hidden="1" customHeight="1">
      <c r="A330" s="9">
        <v>7266051.0</v>
      </c>
      <c r="B330" s="2" t="s">
        <v>2012</v>
      </c>
      <c r="C330" s="2" t="s">
        <v>2013</v>
      </c>
      <c r="D330" s="2" t="s">
        <v>2014</v>
      </c>
      <c r="E330" s="10" t="s">
        <v>2015</v>
      </c>
      <c r="F330" s="2" t="s">
        <v>17</v>
      </c>
      <c r="G330" s="2"/>
      <c r="H330" s="2"/>
      <c r="I330" s="2" t="s">
        <v>2013</v>
      </c>
    </row>
    <row r="331" ht="15.75" hidden="1" customHeight="1">
      <c r="A331" s="9">
        <v>7266052.0</v>
      </c>
      <c r="B331" s="2" t="s">
        <v>2017</v>
      </c>
      <c r="C331" s="2" t="s">
        <v>2018</v>
      </c>
      <c r="D331" s="2" t="s">
        <v>2019</v>
      </c>
      <c r="E331" s="10" t="s">
        <v>2020</v>
      </c>
      <c r="F331" s="2" t="s">
        <v>17</v>
      </c>
      <c r="G331" s="2"/>
      <c r="H331" s="2"/>
      <c r="I331" s="2" t="s">
        <v>2018</v>
      </c>
    </row>
    <row r="332" ht="15.75" hidden="1" customHeight="1">
      <c r="A332" s="9">
        <v>7266053.0</v>
      </c>
      <c r="B332" s="2" t="s">
        <v>2022</v>
      </c>
      <c r="C332" s="2" t="s">
        <v>2024</v>
      </c>
      <c r="D332" s="2" t="s">
        <v>2025</v>
      </c>
      <c r="E332" s="10" t="s">
        <v>2026</v>
      </c>
      <c r="F332" s="2" t="s">
        <v>17</v>
      </c>
      <c r="G332" s="2"/>
      <c r="H332" s="2"/>
      <c r="I332" s="2" t="s">
        <v>2024</v>
      </c>
    </row>
    <row r="333" ht="15.75" hidden="1" customHeight="1">
      <c r="A333" s="9">
        <v>7266054.0</v>
      </c>
      <c r="B333" s="2" t="s">
        <v>2028</v>
      </c>
      <c r="C333" s="2" t="s">
        <v>2029</v>
      </c>
      <c r="D333" s="2" t="s">
        <v>1051</v>
      </c>
      <c r="E333" s="10" t="s">
        <v>1057</v>
      </c>
      <c r="F333" s="2" t="s">
        <v>17</v>
      </c>
      <c r="G333" s="2"/>
      <c r="H333" s="2"/>
      <c r="I333" s="2" t="s">
        <v>2029</v>
      </c>
    </row>
    <row r="334" ht="15.75" hidden="1" customHeight="1">
      <c r="A334" s="9">
        <v>7266055.0</v>
      </c>
      <c r="B334" s="2" t="s">
        <v>2030</v>
      </c>
      <c r="C334" s="2" t="s">
        <v>2031</v>
      </c>
      <c r="D334" s="2" t="s">
        <v>2032</v>
      </c>
      <c r="E334" s="10" t="s">
        <v>2034</v>
      </c>
      <c r="F334" s="2" t="s">
        <v>17</v>
      </c>
      <c r="G334" s="2"/>
      <c r="H334" s="2"/>
      <c r="I334" s="2" t="s">
        <v>2031</v>
      </c>
    </row>
    <row r="335" ht="15.75" hidden="1" customHeight="1">
      <c r="A335" s="9">
        <v>7266056.0</v>
      </c>
      <c r="B335" s="2" t="s">
        <v>2037</v>
      </c>
      <c r="C335" s="2" t="s">
        <v>2038</v>
      </c>
      <c r="D335" s="2" t="s">
        <v>2039</v>
      </c>
      <c r="E335" s="10" t="s">
        <v>2040</v>
      </c>
      <c r="F335" s="2" t="s">
        <v>17</v>
      </c>
      <c r="G335" s="2"/>
      <c r="H335" s="2"/>
      <c r="I335" s="2" t="s">
        <v>2038</v>
      </c>
    </row>
    <row r="336" ht="15.75" hidden="1" customHeight="1">
      <c r="A336" s="9">
        <v>7266057.0</v>
      </c>
      <c r="B336" s="2" t="s">
        <v>2042</v>
      </c>
      <c r="C336" s="2" t="s">
        <v>2043</v>
      </c>
      <c r="D336" s="2" t="s">
        <v>2044</v>
      </c>
      <c r="E336" s="10" t="s">
        <v>2045</v>
      </c>
      <c r="F336" s="2" t="s">
        <v>17</v>
      </c>
      <c r="G336" s="2"/>
      <c r="H336" s="2"/>
      <c r="I336" s="2" t="s">
        <v>2043</v>
      </c>
    </row>
    <row r="337" ht="15.75" hidden="1" customHeight="1">
      <c r="A337" s="9">
        <v>7266058.0</v>
      </c>
      <c r="B337" s="2" t="s">
        <v>2047</v>
      </c>
      <c r="C337" s="2" t="s">
        <v>2048</v>
      </c>
      <c r="D337" s="2" t="s">
        <v>2049</v>
      </c>
      <c r="E337" s="10" t="s">
        <v>2050</v>
      </c>
      <c r="F337" s="2" t="s">
        <v>17</v>
      </c>
      <c r="G337" s="2"/>
      <c r="H337" s="2"/>
      <c r="I337" s="2" t="s">
        <v>2048</v>
      </c>
    </row>
    <row r="338" ht="15.75" hidden="1" customHeight="1">
      <c r="A338" s="9">
        <v>7266059.0</v>
      </c>
      <c r="B338" s="2" t="s">
        <v>2052</v>
      </c>
      <c r="C338" s="2" t="s">
        <v>2053</v>
      </c>
      <c r="D338" s="2" t="s">
        <v>2054</v>
      </c>
      <c r="E338" s="10" t="s">
        <v>2055</v>
      </c>
      <c r="F338" s="2" t="s">
        <v>17</v>
      </c>
      <c r="G338" s="2"/>
      <c r="H338" s="2"/>
      <c r="I338" s="2" t="s">
        <v>2053</v>
      </c>
    </row>
    <row r="339" ht="15.75" hidden="1" customHeight="1">
      <c r="A339" s="9">
        <v>7266060.0</v>
      </c>
      <c r="B339" s="2" t="s">
        <v>2057</v>
      </c>
      <c r="C339" s="2" t="s">
        <v>2058</v>
      </c>
      <c r="D339" s="2" t="s">
        <v>2059</v>
      </c>
      <c r="E339" s="10" t="s">
        <v>2061</v>
      </c>
      <c r="F339" s="2" t="s">
        <v>17</v>
      </c>
      <c r="G339" s="2"/>
      <c r="H339" s="2"/>
      <c r="I339" s="2" t="s">
        <v>2058</v>
      </c>
    </row>
    <row r="340" ht="15.75" hidden="1" customHeight="1">
      <c r="A340" s="9">
        <v>7266061.0</v>
      </c>
      <c r="B340" s="2" t="s">
        <v>2064</v>
      </c>
      <c r="C340" s="2" t="s">
        <v>2065</v>
      </c>
      <c r="D340" s="2" t="s">
        <v>2066</v>
      </c>
      <c r="E340" s="10" t="s">
        <v>2067</v>
      </c>
      <c r="F340" s="2" t="s">
        <v>17</v>
      </c>
      <c r="G340" s="2"/>
      <c r="H340" s="2"/>
      <c r="I340" s="2" t="s">
        <v>2065</v>
      </c>
    </row>
    <row r="341" ht="15.75" hidden="1" customHeight="1">
      <c r="A341" s="9">
        <v>7266062.0</v>
      </c>
      <c r="B341" s="2" t="s">
        <v>2068</v>
      </c>
      <c r="C341" s="2" t="s">
        <v>2069</v>
      </c>
      <c r="D341" s="2" t="s">
        <v>2070</v>
      </c>
      <c r="E341" s="10" t="s">
        <v>2071</v>
      </c>
      <c r="F341" s="2" t="s">
        <v>17</v>
      </c>
      <c r="G341" s="2"/>
      <c r="H341" s="2"/>
      <c r="I341" s="2" t="s">
        <v>2069</v>
      </c>
    </row>
    <row r="342" ht="15.75" hidden="1" customHeight="1">
      <c r="A342" s="9">
        <v>7266063.0</v>
      </c>
      <c r="B342" s="2" t="s">
        <v>2073</v>
      </c>
      <c r="C342" s="2" t="s">
        <v>2074</v>
      </c>
      <c r="D342" s="2" t="s">
        <v>2075</v>
      </c>
      <c r="E342" s="10" t="s">
        <v>2076</v>
      </c>
      <c r="F342" s="2" t="s">
        <v>17</v>
      </c>
      <c r="G342" s="2"/>
      <c r="H342" s="2"/>
      <c r="I342" s="2" t="s">
        <v>2074</v>
      </c>
    </row>
    <row r="343" ht="15.75" hidden="1" customHeight="1">
      <c r="A343" s="9">
        <v>7266064.0</v>
      </c>
      <c r="B343" s="2" t="s">
        <v>2078</v>
      </c>
      <c r="C343" s="2" t="s">
        <v>2079</v>
      </c>
      <c r="D343" s="2" t="s">
        <v>2080</v>
      </c>
      <c r="E343" s="10" t="s">
        <v>2081</v>
      </c>
      <c r="F343" s="2" t="s">
        <v>17</v>
      </c>
      <c r="G343" s="2"/>
      <c r="H343" s="2"/>
      <c r="I343" s="2" t="s">
        <v>2079</v>
      </c>
    </row>
    <row r="344" ht="15.75" hidden="1" customHeight="1">
      <c r="A344" s="9">
        <v>7266065.0</v>
      </c>
      <c r="B344" s="2" t="s">
        <v>2083</v>
      </c>
      <c r="C344" s="2" t="s">
        <v>2084</v>
      </c>
      <c r="D344" s="2" t="s">
        <v>2086</v>
      </c>
      <c r="E344" s="10" t="s">
        <v>2087</v>
      </c>
      <c r="F344" s="2" t="s">
        <v>17</v>
      </c>
      <c r="G344" s="2"/>
      <c r="H344" s="2"/>
      <c r="I344" s="2" t="s">
        <v>2084</v>
      </c>
    </row>
    <row r="345" ht="15.75" hidden="1" customHeight="1">
      <c r="A345" s="9">
        <v>7266066.0</v>
      </c>
      <c r="B345" s="2" t="s">
        <v>2089</v>
      </c>
      <c r="C345" s="2" t="s">
        <v>2091</v>
      </c>
      <c r="D345" s="2" t="s">
        <v>2092</v>
      </c>
      <c r="E345" s="10" t="s">
        <v>2093</v>
      </c>
      <c r="F345" s="2" t="s">
        <v>17</v>
      </c>
      <c r="G345" s="2"/>
      <c r="H345" s="2"/>
      <c r="I345" s="2" t="s">
        <v>2091</v>
      </c>
    </row>
    <row r="346" ht="15.75" hidden="1" customHeight="1">
      <c r="A346" s="9">
        <v>7266067.0</v>
      </c>
      <c r="B346" s="2" t="s">
        <v>2094</v>
      </c>
      <c r="C346" s="2" t="s">
        <v>2095</v>
      </c>
      <c r="D346" s="2" t="s">
        <v>2096</v>
      </c>
      <c r="E346" s="10" t="s">
        <v>2097</v>
      </c>
      <c r="F346" s="2" t="s">
        <v>17</v>
      </c>
      <c r="G346" s="2"/>
      <c r="H346" s="2"/>
      <c r="I346" s="2" t="s">
        <v>2095</v>
      </c>
    </row>
    <row r="347" ht="15.75" hidden="1" customHeight="1">
      <c r="A347" s="9">
        <v>7266068.0</v>
      </c>
      <c r="B347" s="2" t="s">
        <v>2099</v>
      </c>
      <c r="C347" s="2" t="s">
        <v>2101</v>
      </c>
      <c r="D347" s="2" t="s">
        <v>2102</v>
      </c>
      <c r="E347" s="10" t="s">
        <v>2104</v>
      </c>
      <c r="F347" s="2" t="s">
        <v>17</v>
      </c>
      <c r="G347" s="2"/>
      <c r="H347" s="2"/>
      <c r="I347" s="2" t="s">
        <v>2101</v>
      </c>
    </row>
    <row r="348" ht="15.75" hidden="1" customHeight="1">
      <c r="A348" s="9">
        <v>7266069.0</v>
      </c>
      <c r="B348" s="2" t="s">
        <v>2106</v>
      </c>
      <c r="C348" s="2" t="s">
        <v>2107</v>
      </c>
      <c r="D348" s="2" t="s">
        <v>2108</v>
      </c>
      <c r="E348" s="10" t="s">
        <v>2109</v>
      </c>
      <c r="F348" s="2" t="s">
        <v>17</v>
      </c>
      <c r="G348" s="2"/>
      <c r="H348" s="2"/>
      <c r="I348" s="2" t="s">
        <v>2107</v>
      </c>
    </row>
    <row r="349" ht="15.75" hidden="1" customHeight="1">
      <c r="A349" s="9">
        <v>7266070.0</v>
      </c>
      <c r="B349" s="2" t="s">
        <v>2110</v>
      </c>
      <c r="C349" s="2" t="s">
        <v>2111</v>
      </c>
      <c r="D349" s="2" t="s">
        <v>2112</v>
      </c>
      <c r="E349" s="10" t="s">
        <v>2114</v>
      </c>
      <c r="F349" s="2" t="s">
        <v>304</v>
      </c>
      <c r="G349" s="2"/>
      <c r="H349" s="2"/>
      <c r="I349" s="2" t="s">
        <v>2111</v>
      </c>
    </row>
    <row r="350" ht="15.75" hidden="1" customHeight="1">
      <c r="A350" s="9">
        <v>7266071.0</v>
      </c>
      <c r="B350" s="2" t="s">
        <v>2118</v>
      </c>
      <c r="C350" s="2" t="s">
        <v>2120</v>
      </c>
      <c r="D350" s="2" t="s">
        <v>2121</v>
      </c>
      <c r="E350" s="10" t="s">
        <v>2123</v>
      </c>
      <c r="F350" s="2" t="s">
        <v>304</v>
      </c>
      <c r="G350" s="2"/>
      <c r="H350" s="2"/>
      <c r="I350" s="2" t="s">
        <v>2120</v>
      </c>
    </row>
    <row r="351" ht="15.75" hidden="1" customHeight="1">
      <c r="A351" s="9">
        <v>7266072.0</v>
      </c>
      <c r="B351" s="2" t="s">
        <v>2125</v>
      </c>
      <c r="C351" s="2" t="s">
        <v>2126</v>
      </c>
      <c r="D351" s="2" t="s">
        <v>2128</v>
      </c>
      <c r="E351" s="10" t="s">
        <v>2129</v>
      </c>
      <c r="F351" s="2" t="s">
        <v>304</v>
      </c>
      <c r="G351" s="2"/>
      <c r="H351" s="2"/>
      <c r="I351" s="2" t="s">
        <v>2126</v>
      </c>
    </row>
    <row r="352" ht="15.75" hidden="1" customHeight="1">
      <c r="A352" s="9">
        <v>7266073.0</v>
      </c>
      <c r="B352" s="2" t="s">
        <v>2131</v>
      </c>
      <c r="C352" s="2" t="s">
        <v>2132</v>
      </c>
      <c r="D352" s="2" t="s">
        <v>2133</v>
      </c>
      <c r="E352" s="10" t="s">
        <v>2134</v>
      </c>
      <c r="F352" s="2" t="s">
        <v>304</v>
      </c>
      <c r="G352" s="2"/>
      <c r="H352" s="2"/>
      <c r="I352" s="2" t="s">
        <v>2132</v>
      </c>
    </row>
    <row r="353" ht="15.75" hidden="1" customHeight="1">
      <c r="A353" s="9">
        <v>7266074.0</v>
      </c>
      <c r="B353" s="2" t="s">
        <v>2135</v>
      </c>
      <c r="C353" s="2" t="s">
        <v>2136</v>
      </c>
      <c r="D353" s="2" t="s">
        <v>2137</v>
      </c>
      <c r="E353" s="10" t="s">
        <v>2138</v>
      </c>
      <c r="F353" s="2" t="s">
        <v>304</v>
      </c>
      <c r="G353" s="2"/>
      <c r="H353" s="2"/>
      <c r="I353" s="2" t="s">
        <v>2136</v>
      </c>
    </row>
    <row r="354" ht="15.75" hidden="1" customHeight="1">
      <c r="A354" s="9">
        <v>7266075.0</v>
      </c>
      <c r="B354" s="2" t="s">
        <v>2141</v>
      </c>
      <c r="C354" s="2" t="s">
        <v>2142</v>
      </c>
      <c r="D354" s="2" t="s">
        <v>2143</v>
      </c>
      <c r="E354" s="10" t="s">
        <v>2144</v>
      </c>
      <c r="F354" s="2" t="s">
        <v>304</v>
      </c>
      <c r="G354" s="2"/>
      <c r="H354" s="2"/>
      <c r="I354" s="2" t="s">
        <v>2142</v>
      </c>
    </row>
    <row r="355" ht="15.75" hidden="1" customHeight="1">
      <c r="A355" s="9">
        <v>7266076.0</v>
      </c>
      <c r="B355" s="2" t="s">
        <v>2147</v>
      </c>
      <c r="C355" s="2" t="s">
        <v>2148</v>
      </c>
      <c r="D355" s="2" t="s">
        <v>2149</v>
      </c>
      <c r="E355" s="10" t="s">
        <v>2150</v>
      </c>
      <c r="F355" s="2" t="s">
        <v>304</v>
      </c>
      <c r="G355" s="2"/>
      <c r="H355" s="2"/>
      <c r="I355" s="2" t="s">
        <v>2148</v>
      </c>
    </row>
    <row r="356" ht="15.75" hidden="1" customHeight="1">
      <c r="A356" s="9">
        <v>7266077.0</v>
      </c>
      <c r="B356" s="2" t="s">
        <v>2151</v>
      </c>
      <c r="C356" s="2" t="s">
        <v>2152</v>
      </c>
      <c r="D356" s="2" t="s">
        <v>2154</v>
      </c>
      <c r="E356" s="10" t="s">
        <v>2155</v>
      </c>
      <c r="F356" s="2" t="s">
        <v>63</v>
      </c>
      <c r="G356" s="2"/>
      <c r="H356" s="2"/>
      <c r="I356" s="2" t="s">
        <v>2152</v>
      </c>
    </row>
    <row r="357" ht="15.75" hidden="1" customHeight="1">
      <c r="A357" s="9">
        <v>7266078.0</v>
      </c>
      <c r="B357" s="2" t="s">
        <v>2158</v>
      </c>
      <c r="C357" s="2" t="s">
        <v>2159</v>
      </c>
      <c r="D357" s="2" t="s">
        <v>2161</v>
      </c>
      <c r="E357" s="10" t="s">
        <v>2162</v>
      </c>
      <c r="F357" s="2" t="s">
        <v>304</v>
      </c>
      <c r="G357" s="2"/>
      <c r="H357" s="2"/>
      <c r="I357" s="2" t="s">
        <v>2159</v>
      </c>
    </row>
    <row r="358" ht="15.75" hidden="1" customHeight="1">
      <c r="A358" s="9">
        <v>7266079.0</v>
      </c>
      <c r="B358" s="2" t="s">
        <v>2163</v>
      </c>
      <c r="C358" s="2" t="s">
        <v>2164</v>
      </c>
      <c r="D358" s="2" t="s">
        <v>2165</v>
      </c>
      <c r="E358" s="10" t="s">
        <v>2166</v>
      </c>
      <c r="F358" s="2" t="s">
        <v>304</v>
      </c>
      <c r="G358" s="2"/>
      <c r="H358" s="2"/>
      <c r="I358" s="2" t="s">
        <v>2164</v>
      </c>
    </row>
    <row r="359" ht="15.75" hidden="1" customHeight="1">
      <c r="A359" s="9">
        <v>7266080.0</v>
      </c>
      <c r="B359" s="2" t="s">
        <v>2169</v>
      </c>
      <c r="C359" s="2" t="s">
        <v>2170</v>
      </c>
      <c r="D359" s="2" t="s">
        <v>2171</v>
      </c>
      <c r="E359" s="10" t="s">
        <v>2172</v>
      </c>
      <c r="F359" s="2" t="s">
        <v>304</v>
      </c>
      <c r="G359" s="2"/>
      <c r="H359" s="2"/>
      <c r="I359" s="2" t="s">
        <v>2170</v>
      </c>
    </row>
    <row r="360" ht="15.75" hidden="1" customHeight="1">
      <c r="A360" s="9">
        <v>7266081.0</v>
      </c>
      <c r="B360" s="2" t="s">
        <v>2175</v>
      </c>
      <c r="C360" s="2" t="s">
        <v>2176</v>
      </c>
      <c r="D360" s="2" t="s">
        <v>2177</v>
      </c>
      <c r="E360" s="10" t="s">
        <v>2178</v>
      </c>
      <c r="F360" s="2" t="s">
        <v>304</v>
      </c>
      <c r="G360" s="2"/>
      <c r="H360" s="2"/>
      <c r="I360" s="2" t="s">
        <v>2176</v>
      </c>
    </row>
    <row r="361" ht="15.75" hidden="1" customHeight="1">
      <c r="A361" s="9">
        <v>7266082.0</v>
      </c>
      <c r="B361" s="2" t="s">
        <v>2179</v>
      </c>
      <c r="C361" s="2" t="s">
        <v>2180</v>
      </c>
      <c r="D361" s="2" t="s">
        <v>2182</v>
      </c>
      <c r="E361" s="10" t="s">
        <v>2183</v>
      </c>
      <c r="F361" s="2" t="s">
        <v>304</v>
      </c>
      <c r="G361" s="2"/>
      <c r="H361" s="2"/>
      <c r="I361" s="2" t="s">
        <v>2180</v>
      </c>
    </row>
    <row r="362" ht="15.75" hidden="1" customHeight="1">
      <c r="A362" s="9">
        <v>7266083.0</v>
      </c>
      <c r="B362" s="2" t="s">
        <v>2184</v>
      </c>
      <c r="C362" s="2" t="s">
        <v>2185</v>
      </c>
      <c r="D362" s="2" t="s">
        <v>2186</v>
      </c>
      <c r="E362" s="10" t="s">
        <v>2187</v>
      </c>
      <c r="F362" s="2" t="s">
        <v>304</v>
      </c>
      <c r="G362" s="2"/>
      <c r="H362" s="2"/>
      <c r="I362" s="2" t="s">
        <v>2185</v>
      </c>
    </row>
    <row r="363" ht="15.75" hidden="1" customHeight="1">
      <c r="A363" s="9">
        <v>7266084.0</v>
      </c>
      <c r="B363" s="2" t="s">
        <v>2191</v>
      </c>
      <c r="C363" s="2" t="s">
        <v>2192</v>
      </c>
      <c r="D363" s="2" t="s">
        <v>2193</v>
      </c>
      <c r="E363" s="10" t="s">
        <v>2194</v>
      </c>
      <c r="F363" s="2" t="s">
        <v>304</v>
      </c>
      <c r="G363" s="2"/>
      <c r="H363" s="2"/>
      <c r="I363" s="2" t="s">
        <v>2192</v>
      </c>
    </row>
    <row r="364" ht="15.75" hidden="1" customHeight="1">
      <c r="A364" s="9">
        <v>7266085.0</v>
      </c>
      <c r="B364" s="2" t="s">
        <v>2196</v>
      </c>
      <c r="C364" s="2" t="s">
        <v>2197</v>
      </c>
      <c r="D364" s="2" t="s">
        <v>2082</v>
      </c>
      <c r="E364" s="10" t="s">
        <v>2088</v>
      </c>
      <c r="F364" s="2" t="s">
        <v>304</v>
      </c>
      <c r="G364" s="2"/>
      <c r="H364" s="2"/>
      <c r="I364" s="2" t="s">
        <v>2197</v>
      </c>
    </row>
    <row r="365" ht="15.75" hidden="1" customHeight="1">
      <c r="A365" s="9">
        <v>7266086.0</v>
      </c>
      <c r="B365" s="2" t="s">
        <v>2200</v>
      </c>
      <c r="C365" s="2" t="s">
        <v>2201</v>
      </c>
      <c r="D365" s="2" t="s">
        <v>2202</v>
      </c>
      <c r="E365" s="10" t="s">
        <v>2203</v>
      </c>
      <c r="F365" s="2" t="s">
        <v>304</v>
      </c>
      <c r="G365" s="2"/>
      <c r="H365" s="2"/>
      <c r="I365" s="2" t="s">
        <v>2201</v>
      </c>
    </row>
    <row r="366" ht="15.75" hidden="1" customHeight="1">
      <c r="A366" s="9">
        <v>7266087.0</v>
      </c>
      <c r="B366" s="2" t="s">
        <v>2204</v>
      </c>
      <c r="C366" s="2" t="s">
        <v>2206</v>
      </c>
      <c r="D366" s="2" t="s">
        <v>2207</v>
      </c>
      <c r="E366" s="10" t="s">
        <v>2208</v>
      </c>
      <c r="F366" s="2" t="s">
        <v>304</v>
      </c>
      <c r="G366" s="2"/>
      <c r="H366" s="2"/>
      <c r="I366" s="2" t="s">
        <v>2206</v>
      </c>
    </row>
    <row r="367" ht="15.75" hidden="1" customHeight="1">
      <c r="A367" s="9">
        <v>7266088.0</v>
      </c>
      <c r="B367" s="2" t="s">
        <v>2211</v>
      </c>
      <c r="C367" s="2" t="s">
        <v>2212</v>
      </c>
      <c r="D367" s="2" t="s">
        <v>2213</v>
      </c>
      <c r="E367" s="10" t="s">
        <v>2214</v>
      </c>
      <c r="F367" s="2" t="s">
        <v>304</v>
      </c>
      <c r="G367" s="2"/>
      <c r="H367" s="2"/>
      <c r="I367" s="2" t="s">
        <v>2212</v>
      </c>
    </row>
    <row r="368" ht="15.75" hidden="1" customHeight="1">
      <c r="A368" s="9">
        <v>7266089.0</v>
      </c>
      <c r="B368" s="2" t="s">
        <v>2215</v>
      </c>
      <c r="C368" s="2" t="s">
        <v>2216</v>
      </c>
      <c r="D368" s="2" t="s">
        <v>2217</v>
      </c>
      <c r="E368" s="10" t="s">
        <v>2218</v>
      </c>
      <c r="F368" s="2" t="s">
        <v>304</v>
      </c>
      <c r="G368" s="2"/>
      <c r="H368" s="2"/>
      <c r="I368" s="2" t="s">
        <v>2216</v>
      </c>
    </row>
    <row r="369" ht="15.75" hidden="1" customHeight="1">
      <c r="A369" s="9">
        <v>7266090.0</v>
      </c>
      <c r="B369" s="2" t="s">
        <v>1967</v>
      </c>
      <c r="C369" s="2" t="s">
        <v>2222</v>
      </c>
      <c r="D369" s="2" t="s">
        <v>2223</v>
      </c>
      <c r="E369" s="10" t="s">
        <v>2224</v>
      </c>
      <c r="F369" s="2" t="s">
        <v>304</v>
      </c>
      <c r="G369" s="2"/>
      <c r="H369" s="2"/>
      <c r="I369" s="2" t="s">
        <v>2222</v>
      </c>
    </row>
    <row r="370" ht="15.75" hidden="1" customHeight="1">
      <c r="A370" s="9">
        <v>7266091.0</v>
      </c>
      <c r="B370" s="2" t="s">
        <v>2228</v>
      </c>
      <c r="C370" s="2" t="s">
        <v>2229</v>
      </c>
      <c r="D370" s="2" t="s">
        <v>2230</v>
      </c>
      <c r="E370" s="10" t="s">
        <v>2231</v>
      </c>
      <c r="F370" s="2" t="s">
        <v>304</v>
      </c>
      <c r="G370" s="2"/>
      <c r="H370" s="2"/>
      <c r="I370" s="2" t="s">
        <v>2229</v>
      </c>
    </row>
    <row r="371" ht="15.75" hidden="1" customHeight="1">
      <c r="A371" s="9">
        <v>7266092.0</v>
      </c>
      <c r="B371" s="2" t="s">
        <v>2233</v>
      </c>
      <c r="C371" s="2" t="s">
        <v>2234</v>
      </c>
      <c r="D371" s="2" t="s">
        <v>2235</v>
      </c>
      <c r="E371" s="10" t="s">
        <v>2237</v>
      </c>
      <c r="F371" s="2" t="s">
        <v>304</v>
      </c>
      <c r="G371" s="2"/>
      <c r="H371" s="2"/>
      <c r="I371" s="2" t="s">
        <v>2234</v>
      </c>
    </row>
    <row r="372" ht="15.75" hidden="1" customHeight="1">
      <c r="A372" s="9">
        <v>7266093.0</v>
      </c>
      <c r="B372" s="2" t="s">
        <v>2240</v>
      </c>
      <c r="C372" s="2" t="s">
        <v>2241</v>
      </c>
      <c r="D372" s="2" t="s">
        <v>2242</v>
      </c>
      <c r="E372" s="10" t="s">
        <v>2244</v>
      </c>
      <c r="F372" s="2" t="s">
        <v>304</v>
      </c>
      <c r="G372" s="2"/>
      <c r="H372" s="2"/>
      <c r="I372" s="2" t="s">
        <v>2241</v>
      </c>
    </row>
    <row r="373" ht="15.75" hidden="1" customHeight="1">
      <c r="A373" s="9">
        <v>7266094.0</v>
      </c>
      <c r="B373" s="2" t="s">
        <v>2245</v>
      </c>
      <c r="C373" s="2" t="s">
        <v>2246</v>
      </c>
      <c r="D373" s="2" t="s">
        <v>2167</v>
      </c>
      <c r="E373" s="10" t="s">
        <v>2173</v>
      </c>
      <c r="F373" s="2" t="s">
        <v>304</v>
      </c>
      <c r="G373" s="2"/>
      <c r="H373" s="2"/>
      <c r="I373" s="2" t="s">
        <v>2246</v>
      </c>
    </row>
    <row r="374" ht="15.75" hidden="1" customHeight="1">
      <c r="A374" s="9">
        <v>7266095.0</v>
      </c>
      <c r="B374" s="2" t="s">
        <v>2248</v>
      </c>
      <c r="C374" s="2" t="s">
        <v>2251</v>
      </c>
      <c r="D374" s="2" t="s">
        <v>2253</v>
      </c>
      <c r="E374" s="10" t="s">
        <v>2254</v>
      </c>
      <c r="F374" s="2" t="s">
        <v>304</v>
      </c>
      <c r="G374" s="2"/>
      <c r="H374" s="2"/>
      <c r="I374" s="2" t="s">
        <v>2251</v>
      </c>
    </row>
    <row r="375" ht="15.75" hidden="1" customHeight="1">
      <c r="A375" s="9">
        <v>7266096.0</v>
      </c>
      <c r="B375" s="2" t="s">
        <v>2257</v>
      </c>
      <c r="C375" s="2" t="s">
        <v>2258</v>
      </c>
      <c r="D375" s="2" t="s">
        <v>2259</v>
      </c>
      <c r="E375" s="10" t="s">
        <v>2260</v>
      </c>
      <c r="F375" s="2" t="s">
        <v>304</v>
      </c>
      <c r="G375" s="2"/>
      <c r="H375" s="2"/>
      <c r="I375" s="2" t="s">
        <v>2258</v>
      </c>
    </row>
    <row r="376" ht="15.75" hidden="1" customHeight="1">
      <c r="A376" s="9">
        <v>7266097.0</v>
      </c>
      <c r="B376" s="2" t="s">
        <v>2261</v>
      </c>
      <c r="C376" s="2" t="s">
        <v>2263</v>
      </c>
      <c r="D376" s="2" t="s">
        <v>2264</v>
      </c>
      <c r="E376" s="10" t="s">
        <v>2265</v>
      </c>
      <c r="F376" s="2" t="s">
        <v>304</v>
      </c>
      <c r="G376" s="2"/>
      <c r="H376" s="2"/>
      <c r="I376" s="2" t="s">
        <v>2263</v>
      </c>
    </row>
    <row r="377" ht="15.75" hidden="1" customHeight="1">
      <c r="A377" s="9">
        <v>7266098.0</v>
      </c>
      <c r="B377" s="2" t="s">
        <v>2266</v>
      </c>
      <c r="C377" s="2" t="s">
        <v>2268</v>
      </c>
      <c r="D377" s="2" t="s">
        <v>2269</v>
      </c>
      <c r="E377" s="10" t="s">
        <v>2271</v>
      </c>
      <c r="F377" s="2" t="s">
        <v>1873</v>
      </c>
      <c r="G377" s="2"/>
      <c r="H377" s="2"/>
      <c r="I377" s="2" t="s">
        <v>2268</v>
      </c>
    </row>
    <row r="378" ht="15.75" hidden="1" customHeight="1">
      <c r="A378" s="9">
        <v>7266099.0</v>
      </c>
      <c r="B378" s="2" t="s">
        <v>2273</v>
      </c>
      <c r="C378" s="2" t="s">
        <v>2275</v>
      </c>
      <c r="D378" s="2" t="s">
        <v>2277</v>
      </c>
      <c r="E378" s="10" t="s">
        <v>2278</v>
      </c>
      <c r="F378" s="2" t="s">
        <v>1873</v>
      </c>
      <c r="G378" s="2"/>
      <c r="H378" s="2"/>
      <c r="I378" s="2" t="s">
        <v>2275</v>
      </c>
    </row>
    <row r="379" ht="15.75" hidden="1" customHeight="1">
      <c r="A379" s="9">
        <v>7266100.0</v>
      </c>
      <c r="B379" s="2" t="s">
        <v>2280</v>
      </c>
      <c r="C379" s="2" t="s">
        <v>2283</v>
      </c>
      <c r="D379" s="2" t="s">
        <v>2284</v>
      </c>
      <c r="E379" s="10" t="s">
        <v>2285</v>
      </c>
      <c r="F379" s="2" t="s">
        <v>1873</v>
      </c>
      <c r="G379" s="2"/>
      <c r="H379" s="2"/>
      <c r="I379" s="2" t="s">
        <v>2283</v>
      </c>
    </row>
    <row r="380" ht="15.75" hidden="1" customHeight="1">
      <c r="A380" s="9">
        <v>7266101.0</v>
      </c>
      <c r="B380" s="2" t="s">
        <v>2286</v>
      </c>
      <c r="C380" s="2" t="s">
        <v>2288</v>
      </c>
      <c r="D380" s="2" t="s">
        <v>2289</v>
      </c>
      <c r="E380" s="10" t="s">
        <v>2290</v>
      </c>
      <c r="F380" s="2" t="s">
        <v>1873</v>
      </c>
      <c r="G380" s="2"/>
      <c r="H380" s="2"/>
      <c r="I380" s="2" t="s">
        <v>2288</v>
      </c>
    </row>
    <row r="381" ht="15.75" hidden="1" customHeight="1">
      <c r="A381" s="9">
        <v>7266102.0</v>
      </c>
      <c r="B381" s="2" t="s">
        <v>2294</v>
      </c>
      <c r="C381" s="2" t="s">
        <v>2295</v>
      </c>
      <c r="D381" s="2" t="s">
        <v>2297</v>
      </c>
      <c r="E381" s="10" t="s">
        <v>2298</v>
      </c>
      <c r="F381" s="2" t="s">
        <v>1873</v>
      </c>
      <c r="G381" s="2"/>
      <c r="H381" s="2"/>
      <c r="I381" s="2" t="s">
        <v>2295</v>
      </c>
    </row>
    <row r="382" ht="15.75" hidden="1" customHeight="1">
      <c r="A382" s="9">
        <v>7266103.0</v>
      </c>
      <c r="B382" s="2" t="s">
        <v>2301</v>
      </c>
      <c r="C382" s="2" t="s">
        <v>2302</v>
      </c>
      <c r="D382" s="2" t="s">
        <v>2303</v>
      </c>
      <c r="E382" s="10" t="s">
        <v>2304</v>
      </c>
      <c r="F382" s="2" t="s">
        <v>1873</v>
      </c>
      <c r="G382" s="2"/>
      <c r="H382" s="2"/>
      <c r="I382" s="2" t="s">
        <v>2302</v>
      </c>
    </row>
    <row r="383" ht="15.75" hidden="1" customHeight="1">
      <c r="A383" s="9">
        <v>7266104.0</v>
      </c>
      <c r="B383" s="2" t="s">
        <v>2307</v>
      </c>
      <c r="C383" s="2" t="s">
        <v>2308</v>
      </c>
      <c r="D383" s="2" t="s">
        <v>2309</v>
      </c>
      <c r="E383" s="10" t="s">
        <v>2310</v>
      </c>
      <c r="F383" s="2" t="s">
        <v>1873</v>
      </c>
      <c r="G383" s="2"/>
      <c r="H383" s="2"/>
      <c r="I383" s="2" t="s">
        <v>2308</v>
      </c>
    </row>
    <row r="384" ht="15.75" hidden="1" customHeight="1">
      <c r="A384" s="9">
        <v>7266105.0</v>
      </c>
      <c r="B384" s="2" t="s">
        <v>2314</v>
      </c>
      <c r="C384" s="2" t="s">
        <v>2316</v>
      </c>
      <c r="D384" s="2" t="s">
        <v>2317</v>
      </c>
      <c r="E384" s="10" t="s">
        <v>2318</v>
      </c>
      <c r="F384" s="2" t="s">
        <v>1873</v>
      </c>
      <c r="G384" s="2"/>
      <c r="H384" s="2"/>
      <c r="I384" s="2" t="s">
        <v>2316</v>
      </c>
    </row>
    <row r="385" ht="15.75" hidden="1" customHeight="1">
      <c r="A385" s="9">
        <v>7266106.0</v>
      </c>
      <c r="B385" s="2" t="s">
        <v>2320</v>
      </c>
      <c r="C385" s="2" t="s">
        <v>2321</v>
      </c>
      <c r="D385" s="2" t="s">
        <v>2322</v>
      </c>
      <c r="E385" s="10" t="s">
        <v>2323</v>
      </c>
      <c r="F385" s="2" t="s">
        <v>1873</v>
      </c>
      <c r="G385" s="2"/>
      <c r="H385" s="2"/>
      <c r="I385" s="2" t="s">
        <v>2321</v>
      </c>
    </row>
    <row r="386" ht="15.75" hidden="1" customHeight="1">
      <c r="A386" s="9">
        <v>7266107.0</v>
      </c>
      <c r="B386" s="2" t="s">
        <v>2327</v>
      </c>
      <c r="C386" s="2" t="s">
        <v>2328</v>
      </c>
      <c r="D386" s="2" t="s">
        <v>1864</v>
      </c>
      <c r="E386" s="10" t="s">
        <v>1869</v>
      </c>
      <c r="F386" s="2" t="s">
        <v>1873</v>
      </c>
      <c r="G386" s="2"/>
      <c r="H386" s="2"/>
      <c r="I386" s="2" t="s">
        <v>2328</v>
      </c>
    </row>
    <row r="387" ht="15.75" hidden="1" customHeight="1">
      <c r="A387" s="9">
        <v>7266108.0</v>
      </c>
      <c r="B387" s="2" t="s">
        <v>2331</v>
      </c>
      <c r="C387" s="2" t="s">
        <v>2332</v>
      </c>
      <c r="D387" s="2" t="s">
        <v>2333</v>
      </c>
      <c r="E387" s="10" t="s">
        <v>2335</v>
      </c>
      <c r="F387" s="2" t="s">
        <v>1873</v>
      </c>
      <c r="G387" s="2"/>
      <c r="H387" s="2"/>
      <c r="I387" s="2" t="s">
        <v>2332</v>
      </c>
    </row>
    <row r="388" ht="15.75" hidden="1" customHeight="1">
      <c r="A388" s="9">
        <v>7266109.0</v>
      </c>
      <c r="B388" s="2" t="s">
        <v>2337</v>
      </c>
      <c r="C388" s="2" t="s">
        <v>2338</v>
      </c>
      <c r="D388" s="2" t="s">
        <v>2340</v>
      </c>
      <c r="E388" s="10" t="s">
        <v>2341</v>
      </c>
      <c r="F388" s="2" t="s">
        <v>1873</v>
      </c>
      <c r="G388" s="2"/>
      <c r="H388" s="2"/>
      <c r="I388" s="2" t="s">
        <v>2338</v>
      </c>
    </row>
    <row r="389" ht="15.75" hidden="1" customHeight="1">
      <c r="A389" s="9">
        <v>7266110.0</v>
      </c>
      <c r="B389" s="2" t="s">
        <v>2344</v>
      </c>
      <c r="C389" s="2" t="s">
        <v>2346</v>
      </c>
      <c r="D389" s="2" t="s">
        <v>2348</v>
      </c>
      <c r="E389" s="10" t="s">
        <v>2349</v>
      </c>
      <c r="F389" s="2" t="s">
        <v>1873</v>
      </c>
      <c r="G389" s="2"/>
      <c r="H389" s="2"/>
      <c r="I389" s="2" t="s">
        <v>2346</v>
      </c>
    </row>
    <row r="390" ht="15.75" hidden="1" customHeight="1">
      <c r="A390" s="9">
        <v>7266111.0</v>
      </c>
      <c r="B390" s="2" t="s">
        <v>2350</v>
      </c>
      <c r="C390" s="2" t="s">
        <v>2352</v>
      </c>
      <c r="D390" s="2" t="s">
        <v>2353</v>
      </c>
      <c r="E390" s="10" t="s">
        <v>2354</v>
      </c>
      <c r="F390" s="2" t="s">
        <v>1873</v>
      </c>
      <c r="G390" s="2"/>
      <c r="H390" s="2"/>
      <c r="I390" s="2" t="s">
        <v>2352</v>
      </c>
    </row>
    <row r="391" ht="15.75" hidden="1" customHeight="1">
      <c r="A391" s="9">
        <v>7266112.0</v>
      </c>
      <c r="B391" s="2" t="s">
        <v>2356</v>
      </c>
      <c r="C391" s="2" t="s">
        <v>2357</v>
      </c>
      <c r="D391" s="2" t="s">
        <v>2358</v>
      </c>
      <c r="E391" s="10" t="s">
        <v>2359</v>
      </c>
      <c r="F391" s="2" t="s">
        <v>1873</v>
      </c>
      <c r="G391" s="2"/>
      <c r="H391" s="2"/>
      <c r="I391" s="2" t="s">
        <v>2357</v>
      </c>
    </row>
    <row r="392" ht="15.75" hidden="1" customHeight="1">
      <c r="A392" s="9">
        <v>7266113.0</v>
      </c>
      <c r="B392" s="2" t="s">
        <v>2361</v>
      </c>
      <c r="C392" s="2" t="s">
        <v>2362</v>
      </c>
      <c r="D392" s="2" t="s">
        <v>2363</v>
      </c>
      <c r="E392" s="10" t="s">
        <v>2364</v>
      </c>
      <c r="F392" s="2" t="s">
        <v>1873</v>
      </c>
      <c r="G392" s="2"/>
      <c r="H392" s="2"/>
      <c r="I392" s="2" t="s">
        <v>2362</v>
      </c>
    </row>
    <row r="393" ht="15.75" hidden="1" customHeight="1">
      <c r="A393" s="9">
        <v>7266114.0</v>
      </c>
      <c r="B393" s="2" t="s">
        <v>2367</v>
      </c>
      <c r="C393" s="2" t="s">
        <v>2369</v>
      </c>
      <c r="D393" s="2" t="s">
        <v>2370</v>
      </c>
      <c r="E393" s="10" t="s">
        <v>2371</v>
      </c>
      <c r="F393" s="2" t="s">
        <v>1873</v>
      </c>
      <c r="G393" s="2"/>
      <c r="H393" s="2"/>
      <c r="I393" s="2" t="s">
        <v>2369</v>
      </c>
    </row>
    <row r="394" ht="15.75" hidden="1" customHeight="1">
      <c r="A394" s="9">
        <v>7266115.0</v>
      </c>
      <c r="B394" s="2" t="s">
        <v>2375</v>
      </c>
      <c r="C394" s="2" t="s">
        <v>2376</v>
      </c>
      <c r="D394" s="2" t="s">
        <v>2377</v>
      </c>
      <c r="E394" s="10" t="s">
        <v>2378</v>
      </c>
      <c r="F394" s="2" t="s">
        <v>1873</v>
      </c>
      <c r="G394" s="2"/>
      <c r="H394" s="2"/>
      <c r="I394" s="2" t="s">
        <v>2376</v>
      </c>
    </row>
    <row r="395" ht="15.75" hidden="1" customHeight="1">
      <c r="A395" s="9">
        <v>7266116.0</v>
      </c>
      <c r="B395" s="2" t="s">
        <v>2380</v>
      </c>
      <c r="C395" s="2" t="s">
        <v>2381</v>
      </c>
      <c r="D395" s="2" t="s">
        <v>2382</v>
      </c>
      <c r="E395" s="10" t="s">
        <v>2384</v>
      </c>
      <c r="F395" s="2" t="s">
        <v>1873</v>
      </c>
      <c r="G395" s="2"/>
      <c r="H395" s="2"/>
      <c r="I395" s="2" t="s">
        <v>2381</v>
      </c>
    </row>
    <row r="396" ht="15.75" hidden="1" customHeight="1">
      <c r="A396" s="9">
        <v>7266117.0</v>
      </c>
      <c r="B396" s="2" t="s">
        <v>2388</v>
      </c>
      <c r="C396" s="2" t="s">
        <v>2389</v>
      </c>
      <c r="D396" s="2" t="s">
        <v>2390</v>
      </c>
      <c r="E396" s="10" t="s">
        <v>2392</v>
      </c>
      <c r="F396" s="2" t="s">
        <v>1873</v>
      </c>
      <c r="G396" s="2"/>
      <c r="H396" s="2"/>
      <c r="I396" s="2" t="s">
        <v>2389</v>
      </c>
    </row>
    <row r="397" ht="15.75" hidden="1" customHeight="1">
      <c r="A397" s="9">
        <v>7266118.0</v>
      </c>
      <c r="B397" s="2" t="s">
        <v>2394</v>
      </c>
      <c r="C397" s="2" t="s">
        <v>2395</v>
      </c>
      <c r="D397" s="2" t="s">
        <v>2396</v>
      </c>
      <c r="E397" s="10" t="s">
        <v>2398</v>
      </c>
      <c r="F397" s="2" t="s">
        <v>1873</v>
      </c>
      <c r="G397" s="2"/>
      <c r="H397" s="2"/>
      <c r="I397" s="2" t="s">
        <v>2395</v>
      </c>
    </row>
    <row r="398" ht="15.75" hidden="1" customHeight="1">
      <c r="A398" s="9">
        <v>7266119.0</v>
      </c>
      <c r="B398" s="2" t="s">
        <v>2400</v>
      </c>
      <c r="C398" s="2" t="s">
        <v>2402</v>
      </c>
      <c r="D398" s="2" t="s">
        <v>2404</v>
      </c>
      <c r="E398" s="10" t="s">
        <v>2405</v>
      </c>
      <c r="F398" s="2" t="s">
        <v>1873</v>
      </c>
      <c r="G398" s="2"/>
      <c r="H398" s="2"/>
      <c r="I398" s="2" t="s">
        <v>2402</v>
      </c>
    </row>
    <row r="399" ht="15.75" hidden="1" customHeight="1">
      <c r="A399" s="9">
        <v>7266120.0</v>
      </c>
      <c r="B399" s="2" t="s">
        <v>2408</v>
      </c>
      <c r="C399" s="2" t="s">
        <v>2410</v>
      </c>
      <c r="D399" s="2" t="s">
        <v>2411</v>
      </c>
      <c r="E399" s="10" t="s">
        <v>2412</v>
      </c>
      <c r="F399" s="2" t="s">
        <v>1873</v>
      </c>
      <c r="G399" s="2"/>
      <c r="H399" s="2"/>
      <c r="I399" s="2" t="s">
        <v>2410</v>
      </c>
    </row>
    <row r="400" ht="15.75" hidden="1" customHeight="1">
      <c r="A400" s="9">
        <v>7266121.0</v>
      </c>
      <c r="B400" s="2" t="s">
        <v>2414</v>
      </c>
      <c r="C400" s="2" t="s">
        <v>2419</v>
      </c>
      <c r="D400" s="2" t="s">
        <v>2421</v>
      </c>
      <c r="E400" s="10" t="s">
        <v>2422</v>
      </c>
      <c r="F400" s="2" t="s">
        <v>1873</v>
      </c>
      <c r="G400" s="2"/>
      <c r="H400" s="2"/>
      <c r="I400" s="2" t="s">
        <v>2419</v>
      </c>
    </row>
    <row r="401" ht="15.75" hidden="1" customHeight="1">
      <c r="A401" s="9">
        <v>7266122.0</v>
      </c>
      <c r="B401" s="2" t="s">
        <v>2423</v>
      </c>
      <c r="C401" s="2" t="s">
        <v>2425</v>
      </c>
      <c r="D401" s="2" t="s">
        <v>2427</v>
      </c>
      <c r="E401" s="10" t="s">
        <v>2428</v>
      </c>
      <c r="F401" s="2" t="s">
        <v>1873</v>
      </c>
      <c r="G401" s="2"/>
      <c r="H401" s="2"/>
      <c r="I401" s="2" t="s">
        <v>2425</v>
      </c>
    </row>
    <row r="402" ht="15.75" hidden="1" customHeight="1">
      <c r="A402" s="9">
        <v>7266123.0</v>
      </c>
      <c r="B402" s="2" t="s">
        <v>2432</v>
      </c>
      <c r="C402" s="2" t="s">
        <v>2433</v>
      </c>
      <c r="D402" s="2" t="s">
        <v>2434</v>
      </c>
      <c r="E402" s="10" t="s">
        <v>2435</v>
      </c>
      <c r="F402" s="2" t="s">
        <v>63</v>
      </c>
      <c r="G402" s="2"/>
      <c r="H402" s="2"/>
      <c r="I402" s="2" t="s">
        <v>2433</v>
      </c>
    </row>
    <row r="403" ht="15.75" hidden="1" customHeight="1">
      <c r="A403" s="9">
        <v>7266125.0</v>
      </c>
      <c r="B403" s="2" t="s">
        <v>2437</v>
      </c>
      <c r="C403" s="2" t="s">
        <v>2438</v>
      </c>
      <c r="D403" s="2" t="s">
        <v>2439</v>
      </c>
      <c r="E403" s="10" t="s">
        <v>2441</v>
      </c>
      <c r="F403" s="2" t="s">
        <v>63</v>
      </c>
      <c r="G403" s="2"/>
      <c r="H403" s="2"/>
      <c r="I403" s="2" t="s">
        <v>2438</v>
      </c>
    </row>
    <row r="404" ht="15.75" hidden="1" customHeight="1">
      <c r="A404" s="9">
        <v>7266126.0</v>
      </c>
      <c r="B404" s="2" t="s">
        <v>2445</v>
      </c>
      <c r="C404" s="2" t="s">
        <v>2446</v>
      </c>
      <c r="D404" s="2" t="s">
        <v>2448</v>
      </c>
      <c r="E404" s="10" t="s">
        <v>2449</v>
      </c>
      <c r="F404" s="2" t="s">
        <v>63</v>
      </c>
      <c r="G404" s="2"/>
      <c r="H404" s="2"/>
      <c r="I404" s="2" t="s">
        <v>2446</v>
      </c>
    </row>
    <row r="405" ht="15.75" hidden="1" customHeight="1">
      <c r="A405" s="9">
        <v>7266127.0</v>
      </c>
      <c r="B405" s="2" t="s">
        <v>2451</v>
      </c>
      <c r="C405" s="2" t="s">
        <v>2452</v>
      </c>
      <c r="D405" s="2" t="s">
        <v>490</v>
      </c>
      <c r="E405" s="10" t="s">
        <v>496</v>
      </c>
      <c r="F405" s="2" t="s">
        <v>63</v>
      </c>
      <c r="G405" s="2"/>
      <c r="H405" s="2"/>
      <c r="I405" s="2" t="s">
        <v>2452</v>
      </c>
    </row>
    <row r="406" ht="15.75" hidden="1" customHeight="1">
      <c r="A406" s="9">
        <v>7266128.0</v>
      </c>
      <c r="B406" s="2" t="s">
        <v>2456</v>
      </c>
      <c r="C406" s="2" t="s">
        <v>2458</v>
      </c>
      <c r="D406" s="2" t="s">
        <v>2460</v>
      </c>
      <c r="E406" s="10" t="s">
        <v>2461</v>
      </c>
      <c r="F406" s="2" t="s">
        <v>63</v>
      </c>
      <c r="G406" s="2"/>
      <c r="H406" s="2"/>
      <c r="I406" s="2" t="s">
        <v>2458</v>
      </c>
    </row>
    <row r="407" ht="15.75" hidden="1" customHeight="1">
      <c r="A407" s="9">
        <v>7266129.0</v>
      </c>
      <c r="B407" s="2" t="s">
        <v>2464</v>
      </c>
      <c r="C407" s="2" t="s">
        <v>2465</v>
      </c>
      <c r="D407" s="2" t="s">
        <v>2466</v>
      </c>
      <c r="E407" s="10" t="s">
        <v>2467</v>
      </c>
      <c r="F407" s="2" t="s">
        <v>63</v>
      </c>
      <c r="G407" s="2"/>
      <c r="H407" s="2"/>
      <c r="I407" s="2" t="s">
        <v>2465</v>
      </c>
    </row>
    <row r="408" ht="15.75" hidden="1" customHeight="1">
      <c r="A408" s="9">
        <v>7266130.0</v>
      </c>
      <c r="B408" s="2" t="s">
        <v>2470</v>
      </c>
      <c r="C408" s="2" t="s">
        <v>2471</v>
      </c>
      <c r="D408" s="2" t="s">
        <v>2473</v>
      </c>
      <c r="E408" s="10" t="s">
        <v>2474</v>
      </c>
      <c r="F408" s="2" t="s">
        <v>63</v>
      </c>
      <c r="G408" s="2"/>
      <c r="H408" s="2"/>
      <c r="I408" s="2" t="s">
        <v>2471</v>
      </c>
    </row>
    <row r="409" ht="15.75" hidden="1" customHeight="1">
      <c r="A409" s="9">
        <v>7266131.0</v>
      </c>
      <c r="B409" s="2" t="s">
        <v>2478</v>
      </c>
      <c r="C409" s="2" t="s">
        <v>2479</v>
      </c>
      <c r="D409" s="2" t="s">
        <v>2480</v>
      </c>
      <c r="E409" s="10" t="s">
        <v>2481</v>
      </c>
      <c r="F409" s="2" t="s">
        <v>63</v>
      </c>
      <c r="G409" s="2"/>
      <c r="H409" s="2"/>
      <c r="I409" s="2" t="s">
        <v>2479</v>
      </c>
    </row>
    <row r="410" ht="15.75" hidden="1" customHeight="1">
      <c r="A410" s="9">
        <v>7266132.0</v>
      </c>
      <c r="B410" s="2" t="s">
        <v>2483</v>
      </c>
      <c r="C410" s="2" t="s">
        <v>2484</v>
      </c>
      <c r="D410" s="2" t="s">
        <v>2485</v>
      </c>
      <c r="E410" s="10" t="s">
        <v>2486</v>
      </c>
      <c r="F410" s="2" t="s">
        <v>63</v>
      </c>
      <c r="G410" s="2"/>
      <c r="H410" s="2"/>
      <c r="I410" s="2" t="s">
        <v>2484</v>
      </c>
    </row>
    <row r="411" ht="15.75" hidden="1" customHeight="1">
      <c r="A411" s="9">
        <v>7266133.0</v>
      </c>
      <c r="B411" s="2" t="s">
        <v>2488</v>
      </c>
      <c r="C411" s="2" t="s">
        <v>2489</v>
      </c>
      <c r="D411" s="2" t="s">
        <v>2491</v>
      </c>
      <c r="E411" s="10" t="s">
        <v>2492</v>
      </c>
      <c r="F411" s="2" t="s">
        <v>63</v>
      </c>
      <c r="G411" s="2"/>
      <c r="H411" s="2"/>
      <c r="I411" s="2" t="s">
        <v>2489</v>
      </c>
    </row>
    <row r="412" ht="15.75" hidden="1" customHeight="1">
      <c r="A412" s="9">
        <v>7266134.0</v>
      </c>
      <c r="B412" s="2" t="s">
        <v>2494</v>
      </c>
      <c r="C412" s="2" t="s">
        <v>2495</v>
      </c>
      <c r="D412" s="2" t="s">
        <v>2496</v>
      </c>
      <c r="E412" s="10" t="s">
        <v>2498</v>
      </c>
      <c r="F412" s="2" t="s">
        <v>63</v>
      </c>
      <c r="G412" s="2"/>
      <c r="H412" s="2"/>
      <c r="I412" s="2" t="s">
        <v>2495</v>
      </c>
    </row>
    <row r="413" ht="15.75" hidden="1" customHeight="1">
      <c r="A413" s="9">
        <v>7266135.0</v>
      </c>
      <c r="B413" s="2" t="s">
        <v>2500</v>
      </c>
      <c r="C413" s="2" t="s">
        <v>2501</v>
      </c>
      <c r="D413" s="2" t="s">
        <v>2502</v>
      </c>
      <c r="E413" s="10" t="s">
        <v>2503</v>
      </c>
      <c r="F413" s="2" t="s">
        <v>63</v>
      </c>
      <c r="G413" s="2"/>
      <c r="H413" s="2"/>
      <c r="I413" s="2" t="s">
        <v>2501</v>
      </c>
    </row>
    <row r="414" ht="15.75" hidden="1" customHeight="1">
      <c r="A414" s="9">
        <v>7266136.0</v>
      </c>
      <c r="B414" s="2" t="s">
        <v>2504</v>
      </c>
      <c r="C414" s="2" t="s">
        <v>2506</v>
      </c>
      <c r="D414" s="2" t="s">
        <v>2507</v>
      </c>
      <c r="E414" s="10" t="s">
        <v>2508</v>
      </c>
      <c r="F414" s="2" t="s">
        <v>63</v>
      </c>
      <c r="G414" s="2"/>
      <c r="H414" s="2"/>
      <c r="I414" s="2" t="s">
        <v>2506</v>
      </c>
    </row>
    <row r="415" ht="15.75" hidden="1" customHeight="1">
      <c r="A415" s="9">
        <v>7266137.0</v>
      </c>
      <c r="B415" s="2" t="s">
        <v>2510</v>
      </c>
      <c r="C415" s="2" t="s">
        <v>2511</v>
      </c>
      <c r="D415" s="2" t="s">
        <v>2512</v>
      </c>
      <c r="E415" s="10" t="s">
        <v>2513</v>
      </c>
      <c r="F415" s="2" t="s">
        <v>63</v>
      </c>
      <c r="G415" s="2"/>
      <c r="H415" s="2"/>
      <c r="I415" s="2" t="s">
        <v>2511</v>
      </c>
    </row>
    <row r="416" ht="15.75" hidden="1" customHeight="1">
      <c r="A416" s="9">
        <v>7266138.0</v>
      </c>
      <c r="B416" s="2" t="s">
        <v>2516</v>
      </c>
      <c r="C416" s="2" t="s">
        <v>2517</v>
      </c>
      <c r="D416" s="2" t="s">
        <v>2518</v>
      </c>
      <c r="E416" s="10" t="s">
        <v>2519</v>
      </c>
      <c r="F416" s="2" t="s">
        <v>63</v>
      </c>
      <c r="G416" s="2"/>
      <c r="H416" s="2"/>
      <c r="I416" s="2" t="s">
        <v>2517</v>
      </c>
    </row>
    <row r="417" ht="15.75" hidden="1" customHeight="1">
      <c r="A417" s="9">
        <v>7266139.0</v>
      </c>
      <c r="B417" s="2" t="s">
        <v>2523</v>
      </c>
      <c r="C417" s="2" t="s">
        <v>2524</v>
      </c>
      <c r="D417" s="2" t="s">
        <v>2525</v>
      </c>
      <c r="E417" s="10" t="s">
        <v>2526</v>
      </c>
      <c r="F417" s="2" t="s">
        <v>63</v>
      </c>
      <c r="G417" s="2"/>
      <c r="H417" s="2"/>
      <c r="I417" s="2" t="s">
        <v>2524</v>
      </c>
    </row>
    <row r="418" ht="15.75" hidden="1" customHeight="1">
      <c r="A418" s="9">
        <v>7266140.0</v>
      </c>
      <c r="B418" s="2" t="s">
        <v>2528</v>
      </c>
      <c r="C418" s="2" t="s">
        <v>2529</v>
      </c>
      <c r="D418" s="2" t="s">
        <v>2530</v>
      </c>
      <c r="E418" s="10" t="s">
        <v>2531</v>
      </c>
      <c r="F418" s="2" t="s">
        <v>63</v>
      </c>
      <c r="G418" s="2"/>
      <c r="H418" s="2"/>
      <c r="I418" s="2" t="s">
        <v>2529</v>
      </c>
    </row>
    <row r="419" ht="15.75" hidden="1" customHeight="1">
      <c r="A419" s="9">
        <v>7266141.0</v>
      </c>
      <c r="B419" s="2" t="s">
        <v>2533</v>
      </c>
      <c r="C419" s="2" t="s">
        <v>2536</v>
      </c>
      <c r="D419" s="2" t="s">
        <v>2537</v>
      </c>
      <c r="E419" s="10" t="s">
        <v>2538</v>
      </c>
      <c r="F419" s="2" t="s">
        <v>63</v>
      </c>
      <c r="G419" s="2"/>
      <c r="H419" s="2"/>
      <c r="I419" s="2" t="s">
        <v>2536</v>
      </c>
    </row>
    <row r="420" ht="15.75" hidden="1" customHeight="1">
      <c r="A420" s="9">
        <v>7266142.0</v>
      </c>
      <c r="B420" s="2" t="s">
        <v>2540</v>
      </c>
      <c r="C420" s="2" t="s">
        <v>2542</v>
      </c>
      <c r="D420" s="2" t="s">
        <v>2543</v>
      </c>
      <c r="E420" s="10" t="s">
        <v>2544</v>
      </c>
      <c r="F420" s="2" t="s">
        <v>63</v>
      </c>
      <c r="G420" s="2"/>
      <c r="H420" s="2"/>
      <c r="I420" s="2" t="s">
        <v>2542</v>
      </c>
    </row>
    <row r="421" ht="15.75" hidden="1" customHeight="1">
      <c r="A421" s="9">
        <v>7266143.0</v>
      </c>
      <c r="B421" s="2" t="s">
        <v>2546</v>
      </c>
      <c r="C421" s="2" t="s">
        <v>2547</v>
      </c>
      <c r="D421" s="2" t="s">
        <v>2548</v>
      </c>
      <c r="E421" s="10" t="s">
        <v>2549</v>
      </c>
      <c r="F421" s="2" t="s">
        <v>63</v>
      </c>
      <c r="G421" s="2"/>
      <c r="H421" s="2"/>
      <c r="I421" s="2" t="s">
        <v>2547</v>
      </c>
    </row>
    <row r="422" ht="15.75" hidden="1" customHeight="1">
      <c r="A422" s="9">
        <v>7266144.0</v>
      </c>
      <c r="B422" s="2" t="s">
        <v>2551</v>
      </c>
      <c r="C422" s="2" t="s">
        <v>2552</v>
      </c>
      <c r="D422" s="2" t="s">
        <v>2553</v>
      </c>
      <c r="E422" s="10" t="s">
        <v>2554</v>
      </c>
      <c r="F422" s="2" t="s">
        <v>63</v>
      </c>
      <c r="G422" s="2"/>
      <c r="H422" s="2"/>
      <c r="I422" s="2" t="s">
        <v>2552</v>
      </c>
    </row>
    <row r="423" ht="15.75" hidden="1" customHeight="1">
      <c r="A423" s="9">
        <v>7266145.0</v>
      </c>
      <c r="B423" s="2" t="s">
        <v>2556</v>
      </c>
      <c r="C423" s="2" t="s">
        <v>2557</v>
      </c>
      <c r="D423" s="2" t="s">
        <v>2559</v>
      </c>
      <c r="E423" s="10" t="s">
        <v>2560</v>
      </c>
      <c r="F423" s="2" t="s">
        <v>63</v>
      </c>
      <c r="G423" s="2"/>
      <c r="H423" s="2"/>
      <c r="I423" s="2" t="s">
        <v>2557</v>
      </c>
    </row>
    <row r="424" ht="15.75" hidden="1" customHeight="1">
      <c r="A424" s="9">
        <v>7266146.0</v>
      </c>
      <c r="B424" s="2" t="s">
        <v>2562</v>
      </c>
      <c r="C424" s="2" t="s">
        <v>2563</v>
      </c>
      <c r="D424" s="2" t="s">
        <v>899</v>
      </c>
      <c r="E424" s="10" t="s">
        <v>907</v>
      </c>
      <c r="F424" s="2" t="s">
        <v>63</v>
      </c>
      <c r="G424" s="2"/>
      <c r="H424" s="2"/>
      <c r="I424" s="2" t="s">
        <v>2563</v>
      </c>
    </row>
    <row r="425" ht="15.75" hidden="1" customHeight="1">
      <c r="A425" s="9">
        <v>7266147.0</v>
      </c>
      <c r="B425" s="2" t="s">
        <v>2566</v>
      </c>
      <c r="C425" s="2" t="s">
        <v>2567</v>
      </c>
      <c r="D425" s="2" t="s">
        <v>2568</v>
      </c>
      <c r="E425" s="10" t="s">
        <v>2569</v>
      </c>
      <c r="F425" s="2" t="s">
        <v>63</v>
      </c>
      <c r="G425" s="2"/>
      <c r="H425" s="2"/>
      <c r="I425" s="2" t="s">
        <v>2567</v>
      </c>
    </row>
    <row r="426" ht="15.75" hidden="1" customHeight="1">
      <c r="A426" s="9">
        <v>7266148.0</v>
      </c>
      <c r="B426" s="2" t="s">
        <v>2570</v>
      </c>
      <c r="C426" s="2" t="s">
        <v>2572</v>
      </c>
      <c r="D426" s="2" t="s">
        <v>2573</v>
      </c>
      <c r="E426" s="10" t="s">
        <v>2574</v>
      </c>
      <c r="F426" s="2" t="s">
        <v>63</v>
      </c>
      <c r="G426" s="2"/>
      <c r="H426" s="2"/>
      <c r="I426" s="2" t="s">
        <v>2572</v>
      </c>
    </row>
    <row r="427" ht="15.75" hidden="1" customHeight="1">
      <c r="A427" s="9">
        <v>7266149.0</v>
      </c>
      <c r="B427" s="2" t="s">
        <v>2575</v>
      </c>
      <c r="C427" s="2" t="s">
        <v>2576</v>
      </c>
      <c r="D427" s="2" t="s">
        <v>2577</v>
      </c>
      <c r="E427" s="10" t="s">
        <v>2580</v>
      </c>
      <c r="F427" s="2" t="s">
        <v>63</v>
      </c>
      <c r="G427" s="2"/>
      <c r="H427" s="2"/>
      <c r="I427" s="2" t="s">
        <v>2576</v>
      </c>
    </row>
    <row r="428" ht="15.75" hidden="1" customHeight="1">
      <c r="A428" s="9">
        <v>7266150.0</v>
      </c>
      <c r="B428" s="2" t="s">
        <v>2581</v>
      </c>
      <c r="C428" s="2" t="s">
        <v>2582</v>
      </c>
      <c r="D428" s="2" t="s">
        <v>2583</v>
      </c>
      <c r="E428" s="10" t="s">
        <v>2584</v>
      </c>
      <c r="F428" s="2" t="s">
        <v>63</v>
      </c>
      <c r="G428" s="2"/>
      <c r="H428" s="2"/>
      <c r="I428" s="2" t="s">
        <v>2582</v>
      </c>
    </row>
    <row r="429" ht="15.75" hidden="1" customHeight="1">
      <c r="A429" s="9">
        <v>7266151.0</v>
      </c>
      <c r="B429" s="2" t="s">
        <v>2585</v>
      </c>
      <c r="C429" s="2" t="s">
        <v>2586</v>
      </c>
      <c r="D429" s="2" t="s">
        <v>2587</v>
      </c>
      <c r="E429" s="10" t="s">
        <v>2588</v>
      </c>
      <c r="F429" s="2" t="s">
        <v>204</v>
      </c>
      <c r="G429" s="2"/>
      <c r="H429" s="2"/>
      <c r="I429" s="2" t="s">
        <v>2586</v>
      </c>
    </row>
    <row r="430" ht="15.75" hidden="1" customHeight="1">
      <c r="A430" s="9">
        <v>7266152.0</v>
      </c>
      <c r="B430" s="2" t="s">
        <v>2590</v>
      </c>
      <c r="C430" s="2" t="s">
        <v>2591</v>
      </c>
      <c r="D430" s="2" t="s">
        <v>2592</v>
      </c>
      <c r="E430" s="10" t="s">
        <v>2594</v>
      </c>
      <c r="F430" s="2" t="s">
        <v>204</v>
      </c>
      <c r="G430" s="2"/>
      <c r="H430" s="2"/>
      <c r="I430" s="2" t="s">
        <v>2591</v>
      </c>
    </row>
    <row r="431" ht="15.75" hidden="1" customHeight="1">
      <c r="A431" s="9">
        <v>7266153.0</v>
      </c>
      <c r="B431" s="2" t="s">
        <v>2597</v>
      </c>
      <c r="C431" s="2" t="s">
        <v>2598</v>
      </c>
      <c r="D431" s="2" t="s">
        <v>2599</v>
      </c>
      <c r="E431" s="10" t="s">
        <v>2600</v>
      </c>
      <c r="F431" s="2" t="s">
        <v>204</v>
      </c>
      <c r="G431" s="2"/>
      <c r="H431" s="2"/>
      <c r="I431" s="2" t="s">
        <v>2598</v>
      </c>
    </row>
    <row r="432" ht="15.75" hidden="1" customHeight="1">
      <c r="A432" s="9">
        <v>7266154.0</v>
      </c>
      <c r="B432" s="2" t="s">
        <v>2602</v>
      </c>
      <c r="C432" s="2" t="s">
        <v>2603</v>
      </c>
      <c r="D432" s="2" t="s">
        <v>2605</v>
      </c>
      <c r="E432" s="10" t="s">
        <v>2606</v>
      </c>
      <c r="F432" s="2" t="s">
        <v>204</v>
      </c>
      <c r="G432" s="2"/>
      <c r="H432" s="2"/>
      <c r="I432" s="2" t="s">
        <v>2603</v>
      </c>
    </row>
    <row r="433" ht="15.75" hidden="1" customHeight="1">
      <c r="A433" s="9">
        <v>7266155.0</v>
      </c>
      <c r="B433" s="2" t="s">
        <v>2607</v>
      </c>
      <c r="C433" s="2" t="s">
        <v>2608</v>
      </c>
      <c r="D433" s="2" t="s">
        <v>2609</v>
      </c>
      <c r="E433" s="10" t="s">
        <v>2611</v>
      </c>
      <c r="F433" s="2" t="s">
        <v>204</v>
      </c>
      <c r="G433" s="2"/>
      <c r="H433" s="2"/>
      <c r="I433" s="2" t="s">
        <v>2608</v>
      </c>
    </row>
    <row r="434" ht="15.75" hidden="1" customHeight="1">
      <c r="A434" s="9">
        <v>7266156.0</v>
      </c>
      <c r="B434" s="2" t="s">
        <v>2614</v>
      </c>
      <c r="C434" s="2" t="s">
        <v>2615</v>
      </c>
      <c r="D434" s="2" t="s">
        <v>2616</v>
      </c>
      <c r="E434" s="10" t="s">
        <v>2617</v>
      </c>
      <c r="F434" s="2" t="s">
        <v>204</v>
      </c>
      <c r="G434" s="2"/>
      <c r="H434" s="2"/>
      <c r="I434" s="2" t="s">
        <v>2615</v>
      </c>
    </row>
    <row r="435" ht="15.75" hidden="1" customHeight="1">
      <c r="A435" s="9">
        <v>7266157.0</v>
      </c>
      <c r="B435" s="2" t="s">
        <v>2619</v>
      </c>
      <c r="C435" s="2" t="s">
        <v>2621</v>
      </c>
      <c r="D435" s="2" t="s">
        <v>2622</v>
      </c>
      <c r="E435" s="10" t="s">
        <v>2624</v>
      </c>
      <c r="F435" s="2" t="s">
        <v>204</v>
      </c>
      <c r="G435" s="2"/>
      <c r="H435" s="2"/>
      <c r="I435" s="2" t="s">
        <v>2621</v>
      </c>
    </row>
    <row r="436" ht="15.75" hidden="1" customHeight="1">
      <c r="A436" s="9">
        <v>7266158.0</v>
      </c>
      <c r="B436" s="2" t="s">
        <v>2625</v>
      </c>
      <c r="C436" s="2" t="s">
        <v>2626</v>
      </c>
      <c r="D436" s="2" t="s">
        <v>2627</v>
      </c>
      <c r="E436" s="10" t="s">
        <v>2628</v>
      </c>
      <c r="F436" s="2" t="s">
        <v>204</v>
      </c>
      <c r="G436" s="2"/>
      <c r="H436" s="2"/>
      <c r="I436" s="2" t="s">
        <v>2626</v>
      </c>
    </row>
    <row r="437" ht="15.75" hidden="1" customHeight="1">
      <c r="A437" s="9">
        <v>7266159.0</v>
      </c>
      <c r="B437" s="2" t="s">
        <v>2630</v>
      </c>
      <c r="C437" s="2" t="s">
        <v>2631</v>
      </c>
      <c r="D437" s="2" t="s">
        <v>2632</v>
      </c>
      <c r="E437" s="10" t="s">
        <v>2633</v>
      </c>
      <c r="F437" s="2" t="s">
        <v>204</v>
      </c>
      <c r="G437" s="2"/>
      <c r="H437" s="2"/>
      <c r="I437" s="2" t="s">
        <v>2631</v>
      </c>
    </row>
    <row r="438" ht="15.75" hidden="1" customHeight="1">
      <c r="A438" s="9">
        <v>7266160.0</v>
      </c>
      <c r="B438" s="2" t="s">
        <v>2636</v>
      </c>
      <c r="C438" s="2" t="s">
        <v>2637</v>
      </c>
      <c r="D438" s="2" t="s">
        <v>2638</v>
      </c>
      <c r="E438" s="10" t="s">
        <v>2639</v>
      </c>
      <c r="F438" s="2" t="s">
        <v>204</v>
      </c>
      <c r="G438" s="2"/>
      <c r="H438" s="2"/>
      <c r="I438" s="2" t="s">
        <v>2637</v>
      </c>
    </row>
    <row r="439" ht="15.75" hidden="1" customHeight="1">
      <c r="A439" s="9">
        <v>7266161.0</v>
      </c>
      <c r="B439" s="2" t="s">
        <v>2641</v>
      </c>
      <c r="C439" s="2" t="s">
        <v>2642</v>
      </c>
      <c r="D439" s="2" t="s">
        <v>2644</v>
      </c>
      <c r="E439" s="10" t="s">
        <v>2645</v>
      </c>
      <c r="F439" s="2" t="s">
        <v>204</v>
      </c>
      <c r="G439" s="2"/>
      <c r="H439" s="2"/>
      <c r="I439" s="2" t="s">
        <v>2642</v>
      </c>
    </row>
    <row r="440" ht="15.75" hidden="1" customHeight="1">
      <c r="A440" s="9">
        <v>7266162.0</v>
      </c>
      <c r="B440" s="2" t="s">
        <v>2646</v>
      </c>
      <c r="C440" s="2" t="s">
        <v>2647</v>
      </c>
      <c r="D440" s="2" t="s">
        <v>2648</v>
      </c>
      <c r="E440" s="10" t="s">
        <v>2649</v>
      </c>
      <c r="F440" s="2" t="s">
        <v>204</v>
      </c>
      <c r="G440" s="2"/>
      <c r="H440" s="2"/>
      <c r="I440" s="2" t="s">
        <v>2647</v>
      </c>
    </row>
    <row r="441" ht="15.75" hidden="1" customHeight="1">
      <c r="A441" s="9">
        <v>7266163.0</v>
      </c>
      <c r="B441" s="2" t="s">
        <v>2652</v>
      </c>
      <c r="C441" s="2" t="s">
        <v>2654</v>
      </c>
      <c r="D441" s="2" t="s">
        <v>2655</v>
      </c>
      <c r="E441" s="10" t="s">
        <v>2656</v>
      </c>
      <c r="F441" s="2" t="s">
        <v>204</v>
      </c>
      <c r="G441" s="2"/>
      <c r="H441" s="2"/>
      <c r="I441" s="2" t="s">
        <v>2654</v>
      </c>
    </row>
    <row r="442" ht="15.75" hidden="1" customHeight="1">
      <c r="A442" s="9">
        <v>7266164.0</v>
      </c>
      <c r="B442" s="2" t="s">
        <v>2659</v>
      </c>
      <c r="C442" s="2" t="s">
        <v>2660</v>
      </c>
      <c r="D442" s="2" t="s">
        <v>2661</v>
      </c>
      <c r="E442" s="10" t="s">
        <v>2662</v>
      </c>
      <c r="F442" s="2" t="s">
        <v>204</v>
      </c>
      <c r="G442" s="2"/>
      <c r="H442" s="2"/>
      <c r="I442" s="2" t="s">
        <v>2660</v>
      </c>
    </row>
    <row r="443" ht="15.75" hidden="1" customHeight="1">
      <c r="A443" s="9">
        <v>7266165.0</v>
      </c>
      <c r="B443" s="2" t="s">
        <v>2664</v>
      </c>
      <c r="C443" s="2" t="s">
        <v>2665</v>
      </c>
      <c r="D443" s="2" t="s">
        <v>2666</v>
      </c>
      <c r="E443" s="10" t="s">
        <v>2667</v>
      </c>
      <c r="F443" s="2" t="s">
        <v>204</v>
      </c>
      <c r="G443" s="2"/>
      <c r="H443" s="2"/>
      <c r="I443" s="2" t="s">
        <v>2665</v>
      </c>
    </row>
    <row r="444" ht="15.75" hidden="1" customHeight="1">
      <c r="A444" s="9">
        <v>7266166.0</v>
      </c>
      <c r="B444" s="2" t="s">
        <v>2668</v>
      </c>
      <c r="C444" s="2" t="s">
        <v>2669</v>
      </c>
      <c r="D444" s="2" t="s">
        <v>2670</v>
      </c>
      <c r="E444" s="10" t="s">
        <v>2671</v>
      </c>
      <c r="F444" s="2" t="s">
        <v>204</v>
      </c>
      <c r="G444" s="2"/>
      <c r="H444" s="2"/>
      <c r="I444" s="2" t="s">
        <v>2669</v>
      </c>
    </row>
    <row r="445" ht="15.75" hidden="1" customHeight="1">
      <c r="A445" s="9">
        <v>7266167.0</v>
      </c>
      <c r="B445" s="2" t="s">
        <v>2673</v>
      </c>
      <c r="C445" s="2" t="s">
        <v>2674</v>
      </c>
      <c r="D445" s="2" t="s">
        <v>2675</v>
      </c>
      <c r="E445" s="10" t="s">
        <v>2676</v>
      </c>
      <c r="F445" s="2" t="s">
        <v>204</v>
      </c>
      <c r="G445" s="2"/>
      <c r="H445" s="2"/>
      <c r="I445" s="2" t="s">
        <v>2674</v>
      </c>
    </row>
    <row r="446" ht="15.75" hidden="1" customHeight="1">
      <c r="A446" s="9">
        <v>7266168.0</v>
      </c>
      <c r="B446" s="2" t="s">
        <v>2679</v>
      </c>
      <c r="C446" s="2" t="s">
        <v>2680</v>
      </c>
      <c r="D446" s="2" t="s">
        <v>2681</v>
      </c>
      <c r="E446" s="10" t="s">
        <v>2682</v>
      </c>
      <c r="F446" s="2" t="s">
        <v>204</v>
      </c>
      <c r="G446" s="2"/>
      <c r="H446" s="2"/>
      <c r="I446" s="2" t="s">
        <v>2680</v>
      </c>
    </row>
    <row r="447" ht="15.75" hidden="1" customHeight="1">
      <c r="A447" s="9">
        <v>7266169.0</v>
      </c>
      <c r="B447" s="2" t="s">
        <v>2684</v>
      </c>
      <c r="C447" s="2" t="s">
        <v>2685</v>
      </c>
      <c r="D447" s="2" t="s">
        <v>2686</v>
      </c>
      <c r="E447" s="10" t="s">
        <v>2687</v>
      </c>
      <c r="F447" s="2" t="s">
        <v>204</v>
      </c>
      <c r="G447" s="2"/>
      <c r="H447" s="2"/>
      <c r="I447" s="2" t="s">
        <v>2685</v>
      </c>
    </row>
    <row r="448" ht="15.75" hidden="1" customHeight="1">
      <c r="A448" s="9">
        <v>7266170.0</v>
      </c>
      <c r="B448" s="2" t="s">
        <v>2689</v>
      </c>
      <c r="C448" s="2" t="s">
        <v>2691</v>
      </c>
      <c r="D448" s="2" t="s">
        <v>2692</v>
      </c>
      <c r="E448" s="10" t="s">
        <v>2693</v>
      </c>
      <c r="F448" s="2" t="s">
        <v>204</v>
      </c>
      <c r="G448" s="2"/>
      <c r="H448" s="2"/>
      <c r="I448" s="2" t="s">
        <v>2691</v>
      </c>
    </row>
    <row r="449" ht="15.75" hidden="1" customHeight="1">
      <c r="A449" s="9">
        <v>7266171.0</v>
      </c>
      <c r="B449" s="2" t="s">
        <v>2696</v>
      </c>
      <c r="C449" s="2" t="s">
        <v>2698</v>
      </c>
      <c r="D449" s="2" t="s">
        <v>2699</v>
      </c>
      <c r="E449" s="10" t="s">
        <v>2700</v>
      </c>
      <c r="F449" s="2" t="s">
        <v>204</v>
      </c>
      <c r="G449" s="2"/>
      <c r="H449" s="2"/>
      <c r="I449" s="2" t="s">
        <v>2698</v>
      </c>
    </row>
    <row r="450" ht="15.75" hidden="1" customHeight="1">
      <c r="A450" s="9">
        <v>7266172.0</v>
      </c>
      <c r="B450" s="2" t="s">
        <v>2702</v>
      </c>
      <c r="C450" s="2" t="s">
        <v>2703</v>
      </c>
      <c r="D450" s="2" t="s">
        <v>2704</v>
      </c>
      <c r="E450" s="10" t="s">
        <v>2705</v>
      </c>
      <c r="F450" s="2" t="s">
        <v>204</v>
      </c>
      <c r="G450" s="2"/>
      <c r="H450" s="2"/>
      <c r="I450" s="2" t="s">
        <v>2703</v>
      </c>
    </row>
    <row r="451" ht="15.75" hidden="1" customHeight="1">
      <c r="A451" s="9">
        <v>7266173.0</v>
      </c>
      <c r="B451" s="2" t="s">
        <v>2707</v>
      </c>
      <c r="C451" s="2" t="s">
        <v>2708</v>
      </c>
      <c r="D451" s="2" t="s">
        <v>2709</v>
      </c>
      <c r="E451" s="10" t="s">
        <v>2710</v>
      </c>
      <c r="F451" s="2" t="s">
        <v>204</v>
      </c>
      <c r="G451" s="2"/>
      <c r="H451" s="2"/>
      <c r="I451" s="2" t="s">
        <v>2708</v>
      </c>
    </row>
    <row r="452" ht="15.75" hidden="1" customHeight="1">
      <c r="A452" s="9">
        <v>7266174.0</v>
      </c>
      <c r="B452" s="2" t="s">
        <v>2713</v>
      </c>
      <c r="C452" s="2" t="s">
        <v>2714</v>
      </c>
      <c r="D452" s="2" t="s">
        <v>193</v>
      </c>
      <c r="E452" s="10" t="s">
        <v>199</v>
      </c>
      <c r="F452" s="2" t="s">
        <v>204</v>
      </c>
      <c r="G452" s="2"/>
      <c r="H452" s="2"/>
      <c r="I452" s="2" t="s">
        <v>2714</v>
      </c>
    </row>
    <row r="453" ht="15.75" hidden="1" customHeight="1">
      <c r="A453" s="9">
        <v>7266175.0</v>
      </c>
      <c r="B453" s="2" t="s">
        <v>2717</v>
      </c>
      <c r="C453" s="2" t="s">
        <v>2718</v>
      </c>
      <c r="D453" s="2" t="s">
        <v>2719</v>
      </c>
      <c r="E453" s="10" t="s">
        <v>2720</v>
      </c>
      <c r="F453" s="2" t="s">
        <v>204</v>
      </c>
      <c r="G453" s="2"/>
      <c r="H453" s="2"/>
      <c r="I453" s="2" t="s">
        <v>2718</v>
      </c>
    </row>
    <row r="454" ht="15.75" hidden="1" customHeight="1">
      <c r="A454" s="9">
        <v>7266176.0</v>
      </c>
      <c r="B454" s="2" t="s">
        <v>2722</v>
      </c>
      <c r="C454" s="2" t="s">
        <v>2723</v>
      </c>
      <c r="D454" s="2" t="s">
        <v>2724</v>
      </c>
      <c r="E454" s="10" t="s">
        <v>2725</v>
      </c>
      <c r="F454" s="2" t="s">
        <v>204</v>
      </c>
      <c r="G454" s="2"/>
      <c r="H454" s="2"/>
      <c r="I454" s="2" t="s">
        <v>2723</v>
      </c>
    </row>
    <row r="455" ht="15.75" hidden="1" customHeight="1">
      <c r="A455" s="9">
        <v>7266177.0</v>
      </c>
      <c r="B455" s="2" t="s">
        <v>2726</v>
      </c>
      <c r="C455" s="2" t="s">
        <v>2728</v>
      </c>
      <c r="D455" s="2" t="s">
        <v>2729</v>
      </c>
      <c r="E455" s="10" t="s">
        <v>2730</v>
      </c>
      <c r="F455" s="2" t="s">
        <v>204</v>
      </c>
      <c r="G455" s="2"/>
      <c r="H455" s="2"/>
      <c r="I455" s="2" t="s">
        <v>2728</v>
      </c>
    </row>
    <row r="456" ht="15.75" hidden="1" customHeight="1">
      <c r="A456" s="9">
        <v>7266178.0</v>
      </c>
      <c r="B456" s="2" t="s">
        <v>2733</v>
      </c>
      <c r="C456" s="2" t="s">
        <v>2734</v>
      </c>
      <c r="D456" s="2" t="s">
        <v>2735</v>
      </c>
      <c r="E456" s="10" t="s">
        <v>2736</v>
      </c>
      <c r="F456" s="2" t="s">
        <v>204</v>
      </c>
      <c r="G456" s="2"/>
      <c r="H456" s="2"/>
      <c r="I456" s="2" t="s">
        <v>2734</v>
      </c>
    </row>
    <row r="457" ht="15.75" hidden="1" customHeight="1">
      <c r="A457" s="9">
        <v>7266179.0</v>
      </c>
      <c r="B457" s="2" t="s">
        <v>2739</v>
      </c>
      <c r="C457" s="2" t="s">
        <v>2740</v>
      </c>
      <c r="D457" s="2" t="s">
        <v>2741</v>
      </c>
      <c r="E457" s="10" t="s">
        <v>2742</v>
      </c>
      <c r="F457" s="2" t="s">
        <v>204</v>
      </c>
      <c r="G457" s="2"/>
      <c r="H457" s="2"/>
      <c r="I457" s="2" t="s">
        <v>2740</v>
      </c>
    </row>
    <row r="458" ht="15.75" hidden="1" customHeight="1">
      <c r="A458" s="9">
        <v>7266180.0</v>
      </c>
      <c r="B458" s="2" t="s">
        <v>2744</v>
      </c>
      <c r="C458" s="2" t="s">
        <v>2745</v>
      </c>
      <c r="D458" s="2" t="s">
        <v>2746</v>
      </c>
      <c r="E458" s="10" t="s">
        <v>2747</v>
      </c>
      <c r="F458" s="2" t="s">
        <v>265</v>
      </c>
      <c r="G458" s="2"/>
      <c r="H458" s="2"/>
      <c r="I458" s="2" t="s">
        <v>2745</v>
      </c>
    </row>
    <row r="459" ht="15.75" hidden="1" customHeight="1">
      <c r="A459" s="9">
        <v>7266181.0</v>
      </c>
      <c r="B459" s="2" t="s">
        <v>2749</v>
      </c>
      <c r="C459" s="2" t="s">
        <v>2750</v>
      </c>
      <c r="D459" s="2" t="s">
        <v>1518</v>
      </c>
      <c r="E459" s="10" t="s">
        <v>1526</v>
      </c>
      <c r="F459" s="2" t="s">
        <v>265</v>
      </c>
      <c r="G459" s="2"/>
      <c r="H459" s="2"/>
      <c r="I459" s="2" t="s">
        <v>2750</v>
      </c>
    </row>
    <row r="460" ht="15.75" hidden="1" customHeight="1">
      <c r="A460" s="9">
        <v>7266182.0</v>
      </c>
      <c r="B460" s="2" t="s">
        <v>2754</v>
      </c>
      <c r="C460" s="2" t="s">
        <v>2755</v>
      </c>
      <c r="D460" s="2" t="s">
        <v>2756</v>
      </c>
      <c r="E460" s="10" t="s">
        <v>2757</v>
      </c>
      <c r="F460" s="2" t="s">
        <v>265</v>
      </c>
      <c r="G460" s="2"/>
      <c r="H460" s="2"/>
      <c r="I460" s="2" t="s">
        <v>2755</v>
      </c>
    </row>
    <row r="461" ht="15.75" hidden="1" customHeight="1">
      <c r="A461" s="9">
        <v>7266183.0</v>
      </c>
      <c r="B461" s="2" t="s">
        <v>2759</v>
      </c>
      <c r="C461" s="2" t="s">
        <v>2760</v>
      </c>
      <c r="D461" s="2" t="s">
        <v>2762</v>
      </c>
      <c r="E461" s="10" t="s">
        <v>2763</v>
      </c>
      <c r="F461" s="2" t="s">
        <v>265</v>
      </c>
      <c r="G461" s="2"/>
      <c r="H461" s="2"/>
      <c r="I461" s="2" t="s">
        <v>2760</v>
      </c>
    </row>
    <row r="462" ht="15.75" hidden="1" customHeight="1">
      <c r="A462" s="9">
        <v>7266184.0</v>
      </c>
      <c r="B462" s="2" t="s">
        <v>2764</v>
      </c>
      <c r="C462" s="2" t="s">
        <v>2765</v>
      </c>
      <c r="D462" s="2" t="s">
        <v>2247</v>
      </c>
      <c r="E462" s="10" t="s">
        <v>2252</v>
      </c>
      <c r="F462" s="2" t="s">
        <v>265</v>
      </c>
      <c r="G462" s="2"/>
      <c r="H462" s="2"/>
      <c r="I462" s="2" t="s">
        <v>2765</v>
      </c>
    </row>
    <row r="463" ht="15.75" hidden="1" customHeight="1">
      <c r="A463" s="9">
        <v>7266185.0</v>
      </c>
      <c r="B463" s="2" t="s">
        <v>2768</v>
      </c>
      <c r="C463" s="2" t="s">
        <v>2769</v>
      </c>
      <c r="D463" s="2" t="s">
        <v>570</v>
      </c>
      <c r="E463" s="10" t="s">
        <v>576</v>
      </c>
      <c r="F463" s="2" t="s">
        <v>265</v>
      </c>
      <c r="G463" s="2"/>
      <c r="H463" s="2"/>
      <c r="I463" s="2" t="s">
        <v>2769</v>
      </c>
    </row>
    <row r="464" ht="15.75" hidden="1" customHeight="1">
      <c r="A464" s="9">
        <v>7266186.0</v>
      </c>
      <c r="B464" s="2" t="s">
        <v>2771</v>
      </c>
      <c r="C464" s="2" t="s">
        <v>2773</v>
      </c>
      <c r="D464" s="2" t="s">
        <v>2774</v>
      </c>
      <c r="E464" s="10" t="s">
        <v>2776</v>
      </c>
      <c r="F464" s="2" t="s">
        <v>265</v>
      </c>
      <c r="G464" s="2"/>
      <c r="H464" s="2"/>
      <c r="I464" s="2" t="s">
        <v>2773</v>
      </c>
    </row>
    <row r="465" ht="15.75" hidden="1" customHeight="1">
      <c r="A465" s="9">
        <v>7266187.0</v>
      </c>
      <c r="B465" s="2" t="s">
        <v>2778</v>
      </c>
      <c r="C465" s="2" t="s">
        <v>2779</v>
      </c>
      <c r="D465" s="2" t="s">
        <v>2780</v>
      </c>
      <c r="E465" s="10" t="s">
        <v>2781</v>
      </c>
      <c r="F465" s="2" t="s">
        <v>265</v>
      </c>
      <c r="G465" s="2"/>
      <c r="H465" s="2"/>
      <c r="I465" s="2" t="s">
        <v>2779</v>
      </c>
    </row>
    <row r="466" ht="15.75" hidden="1" customHeight="1">
      <c r="A466" s="9">
        <v>7266188.0</v>
      </c>
      <c r="B466" s="2" t="s">
        <v>2783</v>
      </c>
      <c r="C466" s="2" t="s">
        <v>2784</v>
      </c>
      <c r="D466" s="2" t="s">
        <v>2785</v>
      </c>
      <c r="E466" s="10" t="s">
        <v>2786</v>
      </c>
      <c r="F466" s="2" t="s">
        <v>265</v>
      </c>
      <c r="G466" s="2"/>
      <c r="H466" s="2"/>
      <c r="I466" s="2" t="s">
        <v>2784</v>
      </c>
    </row>
    <row r="467" ht="15.75" hidden="1" customHeight="1">
      <c r="A467" s="9">
        <v>7266189.0</v>
      </c>
      <c r="B467" s="2" t="s">
        <v>2788</v>
      </c>
      <c r="C467" s="2" t="s">
        <v>2789</v>
      </c>
      <c r="D467" s="2" t="s">
        <v>2790</v>
      </c>
      <c r="E467" s="10" t="s">
        <v>2791</v>
      </c>
      <c r="F467" s="2" t="s">
        <v>265</v>
      </c>
      <c r="G467" s="2"/>
      <c r="H467" s="2"/>
      <c r="I467" s="2" t="s">
        <v>2789</v>
      </c>
    </row>
    <row r="468" ht="15.75" hidden="1" customHeight="1">
      <c r="A468" s="9">
        <v>7266190.0</v>
      </c>
      <c r="B468" s="2" t="s">
        <v>2794</v>
      </c>
      <c r="C468" s="2" t="s">
        <v>2795</v>
      </c>
      <c r="D468" s="2" t="s">
        <v>2796</v>
      </c>
      <c r="E468" s="10" t="s">
        <v>2797</v>
      </c>
      <c r="F468" s="2" t="s">
        <v>265</v>
      </c>
      <c r="G468" s="2"/>
      <c r="H468" s="2"/>
      <c r="I468" s="2" t="s">
        <v>2795</v>
      </c>
    </row>
    <row r="469" ht="15.75" hidden="1" customHeight="1">
      <c r="A469" s="9">
        <v>7266191.0</v>
      </c>
      <c r="B469" s="2" t="s">
        <v>2799</v>
      </c>
      <c r="C469" s="2" t="s">
        <v>2801</v>
      </c>
      <c r="D469" s="2" t="s">
        <v>2802</v>
      </c>
      <c r="E469" s="10" t="s">
        <v>2803</v>
      </c>
      <c r="F469" s="2" t="s">
        <v>265</v>
      </c>
      <c r="G469" s="2"/>
      <c r="H469" s="2"/>
      <c r="I469" s="2" t="s">
        <v>2801</v>
      </c>
    </row>
    <row r="470" ht="15.75" hidden="1" customHeight="1">
      <c r="A470" s="9">
        <v>7266192.0</v>
      </c>
      <c r="B470" s="2" t="s">
        <v>2804</v>
      </c>
      <c r="C470" s="2" t="s">
        <v>2805</v>
      </c>
      <c r="D470" s="2" t="s">
        <v>2806</v>
      </c>
      <c r="E470" s="10" t="s">
        <v>2807</v>
      </c>
      <c r="F470" s="2" t="s">
        <v>265</v>
      </c>
      <c r="G470" s="2"/>
      <c r="H470" s="2"/>
      <c r="I470" s="2" t="s">
        <v>2805</v>
      </c>
    </row>
    <row r="471" ht="15.75" hidden="1" customHeight="1">
      <c r="A471" s="9">
        <v>7266193.0</v>
      </c>
      <c r="B471" s="2" t="s">
        <v>2809</v>
      </c>
      <c r="C471" s="2" t="s">
        <v>2811</v>
      </c>
      <c r="D471" s="2" t="s">
        <v>2812</v>
      </c>
      <c r="E471" s="10" t="s">
        <v>2813</v>
      </c>
      <c r="F471" s="2" t="s">
        <v>265</v>
      </c>
      <c r="G471" s="2"/>
      <c r="H471" s="2"/>
      <c r="I471" s="2" t="s">
        <v>2811</v>
      </c>
    </row>
    <row r="472" ht="15.75" hidden="1" customHeight="1">
      <c r="A472" s="9">
        <v>7266194.0</v>
      </c>
      <c r="B472" s="2" t="s">
        <v>2815</v>
      </c>
      <c r="C472" s="2" t="s">
        <v>2817</v>
      </c>
      <c r="D472" s="2" t="s">
        <v>2818</v>
      </c>
      <c r="E472" s="10" t="s">
        <v>2819</v>
      </c>
      <c r="F472" s="2" t="s">
        <v>265</v>
      </c>
      <c r="G472" s="2"/>
      <c r="H472" s="2"/>
      <c r="I472" s="2" t="s">
        <v>2817</v>
      </c>
    </row>
    <row r="473" ht="15.75" hidden="1" customHeight="1">
      <c r="A473" s="9">
        <v>7266195.0</v>
      </c>
      <c r="B473" s="2" t="s">
        <v>2822</v>
      </c>
      <c r="C473" s="2" t="s">
        <v>2823</v>
      </c>
      <c r="D473" s="2" t="s">
        <v>2824</v>
      </c>
      <c r="E473" s="10" t="s">
        <v>2825</v>
      </c>
      <c r="F473" s="2" t="s">
        <v>265</v>
      </c>
      <c r="G473" s="2"/>
      <c r="H473" s="2"/>
      <c r="I473" s="2" t="s">
        <v>2823</v>
      </c>
    </row>
    <row r="474" ht="15.75" hidden="1" customHeight="1">
      <c r="A474" s="9">
        <v>7266196.0</v>
      </c>
      <c r="B474" s="2" t="s">
        <v>2826</v>
      </c>
      <c r="C474" s="2" t="s">
        <v>2827</v>
      </c>
      <c r="D474" s="2" t="s">
        <v>2828</v>
      </c>
      <c r="E474" s="10" t="s">
        <v>2830</v>
      </c>
      <c r="F474" s="2" t="s">
        <v>265</v>
      </c>
      <c r="G474" s="2"/>
      <c r="H474" s="2"/>
      <c r="I474" s="2" t="s">
        <v>2827</v>
      </c>
    </row>
    <row r="475" ht="15.75" hidden="1" customHeight="1">
      <c r="A475" s="9">
        <v>7266197.0</v>
      </c>
      <c r="B475" s="2" t="s">
        <v>2831</v>
      </c>
      <c r="C475" s="2" t="s">
        <v>2832</v>
      </c>
      <c r="D475" s="2" t="s">
        <v>2833</v>
      </c>
      <c r="E475" s="10" t="s">
        <v>2834</v>
      </c>
      <c r="F475" s="2" t="s">
        <v>265</v>
      </c>
      <c r="G475" s="2"/>
      <c r="H475" s="2"/>
      <c r="I475" s="2" t="s">
        <v>2832</v>
      </c>
    </row>
    <row r="476" ht="15.75" hidden="1" customHeight="1">
      <c r="A476" s="9">
        <v>7266198.0</v>
      </c>
      <c r="B476" s="2" t="s">
        <v>2838</v>
      </c>
      <c r="C476" s="2" t="s">
        <v>2839</v>
      </c>
      <c r="D476" s="2" t="s">
        <v>2840</v>
      </c>
      <c r="E476" s="10" t="s">
        <v>2841</v>
      </c>
      <c r="F476" s="2" t="s">
        <v>265</v>
      </c>
      <c r="G476" s="2"/>
      <c r="H476" s="2"/>
      <c r="I476" s="2" t="s">
        <v>2839</v>
      </c>
    </row>
    <row r="477" ht="15.75" hidden="1" customHeight="1">
      <c r="A477" s="9">
        <v>7266199.0</v>
      </c>
      <c r="B477" s="2" t="s">
        <v>2843</v>
      </c>
      <c r="C477" s="2" t="s">
        <v>2844</v>
      </c>
      <c r="D477" s="2" t="s">
        <v>2845</v>
      </c>
      <c r="E477" s="10" t="s">
        <v>2847</v>
      </c>
      <c r="F477" s="2" t="s">
        <v>265</v>
      </c>
      <c r="G477" s="2"/>
      <c r="H477" s="2"/>
      <c r="I477" s="2" t="s">
        <v>2844</v>
      </c>
    </row>
    <row r="478" ht="15.75" hidden="1" customHeight="1">
      <c r="A478" s="9">
        <v>7266200.0</v>
      </c>
      <c r="B478" s="2" t="s">
        <v>2849</v>
      </c>
      <c r="C478" s="2" t="s">
        <v>2851</v>
      </c>
      <c r="D478" s="2" t="s">
        <v>2852</v>
      </c>
      <c r="E478" s="10" t="s">
        <v>2853</v>
      </c>
      <c r="F478" s="2" t="s">
        <v>265</v>
      </c>
      <c r="G478" s="2"/>
      <c r="H478" s="2"/>
      <c r="I478" s="2" t="s">
        <v>2851</v>
      </c>
    </row>
    <row r="479" ht="15.75" hidden="1" customHeight="1">
      <c r="A479" s="9">
        <v>7266201.0</v>
      </c>
      <c r="B479" s="2" t="s">
        <v>2854</v>
      </c>
      <c r="C479" s="2" t="s">
        <v>2855</v>
      </c>
      <c r="D479" s="2" t="s">
        <v>2857</v>
      </c>
      <c r="E479" s="10" t="s">
        <v>2858</v>
      </c>
      <c r="F479" s="2" t="s">
        <v>265</v>
      </c>
      <c r="G479" s="2"/>
      <c r="H479" s="2"/>
      <c r="I479" s="2" t="s">
        <v>2855</v>
      </c>
    </row>
    <row r="480" ht="15.75" hidden="1" customHeight="1">
      <c r="A480" s="9">
        <v>7266202.0</v>
      </c>
      <c r="B480" s="2" t="s">
        <v>2859</v>
      </c>
      <c r="C480" s="2" t="s">
        <v>2860</v>
      </c>
      <c r="D480" s="2" t="s">
        <v>2861</v>
      </c>
      <c r="E480" s="10" t="s">
        <v>2862</v>
      </c>
      <c r="F480" s="2" t="s">
        <v>265</v>
      </c>
      <c r="G480" s="2"/>
      <c r="H480" s="2"/>
      <c r="I480" s="2" t="s">
        <v>2860</v>
      </c>
    </row>
    <row r="481" ht="15.75" hidden="1" customHeight="1">
      <c r="A481" s="9">
        <v>7266203.0</v>
      </c>
      <c r="B481" s="2" t="s">
        <v>2864</v>
      </c>
      <c r="C481" s="2" t="s">
        <v>2865</v>
      </c>
      <c r="D481" s="2" t="s">
        <v>2866</v>
      </c>
      <c r="E481" s="10" t="s">
        <v>2867</v>
      </c>
      <c r="F481" s="2" t="s">
        <v>265</v>
      </c>
      <c r="G481" s="2"/>
      <c r="H481" s="2"/>
      <c r="I481" s="2" t="s">
        <v>2865</v>
      </c>
    </row>
    <row r="482" ht="15.75" hidden="1" customHeight="1">
      <c r="A482" s="9">
        <v>7266204.0</v>
      </c>
      <c r="B482" s="2" t="s">
        <v>2869</v>
      </c>
      <c r="C482" s="2" t="s">
        <v>2870</v>
      </c>
      <c r="D482" s="2" t="s">
        <v>2871</v>
      </c>
      <c r="E482" s="10" t="s">
        <v>2872</v>
      </c>
      <c r="F482" s="2" t="s">
        <v>604</v>
      </c>
      <c r="G482" s="2"/>
      <c r="H482" s="2"/>
      <c r="I482" s="2" t="s">
        <v>2870</v>
      </c>
    </row>
    <row r="483" ht="15.75" hidden="1" customHeight="1">
      <c r="A483" s="9">
        <v>7266205.0</v>
      </c>
      <c r="B483" s="2" t="s">
        <v>2873</v>
      </c>
      <c r="C483" s="2" t="s">
        <v>2875</v>
      </c>
      <c r="D483" s="2" t="s">
        <v>2877</v>
      </c>
      <c r="E483" s="10" t="s">
        <v>2878</v>
      </c>
      <c r="F483" s="2" t="s">
        <v>604</v>
      </c>
      <c r="G483" s="2"/>
      <c r="H483" s="2"/>
      <c r="I483" s="2" t="s">
        <v>2875</v>
      </c>
    </row>
    <row r="484" ht="15.75" hidden="1" customHeight="1">
      <c r="A484" s="9">
        <v>7266206.0</v>
      </c>
      <c r="B484" s="2" t="s">
        <v>2879</v>
      </c>
      <c r="C484" s="2" t="s">
        <v>2880</v>
      </c>
      <c r="D484" s="2" t="s">
        <v>2881</v>
      </c>
      <c r="E484" s="10" t="s">
        <v>2882</v>
      </c>
      <c r="F484" s="2" t="s">
        <v>604</v>
      </c>
      <c r="G484" s="2"/>
      <c r="H484" s="2"/>
      <c r="I484" s="2" t="s">
        <v>2880</v>
      </c>
    </row>
    <row r="485" ht="15.75" hidden="1" customHeight="1">
      <c r="A485" s="9">
        <v>7266207.0</v>
      </c>
      <c r="B485" s="2" t="s">
        <v>2884</v>
      </c>
      <c r="C485" s="2" t="s">
        <v>2885</v>
      </c>
      <c r="D485" s="2" t="s">
        <v>2886</v>
      </c>
      <c r="E485" s="10" t="s">
        <v>2887</v>
      </c>
      <c r="F485" s="2" t="s">
        <v>604</v>
      </c>
      <c r="G485" s="2"/>
      <c r="H485" s="2"/>
      <c r="I485" s="2" t="s">
        <v>2885</v>
      </c>
    </row>
    <row r="486" ht="15.75" hidden="1" customHeight="1">
      <c r="A486" s="9">
        <v>7266208.0</v>
      </c>
      <c r="B486" s="2" t="s">
        <v>2890</v>
      </c>
      <c r="C486" s="2" t="s">
        <v>2891</v>
      </c>
      <c r="D486" s="2" t="s">
        <v>2892</v>
      </c>
      <c r="E486" s="10" t="s">
        <v>2893</v>
      </c>
      <c r="F486" s="2" t="s">
        <v>604</v>
      </c>
      <c r="G486" s="2"/>
      <c r="H486" s="2"/>
      <c r="I486" s="2" t="s">
        <v>2891</v>
      </c>
    </row>
    <row r="487" ht="15.75" hidden="1" customHeight="1">
      <c r="A487" s="9">
        <v>7266209.0</v>
      </c>
      <c r="B487" s="2" t="s">
        <v>2896</v>
      </c>
      <c r="C487" s="2" t="s">
        <v>2898</v>
      </c>
      <c r="D487" s="2" t="s">
        <v>2900</v>
      </c>
      <c r="E487" s="10" t="s">
        <v>2901</v>
      </c>
      <c r="F487" s="2" t="s">
        <v>604</v>
      </c>
      <c r="G487" s="2"/>
      <c r="H487" s="2"/>
      <c r="I487" s="2" t="s">
        <v>2898</v>
      </c>
    </row>
    <row r="488" ht="15.75" hidden="1" customHeight="1">
      <c r="A488" s="9">
        <v>7266210.0</v>
      </c>
      <c r="B488" s="2" t="s">
        <v>2902</v>
      </c>
      <c r="C488" s="2" t="s">
        <v>2903</v>
      </c>
      <c r="D488" s="2" t="s">
        <v>2904</v>
      </c>
      <c r="E488" s="10" t="s">
        <v>2905</v>
      </c>
      <c r="F488" s="2" t="s">
        <v>604</v>
      </c>
      <c r="G488" s="2"/>
      <c r="H488" s="2"/>
      <c r="I488" s="2" t="s">
        <v>2903</v>
      </c>
    </row>
    <row r="489" ht="15.75" hidden="1" customHeight="1">
      <c r="A489" s="9">
        <v>7266211.0</v>
      </c>
      <c r="B489" s="2" t="s">
        <v>2907</v>
      </c>
      <c r="C489" s="2" t="s">
        <v>2908</v>
      </c>
      <c r="D489" s="2" t="s">
        <v>2909</v>
      </c>
      <c r="E489" s="10" t="s">
        <v>2910</v>
      </c>
      <c r="F489" s="2" t="s">
        <v>604</v>
      </c>
      <c r="G489" s="2"/>
      <c r="H489" s="2"/>
      <c r="I489" s="2" t="s">
        <v>2908</v>
      </c>
    </row>
    <row r="490" ht="15.75" hidden="1" customHeight="1">
      <c r="A490" s="9">
        <v>7266212.0</v>
      </c>
      <c r="B490" s="2" t="s">
        <v>2913</v>
      </c>
      <c r="C490" s="2" t="s">
        <v>2914</v>
      </c>
      <c r="D490" s="2" t="s">
        <v>2915</v>
      </c>
      <c r="E490" s="10" t="s">
        <v>2916</v>
      </c>
      <c r="F490" s="2" t="s">
        <v>604</v>
      </c>
      <c r="G490" s="2"/>
      <c r="H490" s="2"/>
      <c r="I490" s="2" t="s">
        <v>2914</v>
      </c>
    </row>
    <row r="491" ht="15.75" hidden="1" customHeight="1">
      <c r="A491" s="9">
        <v>7266213.0</v>
      </c>
      <c r="B491" s="2" t="s">
        <v>2918</v>
      </c>
      <c r="C491" s="2" t="s">
        <v>2919</v>
      </c>
      <c r="D491" s="2" t="s">
        <v>2921</v>
      </c>
      <c r="E491" s="10" t="s">
        <v>2922</v>
      </c>
      <c r="F491" s="2" t="s">
        <v>604</v>
      </c>
      <c r="G491" s="2"/>
      <c r="H491" s="2"/>
      <c r="I491" s="2" t="s">
        <v>2919</v>
      </c>
    </row>
    <row r="492" ht="15.75" hidden="1" customHeight="1">
      <c r="A492" s="9">
        <v>7266214.0</v>
      </c>
      <c r="B492" s="2" t="s">
        <v>2923</v>
      </c>
      <c r="C492" s="2" t="s">
        <v>2924</v>
      </c>
      <c r="D492" s="2" t="s">
        <v>2925</v>
      </c>
      <c r="E492" s="10" t="s">
        <v>2926</v>
      </c>
      <c r="F492" s="2" t="s">
        <v>604</v>
      </c>
      <c r="G492" s="2"/>
      <c r="H492" s="2"/>
      <c r="I492" s="2" t="s">
        <v>2924</v>
      </c>
    </row>
    <row r="493" ht="15.75" hidden="1" customHeight="1">
      <c r="A493" s="9">
        <v>7266215.0</v>
      </c>
      <c r="B493" s="2" t="s">
        <v>2928</v>
      </c>
      <c r="C493" s="2" t="s">
        <v>2929</v>
      </c>
      <c r="D493" s="2" t="s">
        <v>1853</v>
      </c>
      <c r="E493" s="10" t="s">
        <v>1857</v>
      </c>
      <c r="F493" s="2" t="s">
        <v>604</v>
      </c>
      <c r="G493" s="2"/>
      <c r="H493" s="2"/>
      <c r="I493" s="2" t="s">
        <v>2929</v>
      </c>
    </row>
    <row r="494" ht="15.75" hidden="1" customHeight="1">
      <c r="A494" s="9">
        <v>7266216.0</v>
      </c>
      <c r="B494" s="2" t="s">
        <v>2930</v>
      </c>
      <c r="C494" s="2" t="s">
        <v>2931</v>
      </c>
      <c r="D494" s="2" t="s">
        <v>2932</v>
      </c>
      <c r="E494" s="10" t="s">
        <v>2933</v>
      </c>
      <c r="F494" s="2" t="s">
        <v>604</v>
      </c>
      <c r="G494" s="2"/>
      <c r="H494" s="2"/>
      <c r="I494" s="2" t="s">
        <v>2931</v>
      </c>
    </row>
    <row r="495" ht="15.75" hidden="1" customHeight="1">
      <c r="A495" s="9">
        <v>7266217.0</v>
      </c>
      <c r="B495" s="2" t="s">
        <v>2936</v>
      </c>
      <c r="C495" s="2" t="s">
        <v>2937</v>
      </c>
      <c r="D495" s="2" t="s">
        <v>2938</v>
      </c>
      <c r="E495" s="10" t="s">
        <v>2939</v>
      </c>
      <c r="F495" s="2" t="s">
        <v>604</v>
      </c>
      <c r="G495" s="2"/>
      <c r="H495" s="2"/>
      <c r="I495" s="2" t="s">
        <v>2937</v>
      </c>
    </row>
    <row r="496" ht="15.75" hidden="1" customHeight="1">
      <c r="A496" s="9">
        <v>7266218.0</v>
      </c>
      <c r="B496" s="2" t="s">
        <v>2942</v>
      </c>
      <c r="C496" s="2" t="s">
        <v>2943</v>
      </c>
      <c r="D496" s="2" t="s">
        <v>2944</v>
      </c>
      <c r="E496" s="10" t="s">
        <v>2945</v>
      </c>
      <c r="F496" s="2" t="s">
        <v>604</v>
      </c>
      <c r="G496" s="2"/>
      <c r="H496" s="2"/>
      <c r="I496" s="2" t="s">
        <v>2943</v>
      </c>
    </row>
    <row r="497" ht="15.75" hidden="1" customHeight="1">
      <c r="A497" s="9">
        <v>7266219.0</v>
      </c>
      <c r="B497" s="2" t="s">
        <v>2947</v>
      </c>
      <c r="C497" s="2" t="s">
        <v>2949</v>
      </c>
      <c r="D497" s="2" t="s">
        <v>2950</v>
      </c>
      <c r="E497" s="10" t="s">
        <v>2951</v>
      </c>
      <c r="F497" s="2" t="s">
        <v>604</v>
      </c>
      <c r="G497" s="2"/>
      <c r="H497" s="2"/>
      <c r="I497" s="2" t="s">
        <v>2949</v>
      </c>
    </row>
    <row r="498" ht="15.75" hidden="1" customHeight="1">
      <c r="A498" s="9">
        <v>7266220.0</v>
      </c>
      <c r="B498" s="2" t="s">
        <v>2954</v>
      </c>
      <c r="C498" s="2" t="s">
        <v>2955</v>
      </c>
      <c r="D498" s="2" t="s">
        <v>2956</v>
      </c>
      <c r="E498" s="10" t="s">
        <v>2957</v>
      </c>
      <c r="F498" s="2" t="s">
        <v>604</v>
      </c>
      <c r="G498" s="2"/>
      <c r="H498" s="2"/>
      <c r="I498" s="2" t="s">
        <v>2955</v>
      </c>
    </row>
    <row r="499" ht="15.75" hidden="1" customHeight="1">
      <c r="A499" s="9">
        <v>7266221.0</v>
      </c>
      <c r="B499" s="2" t="s">
        <v>2959</v>
      </c>
      <c r="C499" s="2" t="s">
        <v>2960</v>
      </c>
      <c r="D499" s="2" t="s">
        <v>2961</v>
      </c>
      <c r="E499" s="10" t="s">
        <v>2964</v>
      </c>
      <c r="F499" s="2" t="s">
        <v>604</v>
      </c>
      <c r="G499" s="2"/>
      <c r="H499" s="2"/>
      <c r="I499" s="2" t="s">
        <v>2960</v>
      </c>
    </row>
    <row r="500" ht="15.75" hidden="1" customHeight="1">
      <c r="A500" s="9">
        <v>7266222.0</v>
      </c>
      <c r="B500" s="2" t="s">
        <v>2967</v>
      </c>
      <c r="C500" s="2" t="s">
        <v>2968</v>
      </c>
      <c r="D500" s="2" t="s">
        <v>2969</v>
      </c>
      <c r="E500" s="10" t="s">
        <v>2971</v>
      </c>
      <c r="F500" s="2" t="s">
        <v>604</v>
      </c>
      <c r="G500" s="2"/>
      <c r="H500" s="2"/>
      <c r="I500" s="2" t="s">
        <v>2968</v>
      </c>
    </row>
    <row r="501" ht="15.75" hidden="1" customHeight="1">
      <c r="A501" s="9">
        <v>7266223.0</v>
      </c>
      <c r="B501" s="2" t="s">
        <v>2973</v>
      </c>
      <c r="C501" s="2" t="s">
        <v>2974</v>
      </c>
      <c r="D501" s="2" t="s">
        <v>2976</v>
      </c>
      <c r="E501" s="10" t="s">
        <v>2977</v>
      </c>
      <c r="F501" s="2" t="s">
        <v>604</v>
      </c>
      <c r="G501" s="2"/>
      <c r="H501" s="2"/>
      <c r="I501" s="2" t="s">
        <v>2974</v>
      </c>
    </row>
    <row r="502" ht="15.75" hidden="1" customHeight="1">
      <c r="A502" s="9">
        <v>7266224.0</v>
      </c>
      <c r="B502" s="2" t="s">
        <v>2980</v>
      </c>
      <c r="C502" s="2" t="s">
        <v>2982</v>
      </c>
      <c r="D502" s="2" t="s">
        <v>830</v>
      </c>
      <c r="E502" s="10" t="s">
        <v>835</v>
      </c>
      <c r="F502" s="2" t="s">
        <v>604</v>
      </c>
      <c r="G502" s="2"/>
      <c r="H502" s="2"/>
      <c r="I502" s="2" t="s">
        <v>2982</v>
      </c>
    </row>
    <row r="503" ht="15.75" hidden="1" customHeight="1">
      <c r="A503" s="9">
        <v>7266225.0</v>
      </c>
      <c r="B503" s="2" t="s">
        <v>2983</v>
      </c>
      <c r="C503" s="2" t="s">
        <v>2984</v>
      </c>
      <c r="D503" s="2" t="s">
        <v>2985</v>
      </c>
      <c r="E503" s="10" t="s">
        <v>2986</v>
      </c>
      <c r="F503" s="2" t="s">
        <v>604</v>
      </c>
      <c r="G503" s="2"/>
      <c r="H503" s="2"/>
      <c r="I503" s="2" t="s">
        <v>2984</v>
      </c>
    </row>
    <row r="504" ht="15.75" hidden="1" customHeight="1">
      <c r="A504" s="9">
        <v>7266226.0</v>
      </c>
      <c r="B504" s="2" t="s">
        <v>2987</v>
      </c>
      <c r="C504" s="2" t="s">
        <v>2988</v>
      </c>
      <c r="D504" s="2" t="s">
        <v>2989</v>
      </c>
      <c r="E504" s="10" t="s">
        <v>2990</v>
      </c>
      <c r="F504" s="2" t="s">
        <v>604</v>
      </c>
      <c r="G504" s="2"/>
      <c r="H504" s="2"/>
      <c r="I504" s="2" t="s">
        <v>2988</v>
      </c>
    </row>
    <row r="505" ht="15.75" hidden="1" customHeight="1">
      <c r="A505" s="9">
        <v>7266227.0</v>
      </c>
      <c r="B505" s="2" t="s">
        <v>2993</v>
      </c>
      <c r="C505" s="2" t="s">
        <v>2994</v>
      </c>
      <c r="D505" s="2" t="s">
        <v>2995</v>
      </c>
      <c r="E505" s="10" t="s">
        <v>2997</v>
      </c>
      <c r="F505" s="2" t="s">
        <v>22</v>
      </c>
      <c r="G505" s="2"/>
      <c r="H505" s="2"/>
      <c r="I505" s="2" t="s">
        <v>2994</v>
      </c>
    </row>
    <row r="506" ht="15.75" hidden="1" customHeight="1">
      <c r="A506" s="9">
        <v>7266228.0</v>
      </c>
      <c r="B506" s="2" t="s">
        <v>2999</v>
      </c>
      <c r="C506" s="2" t="s">
        <v>3001</v>
      </c>
      <c r="D506" s="2" t="s">
        <v>3002</v>
      </c>
      <c r="E506" s="10" t="s">
        <v>3003</v>
      </c>
      <c r="F506" s="2" t="s">
        <v>22</v>
      </c>
      <c r="G506" s="2"/>
      <c r="H506" s="2"/>
      <c r="I506" s="2" t="s">
        <v>3001</v>
      </c>
    </row>
    <row r="507" ht="15.75" hidden="1" customHeight="1">
      <c r="A507" s="9">
        <v>7266229.0</v>
      </c>
      <c r="B507" s="2" t="s">
        <v>3005</v>
      </c>
      <c r="C507" s="2" t="s">
        <v>3006</v>
      </c>
      <c r="D507" s="2" t="s">
        <v>3007</v>
      </c>
      <c r="E507" s="10" t="s">
        <v>3008</v>
      </c>
      <c r="F507" s="2" t="s">
        <v>22</v>
      </c>
      <c r="G507" s="2"/>
      <c r="H507" s="2"/>
      <c r="I507" s="2" t="s">
        <v>3006</v>
      </c>
    </row>
    <row r="508" ht="15.75" hidden="1" customHeight="1">
      <c r="A508" s="9">
        <v>7266230.0</v>
      </c>
      <c r="B508" s="2" t="s">
        <v>3009</v>
      </c>
      <c r="C508" s="2" t="s">
        <v>3012</v>
      </c>
      <c r="D508" s="2" t="s">
        <v>3013</v>
      </c>
      <c r="E508" s="10" t="s">
        <v>3014</v>
      </c>
      <c r="F508" s="2" t="s">
        <v>22</v>
      </c>
      <c r="G508" s="2"/>
      <c r="H508" s="2"/>
      <c r="I508" s="2" t="s">
        <v>3012</v>
      </c>
    </row>
    <row r="509" ht="15.75" hidden="1" customHeight="1">
      <c r="A509" s="9">
        <v>7266231.0</v>
      </c>
      <c r="B509" s="2" t="s">
        <v>3017</v>
      </c>
      <c r="C509" s="2" t="s">
        <v>3018</v>
      </c>
      <c r="D509" s="2" t="s">
        <v>3019</v>
      </c>
      <c r="E509" s="10" t="s">
        <v>3022</v>
      </c>
      <c r="F509" s="2" t="s">
        <v>22</v>
      </c>
      <c r="G509" s="2"/>
      <c r="H509" s="2"/>
      <c r="I509" s="2" t="s">
        <v>3018</v>
      </c>
    </row>
    <row r="510" ht="15.75" hidden="1" customHeight="1">
      <c r="A510" s="9">
        <v>7266232.0</v>
      </c>
      <c r="B510" s="2" t="s">
        <v>3023</v>
      </c>
      <c r="C510" s="2" t="s">
        <v>3024</v>
      </c>
      <c r="D510" s="2" t="s">
        <v>3025</v>
      </c>
      <c r="E510" s="10" t="s">
        <v>3026</v>
      </c>
      <c r="F510" s="2" t="s">
        <v>22</v>
      </c>
      <c r="G510" s="2"/>
      <c r="H510" s="2"/>
      <c r="I510" s="2" t="s">
        <v>3024</v>
      </c>
    </row>
    <row r="511" ht="15.75" hidden="1" customHeight="1">
      <c r="A511" s="9">
        <v>7266233.0</v>
      </c>
      <c r="B511" s="2" t="s">
        <v>3028</v>
      </c>
      <c r="C511" s="2" t="s">
        <v>3029</v>
      </c>
      <c r="D511" s="2" t="s">
        <v>3030</v>
      </c>
      <c r="E511" s="10" t="s">
        <v>3031</v>
      </c>
      <c r="F511" s="2" t="s">
        <v>22</v>
      </c>
      <c r="G511" s="2"/>
      <c r="H511" s="2"/>
      <c r="I511" s="2" t="s">
        <v>3029</v>
      </c>
    </row>
    <row r="512" ht="15.75" hidden="1" customHeight="1">
      <c r="A512" s="9">
        <v>7266234.0</v>
      </c>
      <c r="B512" s="2" t="s">
        <v>3034</v>
      </c>
      <c r="C512" s="2" t="s">
        <v>3035</v>
      </c>
      <c r="D512" s="2" t="s">
        <v>3036</v>
      </c>
      <c r="E512" s="10" t="s">
        <v>3037</v>
      </c>
      <c r="F512" s="2" t="s">
        <v>22</v>
      </c>
      <c r="G512" s="2"/>
      <c r="H512" s="2"/>
      <c r="I512" s="2" t="s">
        <v>3035</v>
      </c>
    </row>
    <row r="513" ht="15.75" hidden="1" customHeight="1">
      <c r="A513" s="9">
        <v>7266235.0</v>
      </c>
      <c r="B513" s="2" t="s">
        <v>3040</v>
      </c>
      <c r="C513" s="2" t="s">
        <v>3041</v>
      </c>
      <c r="D513" s="2" t="s">
        <v>3042</v>
      </c>
      <c r="E513" s="10" t="s">
        <v>3043</v>
      </c>
      <c r="F513" s="2" t="s">
        <v>22</v>
      </c>
      <c r="G513" s="2"/>
      <c r="H513" s="2"/>
      <c r="I513" s="2" t="s">
        <v>3041</v>
      </c>
    </row>
    <row r="514" ht="15.75" hidden="1" customHeight="1">
      <c r="A514" s="9">
        <v>7266236.0</v>
      </c>
      <c r="B514" s="2" t="s">
        <v>3045</v>
      </c>
      <c r="C514" s="2" t="s">
        <v>3046</v>
      </c>
      <c r="D514" s="2" t="s">
        <v>1879</v>
      </c>
      <c r="E514" s="10" t="s">
        <v>1888</v>
      </c>
      <c r="F514" s="2" t="s">
        <v>22</v>
      </c>
      <c r="G514" s="2"/>
      <c r="H514" s="2"/>
      <c r="I514" s="2" t="s">
        <v>3046</v>
      </c>
    </row>
    <row r="515" ht="15.75" hidden="1" customHeight="1">
      <c r="A515" s="9">
        <v>7266237.0</v>
      </c>
      <c r="B515" s="2" t="s">
        <v>3050</v>
      </c>
      <c r="C515" s="2" t="s">
        <v>3051</v>
      </c>
      <c r="D515" s="2" t="s">
        <v>3052</v>
      </c>
      <c r="E515" s="10" t="s">
        <v>3054</v>
      </c>
      <c r="F515" s="2" t="s">
        <v>22</v>
      </c>
      <c r="G515" s="2"/>
      <c r="H515" s="2"/>
      <c r="I515" s="2" t="s">
        <v>3051</v>
      </c>
    </row>
    <row r="516" ht="15.75" hidden="1" customHeight="1">
      <c r="A516" s="9">
        <v>7266238.0</v>
      </c>
      <c r="B516" s="2" t="s">
        <v>3056</v>
      </c>
      <c r="C516" s="2" t="s">
        <v>3057</v>
      </c>
      <c r="D516" s="2" t="s">
        <v>3058</v>
      </c>
      <c r="E516" s="10" t="s">
        <v>3059</v>
      </c>
      <c r="F516" s="2" t="s">
        <v>22</v>
      </c>
      <c r="G516" s="2"/>
      <c r="H516" s="2"/>
      <c r="I516" s="2" t="s">
        <v>3057</v>
      </c>
    </row>
    <row r="517" ht="15.75" hidden="1" customHeight="1">
      <c r="A517" s="9">
        <v>7266239.0</v>
      </c>
      <c r="B517" s="2" t="s">
        <v>3063</v>
      </c>
      <c r="C517" s="2" t="s">
        <v>3064</v>
      </c>
      <c r="D517" s="2" t="s">
        <v>3065</v>
      </c>
      <c r="E517" s="10" t="s">
        <v>3066</v>
      </c>
      <c r="F517" s="2" t="s">
        <v>22</v>
      </c>
      <c r="G517" s="2"/>
      <c r="H517" s="2"/>
      <c r="I517" s="2" t="s">
        <v>3064</v>
      </c>
    </row>
    <row r="518" ht="15.75" hidden="1" customHeight="1">
      <c r="A518" s="9">
        <v>7266240.0</v>
      </c>
      <c r="B518" s="2" t="s">
        <v>3070</v>
      </c>
      <c r="C518" s="2" t="s">
        <v>3071</v>
      </c>
      <c r="D518" s="2" t="s">
        <v>3073</v>
      </c>
      <c r="E518" s="10" t="s">
        <v>3075</v>
      </c>
      <c r="F518" s="2" t="s">
        <v>22</v>
      </c>
      <c r="G518" s="2"/>
      <c r="H518" s="2"/>
      <c r="I518" s="2" t="s">
        <v>3071</v>
      </c>
    </row>
    <row r="519" ht="15.75" hidden="1" customHeight="1">
      <c r="A519" s="9">
        <v>7266241.0</v>
      </c>
      <c r="B519" s="2" t="s">
        <v>3078</v>
      </c>
      <c r="C519" s="2" t="s">
        <v>3081</v>
      </c>
      <c r="D519" s="2" t="s">
        <v>3082</v>
      </c>
      <c r="E519" s="10" t="s">
        <v>3083</v>
      </c>
      <c r="F519" s="2" t="s">
        <v>22</v>
      </c>
      <c r="G519" s="2"/>
      <c r="H519" s="2"/>
      <c r="I519" s="2" t="s">
        <v>3081</v>
      </c>
    </row>
    <row r="520" ht="15.75" hidden="1" customHeight="1">
      <c r="A520" s="9">
        <v>7266242.0</v>
      </c>
      <c r="B520" s="2" t="s">
        <v>3087</v>
      </c>
      <c r="C520" s="2" t="s">
        <v>3088</v>
      </c>
      <c r="D520" s="2" t="s">
        <v>3089</v>
      </c>
      <c r="E520" s="10" t="s">
        <v>3090</v>
      </c>
      <c r="F520" s="2" t="s">
        <v>22</v>
      </c>
      <c r="G520" s="2"/>
      <c r="H520" s="2"/>
      <c r="I520" s="2" t="s">
        <v>3088</v>
      </c>
    </row>
    <row r="521" ht="15.75" hidden="1" customHeight="1">
      <c r="A521" s="9">
        <v>7266243.0</v>
      </c>
      <c r="B521" s="2" t="s">
        <v>3091</v>
      </c>
      <c r="C521" s="2" t="s">
        <v>3093</v>
      </c>
      <c r="D521" s="2" t="s">
        <v>3094</v>
      </c>
      <c r="E521" s="10" t="s">
        <v>3095</v>
      </c>
      <c r="F521" s="2" t="s">
        <v>22</v>
      </c>
      <c r="G521" s="2"/>
      <c r="H521" s="2"/>
      <c r="I521" s="2" t="s">
        <v>3093</v>
      </c>
    </row>
    <row r="522" ht="15.75" hidden="1" customHeight="1">
      <c r="A522" s="9">
        <v>7266244.0</v>
      </c>
      <c r="B522" s="2" t="s">
        <v>3098</v>
      </c>
      <c r="C522" s="2" t="s">
        <v>3099</v>
      </c>
      <c r="D522" s="2" t="s">
        <v>3100</v>
      </c>
      <c r="E522" s="10" t="s">
        <v>3101</v>
      </c>
      <c r="F522" s="2" t="s">
        <v>22</v>
      </c>
      <c r="G522" s="2"/>
      <c r="H522" s="2"/>
      <c r="I522" s="2" t="s">
        <v>3099</v>
      </c>
    </row>
    <row r="523" ht="15.75" hidden="1" customHeight="1">
      <c r="A523" s="9">
        <v>7266245.0</v>
      </c>
      <c r="B523" s="2" t="s">
        <v>3102</v>
      </c>
      <c r="C523" s="2" t="s">
        <v>3103</v>
      </c>
      <c r="D523" s="2" t="s">
        <v>3104</v>
      </c>
      <c r="E523" s="10" t="s">
        <v>3105</v>
      </c>
      <c r="F523" s="2" t="s">
        <v>22</v>
      </c>
      <c r="G523" s="2"/>
      <c r="H523" s="2"/>
      <c r="I523" s="2" t="s">
        <v>3103</v>
      </c>
    </row>
    <row r="524" ht="15.75" hidden="1" customHeight="1">
      <c r="A524" s="9">
        <v>7266246.0</v>
      </c>
      <c r="B524" s="2" t="s">
        <v>3108</v>
      </c>
      <c r="C524" s="2" t="s">
        <v>3109</v>
      </c>
      <c r="D524" s="2" t="s">
        <v>3110</v>
      </c>
      <c r="E524" s="10" t="s">
        <v>3111</v>
      </c>
      <c r="F524" s="2" t="s">
        <v>22</v>
      </c>
      <c r="G524" s="2"/>
      <c r="H524" s="2"/>
      <c r="I524" s="2" t="s">
        <v>3109</v>
      </c>
    </row>
    <row r="525" ht="15.75" hidden="1" customHeight="1">
      <c r="A525" s="9">
        <v>7266247.0</v>
      </c>
      <c r="B525" s="2" t="s">
        <v>3114</v>
      </c>
      <c r="C525" s="2" t="s">
        <v>3115</v>
      </c>
      <c r="D525" s="2" t="s">
        <v>3116</v>
      </c>
      <c r="E525" s="10" t="s">
        <v>3117</v>
      </c>
      <c r="F525" s="2" t="s">
        <v>22</v>
      </c>
      <c r="G525" s="2"/>
      <c r="H525" s="2"/>
      <c r="I525" s="2" t="s">
        <v>3115</v>
      </c>
    </row>
    <row r="526" ht="15.75" hidden="1" customHeight="1">
      <c r="A526" s="9">
        <v>7266248.0</v>
      </c>
      <c r="B526" s="2" t="s">
        <v>3119</v>
      </c>
      <c r="C526" s="2" t="s">
        <v>3120</v>
      </c>
      <c r="D526" s="2" t="s">
        <v>3121</v>
      </c>
      <c r="E526" s="10" t="s">
        <v>3122</v>
      </c>
      <c r="F526" s="2" t="s">
        <v>22</v>
      </c>
      <c r="G526" s="2"/>
      <c r="H526" s="2"/>
      <c r="I526" s="2" t="s">
        <v>3120</v>
      </c>
    </row>
    <row r="527" ht="15.75" hidden="1" customHeight="1">
      <c r="A527" s="9">
        <v>7266249.0</v>
      </c>
      <c r="B527" s="2" t="s">
        <v>3124</v>
      </c>
      <c r="C527" s="2" t="s">
        <v>3125</v>
      </c>
      <c r="D527" s="2" t="s">
        <v>3126</v>
      </c>
      <c r="E527" s="10" t="s">
        <v>3128</v>
      </c>
      <c r="F527" s="2" t="s">
        <v>22</v>
      </c>
      <c r="G527" s="2"/>
      <c r="H527" s="2"/>
      <c r="I527" s="2" t="s">
        <v>3125</v>
      </c>
    </row>
    <row r="528" ht="15.75" hidden="1" customHeight="1">
      <c r="A528" s="9">
        <v>7266250.0</v>
      </c>
      <c r="B528" s="2" t="s">
        <v>3130</v>
      </c>
      <c r="C528" s="2" t="s">
        <v>3131</v>
      </c>
      <c r="D528" s="2" t="s">
        <v>3133</v>
      </c>
      <c r="E528" s="10" t="s">
        <v>3134</v>
      </c>
      <c r="F528" s="2" t="s">
        <v>22</v>
      </c>
      <c r="G528" s="2"/>
      <c r="H528" s="2"/>
      <c r="I528" s="2" t="s">
        <v>3131</v>
      </c>
    </row>
    <row r="529" ht="15.75" hidden="1" customHeight="1">
      <c r="A529" s="9">
        <v>7266251.0</v>
      </c>
      <c r="B529" s="2" t="s">
        <v>3135</v>
      </c>
      <c r="C529" s="2" t="s">
        <v>3136</v>
      </c>
      <c r="D529" s="2" t="s">
        <v>3137</v>
      </c>
      <c r="E529" s="10" t="s">
        <v>3138</v>
      </c>
      <c r="F529" s="2" t="s">
        <v>22</v>
      </c>
      <c r="G529" s="2"/>
      <c r="H529" s="2"/>
      <c r="I529" s="2" t="s">
        <v>3136</v>
      </c>
    </row>
    <row r="530" ht="15.75" hidden="1" customHeight="1">
      <c r="A530" s="9">
        <v>7266252.0</v>
      </c>
      <c r="B530" s="2" t="s">
        <v>1567</v>
      </c>
      <c r="C530" s="2" t="s">
        <v>3140</v>
      </c>
      <c r="D530" s="2" t="s">
        <v>3141</v>
      </c>
      <c r="E530" s="10" t="s">
        <v>3143</v>
      </c>
      <c r="F530" s="2" t="s">
        <v>22</v>
      </c>
      <c r="G530" s="2"/>
      <c r="H530" s="2"/>
      <c r="I530" s="2" t="s">
        <v>3140</v>
      </c>
    </row>
    <row r="531" ht="15.75" hidden="1" customHeight="1">
      <c r="A531" s="9">
        <v>7266253.0</v>
      </c>
      <c r="B531" s="2" t="s">
        <v>2238</v>
      </c>
      <c r="C531" s="2" t="s">
        <v>3145</v>
      </c>
      <c r="D531" s="2" t="s">
        <v>2236</v>
      </c>
      <c r="E531" s="10" t="s">
        <v>2239</v>
      </c>
      <c r="F531" s="2" t="s">
        <v>30</v>
      </c>
      <c r="G531" s="2"/>
      <c r="H531" s="2"/>
      <c r="I531" s="2" t="s">
        <v>3145</v>
      </c>
    </row>
    <row r="532" ht="15.75" hidden="1" customHeight="1">
      <c r="A532" s="9">
        <v>7266254.0</v>
      </c>
      <c r="B532" s="2" t="s">
        <v>3147</v>
      </c>
      <c r="C532" s="2" t="s">
        <v>3148</v>
      </c>
      <c r="D532" s="2" t="s">
        <v>3149</v>
      </c>
      <c r="E532" s="10" t="s">
        <v>3150</v>
      </c>
      <c r="F532" s="2" t="s">
        <v>30</v>
      </c>
      <c r="G532" s="2"/>
      <c r="H532" s="2"/>
      <c r="I532" s="2" t="s">
        <v>3148</v>
      </c>
    </row>
    <row r="533" ht="15.75" hidden="1" customHeight="1">
      <c r="A533" s="9">
        <v>7266255.0</v>
      </c>
      <c r="B533" s="2" t="s">
        <v>3151</v>
      </c>
      <c r="C533" s="2" t="s">
        <v>3152</v>
      </c>
      <c r="D533" s="2" t="s">
        <v>3153</v>
      </c>
      <c r="E533" s="10" t="s">
        <v>3154</v>
      </c>
      <c r="F533" s="2" t="s">
        <v>30</v>
      </c>
      <c r="G533" s="2"/>
      <c r="H533" s="2"/>
      <c r="I533" s="2" t="s">
        <v>3152</v>
      </c>
    </row>
    <row r="534" ht="15.75" hidden="1" customHeight="1">
      <c r="A534" s="9">
        <v>7266256.0</v>
      </c>
      <c r="B534" s="2" t="s">
        <v>3156</v>
      </c>
      <c r="C534" s="2" t="s">
        <v>3157</v>
      </c>
      <c r="D534" s="2" t="s">
        <v>3158</v>
      </c>
      <c r="E534" s="10" t="s">
        <v>3159</v>
      </c>
      <c r="F534" s="2" t="s">
        <v>30</v>
      </c>
      <c r="G534" s="2"/>
      <c r="H534" s="2"/>
      <c r="I534" s="2" t="s">
        <v>3157</v>
      </c>
    </row>
    <row r="535" ht="15.75" hidden="1" customHeight="1">
      <c r="A535" s="9">
        <v>7266257.0</v>
      </c>
      <c r="B535" s="2" t="s">
        <v>3161</v>
      </c>
      <c r="C535" s="2" t="s">
        <v>3162</v>
      </c>
      <c r="D535" s="2" t="s">
        <v>3163</v>
      </c>
      <c r="E535" s="10" t="s">
        <v>3164</v>
      </c>
      <c r="F535" s="2" t="s">
        <v>30</v>
      </c>
      <c r="G535" s="2"/>
      <c r="H535" s="2"/>
      <c r="I535" s="2" t="s">
        <v>3162</v>
      </c>
    </row>
    <row r="536" ht="15.75" hidden="1" customHeight="1">
      <c r="A536" s="9">
        <v>7266258.0</v>
      </c>
      <c r="B536" s="2" t="s">
        <v>3165</v>
      </c>
      <c r="C536" s="2" t="s">
        <v>3166</v>
      </c>
      <c r="D536" s="2" t="s">
        <v>3167</v>
      </c>
      <c r="E536" s="10" t="s">
        <v>3168</v>
      </c>
      <c r="F536" s="2" t="s">
        <v>30</v>
      </c>
      <c r="G536" s="2"/>
      <c r="H536" s="2"/>
      <c r="I536" s="2" t="s">
        <v>3166</v>
      </c>
    </row>
    <row r="537" ht="15.75" hidden="1" customHeight="1">
      <c r="A537" s="9">
        <v>7266259.0</v>
      </c>
      <c r="B537" s="2" t="s">
        <v>3170</v>
      </c>
      <c r="C537" s="2" t="s">
        <v>3171</v>
      </c>
      <c r="D537" s="2" t="s">
        <v>3172</v>
      </c>
      <c r="E537" s="10" t="s">
        <v>3173</v>
      </c>
      <c r="F537" s="2" t="s">
        <v>30</v>
      </c>
      <c r="G537" s="2"/>
      <c r="H537" s="2"/>
      <c r="I537" s="2" t="s">
        <v>3171</v>
      </c>
    </row>
    <row r="538" ht="15.75" hidden="1" customHeight="1">
      <c r="A538" s="9">
        <v>7266260.0</v>
      </c>
      <c r="B538" s="2" t="s">
        <v>3175</v>
      </c>
      <c r="C538" s="2" t="s">
        <v>3176</v>
      </c>
      <c r="D538" s="2" t="s">
        <v>3177</v>
      </c>
      <c r="E538" s="10" t="s">
        <v>3178</v>
      </c>
      <c r="F538" s="2" t="s">
        <v>30</v>
      </c>
      <c r="G538" s="2"/>
      <c r="H538" s="2"/>
      <c r="I538" s="2" t="s">
        <v>3176</v>
      </c>
    </row>
    <row r="539" ht="15.75" hidden="1" customHeight="1">
      <c r="A539" s="9">
        <v>7266261.0</v>
      </c>
      <c r="B539" s="2" t="s">
        <v>3179</v>
      </c>
      <c r="C539" s="2" t="s">
        <v>3180</v>
      </c>
      <c r="D539" s="2" t="s">
        <v>3181</v>
      </c>
      <c r="E539" s="10" t="s">
        <v>3182</v>
      </c>
      <c r="F539" s="2" t="s">
        <v>30</v>
      </c>
      <c r="G539" s="2"/>
      <c r="H539" s="2"/>
      <c r="I539" s="2" t="s">
        <v>3180</v>
      </c>
    </row>
    <row r="540" ht="15.75" hidden="1" customHeight="1">
      <c r="A540" s="9">
        <v>7266262.0</v>
      </c>
      <c r="B540" s="2" t="s">
        <v>3184</v>
      </c>
      <c r="C540" s="2" t="s">
        <v>3185</v>
      </c>
      <c r="D540" s="2" t="s">
        <v>3187</v>
      </c>
      <c r="E540" s="10" t="s">
        <v>3188</v>
      </c>
      <c r="F540" s="2" t="s">
        <v>30</v>
      </c>
      <c r="G540" s="2"/>
      <c r="H540" s="2"/>
      <c r="I540" s="2" t="s">
        <v>3185</v>
      </c>
    </row>
    <row r="541" ht="15.75" hidden="1" customHeight="1">
      <c r="A541" s="9">
        <v>7266263.0</v>
      </c>
      <c r="B541" s="2" t="s">
        <v>3190</v>
      </c>
      <c r="C541" s="2" t="s">
        <v>3192</v>
      </c>
      <c r="D541" s="2" t="s">
        <v>1424</v>
      </c>
      <c r="E541" s="10" t="s">
        <v>1431</v>
      </c>
      <c r="F541" s="2" t="s">
        <v>30</v>
      </c>
      <c r="G541" s="2"/>
      <c r="H541" s="2"/>
      <c r="I541" s="2" t="s">
        <v>3192</v>
      </c>
    </row>
    <row r="542" ht="15.75" hidden="1" customHeight="1">
      <c r="A542" s="9">
        <v>7266264.0</v>
      </c>
      <c r="B542" s="2" t="s">
        <v>3193</v>
      </c>
      <c r="C542" s="2" t="s">
        <v>3194</v>
      </c>
      <c r="D542" s="2" t="s">
        <v>3195</v>
      </c>
      <c r="E542" s="10" t="s">
        <v>3196</v>
      </c>
      <c r="F542" s="2" t="s">
        <v>30</v>
      </c>
      <c r="G542" s="2"/>
      <c r="H542" s="2"/>
      <c r="I542" s="2" t="s">
        <v>3194</v>
      </c>
    </row>
    <row r="543" ht="15.75" hidden="1" customHeight="1">
      <c r="A543" s="9">
        <v>7266265.0</v>
      </c>
      <c r="B543" s="2" t="s">
        <v>3198</v>
      </c>
      <c r="C543" s="2" t="s">
        <v>3200</v>
      </c>
      <c r="D543" s="2" t="s">
        <v>1618</v>
      </c>
      <c r="E543" s="10" t="s">
        <v>1627</v>
      </c>
      <c r="F543" s="2" t="s">
        <v>30</v>
      </c>
      <c r="G543" s="2"/>
      <c r="H543" s="2"/>
      <c r="I543" s="2" t="s">
        <v>3200</v>
      </c>
    </row>
    <row r="544" ht="15.75" hidden="1" customHeight="1">
      <c r="A544" s="9">
        <v>7266266.0</v>
      </c>
      <c r="B544" s="2" t="s">
        <v>3203</v>
      </c>
      <c r="C544" s="2" t="s">
        <v>3204</v>
      </c>
      <c r="D544" s="2" t="s">
        <v>3205</v>
      </c>
      <c r="E544" s="10" t="s">
        <v>3206</v>
      </c>
      <c r="F544" s="2" t="s">
        <v>30</v>
      </c>
      <c r="G544" s="2"/>
      <c r="H544" s="2"/>
      <c r="I544" s="2" t="s">
        <v>3204</v>
      </c>
    </row>
    <row r="545" ht="15.75" hidden="1" customHeight="1">
      <c r="A545" s="9">
        <v>7266267.0</v>
      </c>
      <c r="B545" s="2" t="s">
        <v>3207</v>
      </c>
      <c r="C545" s="2" t="s">
        <v>3208</v>
      </c>
      <c r="D545" s="2" t="s">
        <v>3209</v>
      </c>
      <c r="E545" s="10" t="s">
        <v>3211</v>
      </c>
      <c r="F545" s="2" t="s">
        <v>30</v>
      </c>
      <c r="G545" s="2"/>
      <c r="H545" s="2"/>
      <c r="I545" s="2" t="s">
        <v>3208</v>
      </c>
    </row>
    <row r="546" ht="15.75" hidden="1" customHeight="1">
      <c r="A546" s="9">
        <v>7266268.0</v>
      </c>
      <c r="B546" s="2" t="s">
        <v>3213</v>
      </c>
      <c r="C546" s="2" t="s">
        <v>3215</v>
      </c>
      <c r="D546" s="2" t="s">
        <v>920</v>
      </c>
      <c r="E546" s="10" t="s">
        <v>928</v>
      </c>
      <c r="F546" s="2" t="s">
        <v>30</v>
      </c>
      <c r="G546" s="2"/>
      <c r="H546" s="2"/>
      <c r="I546" s="2" t="s">
        <v>3215</v>
      </c>
    </row>
    <row r="547" ht="15.75" hidden="1" customHeight="1">
      <c r="A547" s="9">
        <v>7266269.0</v>
      </c>
      <c r="B547" s="2" t="s">
        <v>3217</v>
      </c>
      <c r="C547" s="2" t="s">
        <v>3218</v>
      </c>
      <c r="D547" s="2" t="s">
        <v>3219</v>
      </c>
      <c r="E547" s="10" t="s">
        <v>3220</v>
      </c>
      <c r="F547" s="2" t="s">
        <v>30</v>
      </c>
      <c r="G547" s="2"/>
      <c r="H547" s="2"/>
      <c r="I547" s="2" t="s">
        <v>3218</v>
      </c>
    </row>
    <row r="548" ht="15.75" hidden="1" customHeight="1">
      <c r="A548" s="9">
        <v>7266270.0</v>
      </c>
      <c r="B548" s="2" t="s">
        <v>3221</v>
      </c>
      <c r="C548" s="2" t="s">
        <v>3222</v>
      </c>
      <c r="D548" s="2" t="s">
        <v>2336</v>
      </c>
      <c r="E548" s="10" t="s">
        <v>2343</v>
      </c>
      <c r="F548" s="2" t="s">
        <v>30</v>
      </c>
      <c r="G548" s="2"/>
      <c r="H548" s="2"/>
      <c r="I548" s="2" t="s">
        <v>3222</v>
      </c>
    </row>
    <row r="549" ht="15.75" hidden="1" customHeight="1">
      <c r="A549" s="9">
        <v>7266271.0</v>
      </c>
      <c r="B549" s="2" t="s">
        <v>3225</v>
      </c>
      <c r="C549" s="2" t="s">
        <v>3226</v>
      </c>
      <c r="D549" s="2" t="s">
        <v>3227</v>
      </c>
      <c r="E549" s="10" t="s">
        <v>3229</v>
      </c>
      <c r="F549" s="2" t="s">
        <v>30</v>
      </c>
      <c r="G549" s="2"/>
      <c r="H549" s="2"/>
      <c r="I549" s="2" t="s">
        <v>3226</v>
      </c>
    </row>
    <row r="550" ht="15.75" hidden="1" customHeight="1">
      <c r="A550" s="9">
        <v>7266272.0</v>
      </c>
      <c r="B550" s="2" t="s">
        <v>3231</v>
      </c>
      <c r="C550" s="2" t="s">
        <v>3232</v>
      </c>
      <c r="D550" s="2" t="s">
        <v>3233</v>
      </c>
      <c r="E550" s="10" t="s">
        <v>3234</v>
      </c>
      <c r="F550" s="2" t="s">
        <v>30</v>
      </c>
      <c r="G550" s="2"/>
      <c r="H550" s="2"/>
      <c r="I550" s="2" t="s">
        <v>3232</v>
      </c>
    </row>
    <row r="551" ht="15.75" hidden="1" customHeight="1">
      <c r="A551" s="9">
        <v>7266273.0</v>
      </c>
      <c r="B551" s="2" t="s">
        <v>3235</v>
      </c>
      <c r="C551" s="2" t="s">
        <v>3236</v>
      </c>
      <c r="D551" s="2" t="s">
        <v>3237</v>
      </c>
      <c r="E551" s="10" t="s">
        <v>3238</v>
      </c>
      <c r="F551" s="2" t="s">
        <v>30</v>
      </c>
      <c r="G551" s="2"/>
      <c r="H551" s="2"/>
      <c r="I551" s="2" t="s">
        <v>3236</v>
      </c>
    </row>
    <row r="552" ht="15.75" hidden="1" customHeight="1">
      <c r="A552" s="9">
        <v>7266274.0</v>
      </c>
      <c r="B552" s="2" t="s">
        <v>3240</v>
      </c>
      <c r="C552" s="2" t="s">
        <v>3241</v>
      </c>
      <c r="D552" s="2" t="s">
        <v>1704</v>
      </c>
      <c r="E552" s="10" t="s">
        <v>1711</v>
      </c>
      <c r="F552" s="2" t="s">
        <v>30</v>
      </c>
      <c r="G552" s="2"/>
      <c r="H552" s="2"/>
      <c r="I552" s="2" t="s">
        <v>3241</v>
      </c>
    </row>
    <row r="553" ht="15.75" hidden="1" customHeight="1">
      <c r="A553" s="9">
        <v>7266275.0</v>
      </c>
      <c r="B553" s="2" t="s">
        <v>3243</v>
      </c>
      <c r="C553" s="2" t="s">
        <v>3244</v>
      </c>
      <c r="D553" s="2" t="s">
        <v>3245</v>
      </c>
      <c r="E553" s="10" t="s">
        <v>3246</v>
      </c>
      <c r="F553" s="2" t="s">
        <v>30</v>
      </c>
      <c r="G553" s="2"/>
      <c r="H553" s="2"/>
      <c r="I553" s="2" t="s">
        <v>3244</v>
      </c>
    </row>
    <row r="554" ht="15.75" hidden="1" customHeight="1">
      <c r="A554" s="9">
        <v>7266276.0</v>
      </c>
      <c r="B554" s="2" t="s">
        <v>3247</v>
      </c>
      <c r="C554" s="2" t="s">
        <v>3248</v>
      </c>
      <c r="D554" s="2" t="s">
        <v>3249</v>
      </c>
      <c r="E554" s="10" t="s">
        <v>3250</v>
      </c>
      <c r="F554" s="2" t="s">
        <v>30</v>
      </c>
      <c r="G554" s="2"/>
      <c r="H554" s="2"/>
      <c r="I554" s="2" t="s">
        <v>3248</v>
      </c>
    </row>
    <row r="555" ht="15.75" hidden="1" customHeight="1">
      <c r="A555" s="9">
        <v>7266277.0</v>
      </c>
      <c r="B555" s="2" t="s">
        <v>3251</v>
      </c>
      <c r="C555" s="2" t="s">
        <v>3252</v>
      </c>
      <c r="D555" s="2" t="s">
        <v>3253</v>
      </c>
      <c r="E555" s="10" t="s">
        <v>3254</v>
      </c>
      <c r="F555" s="2" t="s">
        <v>524</v>
      </c>
      <c r="G555" s="2"/>
      <c r="H555" s="2"/>
      <c r="I555" s="2" t="s">
        <v>3252</v>
      </c>
    </row>
    <row r="556" ht="15.75" hidden="1" customHeight="1">
      <c r="A556" s="9">
        <v>7266278.0</v>
      </c>
      <c r="B556" s="2" t="s">
        <v>3256</v>
      </c>
      <c r="C556" s="2" t="s">
        <v>3258</v>
      </c>
      <c r="D556" s="2" t="s">
        <v>3183</v>
      </c>
      <c r="E556" s="10" t="s">
        <v>3189</v>
      </c>
      <c r="F556" s="2" t="s">
        <v>524</v>
      </c>
      <c r="G556" s="2"/>
      <c r="H556" s="2"/>
      <c r="I556" s="2" t="s">
        <v>3258</v>
      </c>
    </row>
    <row r="557" ht="15.75" hidden="1" customHeight="1">
      <c r="A557" s="9">
        <v>7266279.0</v>
      </c>
      <c r="B557" s="2" t="s">
        <v>3259</v>
      </c>
      <c r="C557" s="2" t="s">
        <v>3260</v>
      </c>
      <c r="D557" s="2" t="s">
        <v>3261</v>
      </c>
      <c r="E557" s="10" t="s">
        <v>3262</v>
      </c>
      <c r="F557" s="2" t="s">
        <v>524</v>
      </c>
      <c r="G557" s="2"/>
      <c r="H557" s="2"/>
      <c r="I557" s="2" t="s">
        <v>3260</v>
      </c>
    </row>
    <row r="558" ht="15.75" hidden="1" customHeight="1">
      <c r="A558" s="9">
        <v>7266280.0</v>
      </c>
      <c r="B558" s="2" t="s">
        <v>3264</v>
      </c>
      <c r="C558" s="2" t="s">
        <v>3265</v>
      </c>
      <c r="D558" s="2" t="s">
        <v>3266</v>
      </c>
      <c r="E558" s="10" t="s">
        <v>3267</v>
      </c>
      <c r="F558" s="2" t="s">
        <v>524</v>
      </c>
      <c r="G558" s="2"/>
      <c r="H558" s="2"/>
      <c r="I558" s="2" t="s">
        <v>3265</v>
      </c>
    </row>
    <row r="559" ht="15.75" hidden="1" customHeight="1">
      <c r="A559" s="9">
        <v>7266281.0</v>
      </c>
      <c r="B559" s="2" t="s">
        <v>3270</v>
      </c>
      <c r="C559" s="2" t="s">
        <v>3271</v>
      </c>
      <c r="D559" s="2" t="s">
        <v>1184</v>
      </c>
      <c r="E559" s="10" t="s">
        <v>1191</v>
      </c>
      <c r="F559" s="2" t="s">
        <v>524</v>
      </c>
      <c r="G559" s="2"/>
      <c r="H559" s="2"/>
      <c r="I559" s="2" t="s">
        <v>3271</v>
      </c>
    </row>
    <row r="560" ht="15.75" hidden="1" customHeight="1">
      <c r="A560" s="9">
        <v>7266282.0</v>
      </c>
      <c r="B560" s="2" t="s">
        <v>3273</v>
      </c>
      <c r="C560" s="2" t="s">
        <v>3274</v>
      </c>
      <c r="D560" s="2" t="s">
        <v>3275</v>
      </c>
      <c r="E560" s="10" t="s">
        <v>3276</v>
      </c>
      <c r="F560" s="2" t="s">
        <v>524</v>
      </c>
      <c r="G560" s="2"/>
      <c r="H560" s="2"/>
      <c r="I560" s="2" t="s">
        <v>3274</v>
      </c>
    </row>
    <row r="561" ht="15.75" hidden="1" customHeight="1">
      <c r="A561" s="9">
        <v>7266283.0</v>
      </c>
      <c r="B561" s="2" t="s">
        <v>3277</v>
      </c>
      <c r="C561" s="2" t="s">
        <v>3278</v>
      </c>
      <c r="D561" s="2" t="s">
        <v>3280</v>
      </c>
      <c r="E561" s="10" t="s">
        <v>3281</v>
      </c>
      <c r="F561" s="2" t="s">
        <v>524</v>
      </c>
      <c r="G561" s="2"/>
      <c r="H561" s="2"/>
      <c r="I561" s="2" t="s">
        <v>3278</v>
      </c>
    </row>
    <row r="562" ht="15.75" hidden="1" customHeight="1">
      <c r="A562" s="9">
        <v>7266284.0</v>
      </c>
      <c r="B562" s="2" t="s">
        <v>3283</v>
      </c>
      <c r="C562" s="2" t="s">
        <v>3284</v>
      </c>
      <c r="D562" s="2" t="s">
        <v>3285</v>
      </c>
      <c r="E562" s="10" t="s">
        <v>3286</v>
      </c>
      <c r="F562" s="2" t="s">
        <v>524</v>
      </c>
      <c r="G562" s="2"/>
      <c r="H562" s="2"/>
      <c r="I562" s="2" t="s">
        <v>3284</v>
      </c>
    </row>
    <row r="563" ht="15.75" hidden="1" customHeight="1">
      <c r="A563" s="9">
        <v>7266285.0</v>
      </c>
      <c r="B563" s="2" t="s">
        <v>3288</v>
      </c>
      <c r="C563" s="2" t="s">
        <v>3289</v>
      </c>
      <c r="D563" s="2" t="s">
        <v>3290</v>
      </c>
      <c r="E563" s="10" t="s">
        <v>3291</v>
      </c>
      <c r="F563" s="2" t="s">
        <v>524</v>
      </c>
      <c r="G563" s="2"/>
      <c r="H563" s="2"/>
      <c r="I563" s="2" t="s">
        <v>3289</v>
      </c>
    </row>
    <row r="564" ht="15.75" hidden="1" customHeight="1">
      <c r="A564" s="9">
        <v>7266286.0</v>
      </c>
      <c r="B564" s="2" t="s">
        <v>3293</v>
      </c>
      <c r="C564" s="2" t="s">
        <v>3294</v>
      </c>
      <c r="D564" s="2" t="s">
        <v>3296</v>
      </c>
      <c r="E564" s="10" t="s">
        <v>3297</v>
      </c>
      <c r="F564" s="2" t="s">
        <v>524</v>
      </c>
      <c r="G564" s="2"/>
      <c r="H564" s="2"/>
      <c r="I564" s="2" t="s">
        <v>3294</v>
      </c>
    </row>
    <row r="565" ht="15.75" hidden="1" customHeight="1">
      <c r="A565" s="9">
        <v>7266287.0</v>
      </c>
      <c r="B565" s="2" t="s">
        <v>3299</v>
      </c>
      <c r="C565" s="2" t="s">
        <v>3300</v>
      </c>
      <c r="D565" s="2" t="s">
        <v>3301</v>
      </c>
      <c r="E565" s="10" t="s">
        <v>3303</v>
      </c>
      <c r="F565" s="2" t="s">
        <v>524</v>
      </c>
      <c r="G565" s="2"/>
      <c r="H565" s="2"/>
      <c r="I565" s="2" t="s">
        <v>3300</v>
      </c>
    </row>
    <row r="566" ht="15.75" hidden="1" customHeight="1">
      <c r="A566" s="9">
        <v>7266288.0</v>
      </c>
      <c r="B566" s="2" t="s">
        <v>3304</v>
      </c>
      <c r="C566" s="2" t="s">
        <v>3305</v>
      </c>
      <c r="D566" s="2" t="s">
        <v>3306</v>
      </c>
      <c r="E566" s="10" t="s">
        <v>3307</v>
      </c>
      <c r="F566" s="2" t="s">
        <v>524</v>
      </c>
      <c r="G566" s="2"/>
      <c r="H566" s="2"/>
      <c r="I566" s="2" t="s">
        <v>3305</v>
      </c>
    </row>
    <row r="567" ht="15.75" hidden="1" customHeight="1">
      <c r="A567" s="9">
        <v>7266289.0</v>
      </c>
      <c r="B567" s="2" t="s">
        <v>3308</v>
      </c>
      <c r="C567" s="2" t="s">
        <v>3309</v>
      </c>
      <c r="D567" s="2" t="s">
        <v>3310</v>
      </c>
      <c r="E567" s="10" t="s">
        <v>3311</v>
      </c>
      <c r="F567" s="2" t="s">
        <v>524</v>
      </c>
      <c r="G567" s="2"/>
      <c r="H567" s="2"/>
      <c r="I567" s="2" t="s">
        <v>3309</v>
      </c>
    </row>
    <row r="568" ht="15.75" hidden="1" customHeight="1">
      <c r="A568" s="9">
        <v>7266290.0</v>
      </c>
      <c r="B568" s="2" t="s">
        <v>3313</v>
      </c>
      <c r="C568" s="2" t="s">
        <v>3314</v>
      </c>
      <c r="D568" s="2" t="s">
        <v>3315</v>
      </c>
      <c r="E568" s="10" t="s">
        <v>3316</v>
      </c>
      <c r="F568" s="2" t="s">
        <v>524</v>
      </c>
      <c r="G568" s="2"/>
      <c r="H568" s="2"/>
      <c r="I568" s="2" t="s">
        <v>3314</v>
      </c>
    </row>
    <row r="569" ht="15.75" hidden="1" customHeight="1">
      <c r="A569" s="9">
        <v>7266291.0</v>
      </c>
      <c r="B569" s="2" t="s">
        <v>3318</v>
      </c>
      <c r="C569" s="2" t="s">
        <v>3319</v>
      </c>
      <c r="D569" s="2" t="s">
        <v>3320</v>
      </c>
      <c r="E569" s="10" t="s">
        <v>3321</v>
      </c>
      <c r="F569" s="2" t="s">
        <v>524</v>
      </c>
      <c r="G569" s="2"/>
      <c r="H569" s="2"/>
      <c r="I569" s="2" t="s">
        <v>3319</v>
      </c>
    </row>
    <row r="570" ht="15.75" hidden="1" customHeight="1">
      <c r="A570" s="9">
        <v>7266292.0</v>
      </c>
      <c r="B570" s="2" t="s">
        <v>3322</v>
      </c>
      <c r="C570" s="2" t="s">
        <v>3323</v>
      </c>
      <c r="D570" s="2" t="s">
        <v>3324</v>
      </c>
      <c r="E570" s="10" t="s">
        <v>3325</v>
      </c>
      <c r="F570" s="2" t="s">
        <v>524</v>
      </c>
      <c r="G570" s="2"/>
      <c r="H570" s="2"/>
      <c r="I570" s="2" t="s">
        <v>3323</v>
      </c>
    </row>
    <row r="571" ht="15.75" hidden="1" customHeight="1">
      <c r="A571" s="9">
        <v>7266293.0</v>
      </c>
      <c r="B571" s="2" t="s">
        <v>3327</v>
      </c>
      <c r="C571" s="2" t="s">
        <v>3329</v>
      </c>
      <c r="D571" s="2" t="s">
        <v>3330</v>
      </c>
      <c r="E571" s="10" t="s">
        <v>3331</v>
      </c>
      <c r="F571" s="2" t="s">
        <v>524</v>
      </c>
      <c r="G571" s="2"/>
      <c r="H571" s="2"/>
      <c r="I571" s="2" t="s">
        <v>3329</v>
      </c>
    </row>
    <row r="572" ht="15.75" hidden="1" customHeight="1">
      <c r="A572" s="9">
        <v>7266294.0</v>
      </c>
      <c r="B572" s="2" t="s">
        <v>3333</v>
      </c>
      <c r="C572" s="2" t="s">
        <v>3335</v>
      </c>
      <c r="D572" s="2" t="s">
        <v>3336</v>
      </c>
      <c r="E572" s="10" t="s">
        <v>3337</v>
      </c>
      <c r="F572" s="2" t="s">
        <v>524</v>
      </c>
      <c r="G572" s="2"/>
      <c r="H572" s="2"/>
      <c r="I572" s="2" t="s">
        <v>3335</v>
      </c>
    </row>
    <row r="573" ht="15.75" hidden="1" customHeight="1">
      <c r="A573" s="9">
        <v>7266295.0</v>
      </c>
      <c r="B573" s="2" t="s">
        <v>3338</v>
      </c>
      <c r="C573" s="2" t="s">
        <v>3339</v>
      </c>
      <c r="D573" s="2" t="s">
        <v>3340</v>
      </c>
      <c r="E573" s="10" t="s">
        <v>3341</v>
      </c>
      <c r="F573" s="2" t="s">
        <v>524</v>
      </c>
      <c r="G573" s="2"/>
      <c r="H573" s="2"/>
      <c r="I573" s="2" t="s">
        <v>3339</v>
      </c>
    </row>
    <row r="574" ht="15.75" hidden="1" customHeight="1">
      <c r="A574" s="9">
        <v>7266296.0</v>
      </c>
      <c r="B574" s="2" t="s">
        <v>3343</v>
      </c>
      <c r="C574" s="2" t="s">
        <v>3344</v>
      </c>
      <c r="D574" s="2" t="s">
        <v>3345</v>
      </c>
      <c r="E574" s="10" t="s">
        <v>3346</v>
      </c>
      <c r="F574" s="2" t="s">
        <v>524</v>
      </c>
      <c r="G574" s="2"/>
      <c r="H574" s="2"/>
      <c r="I574" s="2" t="s">
        <v>3344</v>
      </c>
    </row>
    <row r="575" ht="15.75" hidden="1" customHeight="1">
      <c r="A575" s="9">
        <v>7266297.0</v>
      </c>
      <c r="B575" s="2" t="s">
        <v>3349</v>
      </c>
      <c r="C575" s="2" t="s">
        <v>3350</v>
      </c>
      <c r="D575" s="2" t="s">
        <v>3351</v>
      </c>
      <c r="E575" s="10" t="s">
        <v>3353</v>
      </c>
      <c r="F575" s="2" t="s">
        <v>524</v>
      </c>
      <c r="G575" s="2"/>
      <c r="H575" s="2"/>
      <c r="I575" s="2" t="s">
        <v>3350</v>
      </c>
    </row>
    <row r="576" ht="15.75" hidden="1" customHeight="1">
      <c r="A576" s="9">
        <v>7266298.0</v>
      </c>
      <c r="B576" s="2" t="s">
        <v>3354</v>
      </c>
      <c r="C576" s="2" t="s">
        <v>3355</v>
      </c>
      <c r="D576" s="2" t="s">
        <v>3356</v>
      </c>
      <c r="E576" s="10" t="s">
        <v>3357</v>
      </c>
      <c r="F576" s="2" t="s">
        <v>524</v>
      </c>
      <c r="G576" s="2"/>
      <c r="H576" s="2"/>
      <c r="I576" s="2" t="s">
        <v>3355</v>
      </c>
    </row>
    <row r="577" ht="15.75" hidden="1" customHeight="1">
      <c r="A577" s="9">
        <v>7266299.0</v>
      </c>
      <c r="B577" s="2" t="s">
        <v>3359</v>
      </c>
      <c r="C577" s="2" t="s">
        <v>3360</v>
      </c>
      <c r="D577" s="2" t="s">
        <v>3361</v>
      </c>
      <c r="E577" s="10" t="s">
        <v>3362</v>
      </c>
      <c r="F577" s="2" t="s">
        <v>524</v>
      </c>
      <c r="G577" s="2"/>
      <c r="H577" s="2"/>
      <c r="I577" s="2" t="s">
        <v>3360</v>
      </c>
    </row>
    <row r="578" ht="15.75" hidden="1" customHeight="1">
      <c r="A578" s="9">
        <v>7266300.0</v>
      </c>
      <c r="B578" s="2" t="s">
        <v>3364</v>
      </c>
      <c r="C578" s="2" t="s">
        <v>3365</v>
      </c>
      <c r="D578" s="2" t="s">
        <v>3366</v>
      </c>
      <c r="E578" s="10" t="s">
        <v>3367</v>
      </c>
      <c r="F578" s="2" t="s">
        <v>524</v>
      </c>
      <c r="G578" s="2"/>
      <c r="H578" s="2"/>
      <c r="I578" s="2" t="s">
        <v>3365</v>
      </c>
    </row>
    <row r="579" ht="15.75" hidden="1" customHeight="1">
      <c r="A579" s="9">
        <v>7266301.0</v>
      </c>
      <c r="B579" s="2" t="s">
        <v>3368</v>
      </c>
      <c r="C579" s="2" t="s">
        <v>3369</v>
      </c>
      <c r="D579" s="2" t="s">
        <v>3370</v>
      </c>
      <c r="E579" s="10" t="s">
        <v>3371</v>
      </c>
      <c r="F579" s="2" t="s">
        <v>524</v>
      </c>
      <c r="G579" s="2"/>
      <c r="H579" s="2"/>
      <c r="I579" s="2" t="s">
        <v>3369</v>
      </c>
    </row>
    <row r="580" ht="15.75" hidden="1" customHeight="1">
      <c r="A580" s="9">
        <v>7266302.0</v>
      </c>
      <c r="B580" s="2" t="s">
        <v>3373</v>
      </c>
      <c r="C580" s="2" t="s">
        <v>3374</v>
      </c>
      <c r="D580" s="2" t="s">
        <v>3375</v>
      </c>
      <c r="E580" s="10" t="s">
        <v>3376</v>
      </c>
      <c r="F580" s="2" t="s">
        <v>37</v>
      </c>
      <c r="G580" s="2"/>
      <c r="H580" s="2"/>
      <c r="I580" s="2" t="s">
        <v>3374</v>
      </c>
    </row>
    <row r="581" ht="15.75" hidden="1" customHeight="1">
      <c r="A581" s="9">
        <v>7266303.0</v>
      </c>
      <c r="B581" s="2" t="s">
        <v>3377</v>
      </c>
      <c r="C581" s="2" t="s">
        <v>3378</v>
      </c>
      <c r="D581" s="2" t="s">
        <v>3379</v>
      </c>
      <c r="E581" s="10" t="s">
        <v>3380</v>
      </c>
      <c r="F581" s="2" t="s">
        <v>37</v>
      </c>
      <c r="G581" s="2"/>
      <c r="H581" s="2"/>
      <c r="I581" s="2" t="s">
        <v>3378</v>
      </c>
    </row>
    <row r="582" ht="15.75" hidden="1" customHeight="1">
      <c r="A582" s="9">
        <v>7266304.0</v>
      </c>
      <c r="B582" s="2" t="s">
        <v>3381</v>
      </c>
      <c r="C582" s="2" t="s">
        <v>3382</v>
      </c>
      <c r="D582" s="2" t="s">
        <v>3383</v>
      </c>
      <c r="E582" s="10" t="s">
        <v>3385</v>
      </c>
      <c r="F582" s="2" t="s">
        <v>37</v>
      </c>
      <c r="G582" s="2"/>
      <c r="H582" s="2"/>
      <c r="I582" s="2" t="s">
        <v>3382</v>
      </c>
    </row>
    <row r="583" ht="15.75" hidden="1" customHeight="1">
      <c r="A583" s="9">
        <v>7266305.0</v>
      </c>
      <c r="B583" s="2" t="s">
        <v>3387</v>
      </c>
      <c r="C583" s="2" t="s">
        <v>3388</v>
      </c>
      <c r="D583" s="2" t="s">
        <v>3389</v>
      </c>
      <c r="E583" s="10" t="s">
        <v>3390</v>
      </c>
      <c r="F583" s="2" t="s">
        <v>37</v>
      </c>
      <c r="G583" s="2"/>
      <c r="H583" s="2"/>
      <c r="I583" s="2" t="s">
        <v>3388</v>
      </c>
    </row>
    <row r="584" ht="15.75" hidden="1" customHeight="1">
      <c r="A584" s="9">
        <v>7266306.0</v>
      </c>
      <c r="B584" s="2" t="s">
        <v>3392</v>
      </c>
      <c r="C584" s="2" t="s">
        <v>3393</v>
      </c>
      <c r="D584" s="2" t="s">
        <v>3394</v>
      </c>
      <c r="E584" s="10" t="s">
        <v>3395</v>
      </c>
      <c r="F584" s="2" t="s">
        <v>37</v>
      </c>
      <c r="G584" s="2"/>
      <c r="H584" s="2"/>
      <c r="I584" s="2" t="s">
        <v>3393</v>
      </c>
    </row>
    <row r="585" ht="15.75" hidden="1" customHeight="1">
      <c r="A585" s="9">
        <v>7266307.0</v>
      </c>
      <c r="B585" s="2" t="s">
        <v>3397</v>
      </c>
      <c r="C585" s="2" t="s">
        <v>3398</v>
      </c>
      <c r="D585" s="2" t="s">
        <v>3399</v>
      </c>
      <c r="E585" s="10" t="s">
        <v>3400</v>
      </c>
      <c r="F585" s="2" t="s">
        <v>37</v>
      </c>
      <c r="G585" s="2"/>
      <c r="H585" s="2"/>
      <c r="I585" s="2" t="s">
        <v>3398</v>
      </c>
    </row>
    <row r="586" ht="15.75" hidden="1" customHeight="1">
      <c r="A586" s="9">
        <v>7266308.0</v>
      </c>
      <c r="B586" s="2" t="s">
        <v>3401</v>
      </c>
      <c r="C586" s="2" t="s">
        <v>3402</v>
      </c>
      <c r="D586" s="2" t="s">
        <v>2139</v>
      </c>
      <c r="E586" s="10" t="s">
        <v>2145</v>
      </c>
      <c r="F586" s="2" t="s">
        <v>37</v>
      </c>
      <c r="G586" s="2"/>
      <c r="H586" s="2"/>
      <c r="I586" s="2" t="s">
        <v>3402</v>
      </c>
    </row>
    <row r="587" ht="15.75" hidden="1" customHeight="1">
      <c r="A587" s="9">
        <v>7266309.0</v>
      </c>
      <c r="B587" s="2" t="s">
        <v>3404</v>
      </c>
      <c r="C587" s="2" t="s">
        <v>3405</v>
      </c>
      <c r="D587" s="2" t="s">
        <v>3406</v>
      </c>
      <c r="E587" s="10" t="s">
        <v>3408</v>
      </c>
      <c r="F587" s="2" t="s">
        <v>37</v>
      </c>
      <c r="G587" s="2"/>
      <c r="H587" s="2"/>
      <c r="I587" s="2" t="s">
        <v>3405</v>
      </c>
    </row>
    <row r="588" ht="15.75" hidden="1" customHeight="1">
      <c r="A588" s="9">
        <v>7266310.0</v>
      </c>
      <c r="B588" s="2" t="s">
        <v>3410</v>
      </c>
      <c r="C588" s="2" t="s">
        <v>3411</v>
      </c>
      <c r="D588" s="2" t="s">
        <v>150</v>
      </c>
      <c r="E588" s="10" t="s">
        <v>158</v>
      </c>
      <c r="F588" s="2" t="s">
        <v>37</v>
      </c>
      <c r="G588" s="2"/>
      <c r="H588" s="2"/>
      <c r="I588" s="2" t="s">
        <v>3411</v>
      </c>
    </row>
    <row r="589" ht="15.75" hidden="1" customHeight="1">
      <c r="A589" s="9">
        <v>7266311.0</v>
      </c>
      <c r="B589" s="2" t="s">
        <v>3413</v>
      </c>
      <c r="C589" s="2" t="s">
        <v>3414</v>
      </c>
      <c r="D589" s="2" t="s">
        <v>3415</v>
      </c>
      <c r="E589" s="10" t="s">
        <v>3416</v>
      </c>
      <c r="F589" s="2" t="s">
        <v>37</v>
      </c>
      <c r="G589" s="2"/>
      <c r="H589" s="2"/>
      <c r="I589" s="2" t="s">
        <v>3414</v>
      </c>
    </row>
    <row r="590" ht="15.75" hidden="1" customHeight="1">
      <c r="A590" s="9">
        <v>7266312.0</v>
      </c>
      <c r="B590" s="2" t="s">
        <v>3417</v>
      </c>
      <c r="C590" s="2" t="s">
        <v>3418</v>
      </c>
      <c r="D590" s="2" t="s">
        <v>3420</v>
      </c>
      <c r="E590" s="10" t="s">
        <v>3421</v>
      </c>
      <c r="F590" s="2" t="s">
        <v>37</v>
      </c>
      <c r="G590" s="2"/>
      <c r="H590" s="2"/>
      <c r="I590" s="2" t="s">
        <v>3418</v>
      </c>
    </row>
    <row r="591" ht="15.75" hidden="1" customHeight="1">
      <c r="A591" s="9">
        <v>7266313.0</v>
      </c>
      <c r="B591" s="2" t="s">
        <v>3423</v>
      </c>
      <c r="C591" s="2" t="s">
        <v>3425</v>
      </c>
      <c r="D591" s="2" t="s">
        <v>3427</v>
      </c>
      <c r="E591" s="10" t="s">
        <v>3428</v>
      </c>
      <c r="F591" s="2" t="s">
        <v>37</v>
      </c>
      <c r="G591" s="2"/>
      <c r="H591" s="2"/>
      <c r="I591" s="2" t="s">
        <v>3425</v>
      </c>
    </row>
    <row r="592" ht="15.75" hidden="1" customHeight="1">
      <c r="A592" s="9">
        <v>7266314.0</v>
      </c>
      <c r="B592" s="2" t="s">
        <v>2744</v>
      </c>
      <c r="C592" s="2" t="s">
        <v>3429</v>
      </c>
      <c r="D592" s="2" t="s">
        <v>3430</v>
      </c>
      <c r="E592" s="10" t="s">
        <v>3431</v>
      </c>
      <c r="F592" s="2" t="s">
        <v>37</v>
      </c>
      <c r="G592" s="2"/>
      <c r="H592" s="2"/>
      <c r="I592" s="2" t="s">
        <v>3429</v>
      </c>
    </row>
    <row r="593" ht="15.75" hidden="1" customHeight="1">
      <c r="A593" s="9">
        <v>7266315.0</v>
      </c>
      <c r="B593" s="2" t="s">
        <v>3434</v>
      </c>
      <c r="C593" s="2" t="s">
        <v>3436</v>
      </c>
      <c r="D593" s="2" t="s">
        <v>3437</v>
      </c>
      <c r="E593" s="10" t="s">
        <v>3438</v>
      </c>
      <c r="F593" s="2" t="s">
        <v>37</v>
      </c>
      <c r="G593" s="2"/>
      <c r="H593" s="2"/>
      <c r="I593" s="2" t="s">
        <v>3436</v>
      </c>
    </row>
    <row r="594" ht="15.75" hidden="1" customHeight="1">
      <c r="A594" s="9">
        <v>7266316.0</v>
      </c>
      <c r="B594" s="2" t="s">
        <v>3440</v>
      </c>
      <c r="C594" s="2" t="s">
        <v>3441</v>
      </c>
      <c r="D594" s="2" t="s">
        <v>3442</v>
      </c>
      <c r="E594" s="10" t="s">
        <v>3443</v>
      </c>
      <c r="F594" s="2" t="s">
        <v>37</v>
      </c>
      <c r="G594" s="2"/>
      <c r="H594" s="2"/>
      <c r="I594" s="2" t="s">
        <v>3441</v>
      </c>
    </row>
    <row r="595" ht="15.75" hidden="1" customHeight="1">
      <c r="A595" s="9">
        <v>7266317.0</v>
      </c>
      <c r="B595" s="2" t="s">
        <v>3444</v>
      </c>
      <c r="C595" s="2" t="s">
        <v>3445</v>
      </c>
      <c r="D595" s="2" t="s">
        <v>3446</v>
      </c>
      <c r="E595" s="10" t="s">
        <v>3447</v>
      </c>
      <c r="F595" s="2" t="s">
        <v>37</v>
      </c>
      <c r="G595" s="2"/>
      <c r="H595" s="2"/>
      <c r="I595" s="2" t="s">
        <v>3445</v>
      </c>
    </row>
    <row r="596" ht="15.75" hidden="1" customHeight="1">
      <c r="A596" s="9">
        <v>7266318.0</v>
      </c>
      <c r="B596" s="2" t="s">
        <v>3449</v>
      </c>
      <c r="C596" s="2" t="s">
        <v>3450</v>
      </c>
      <c r="D596" s="2" t="s">
        <v>3451</v>
      </c>
      <c r="E596" s="10" t="s">
        <v>3452</v>
      </c>
      <c r="F596" s="2" t="s">
        <v>37</v>
      </c>
      <c r="G596" s="2"/>
      <c r="H596" s="2"/>
      <c r="I596" s="2" t="s">
        <v>3450</v>
      </c>
    </row>
    <row r="597" ht="15.75" hidden="1" customHeight="1">
      <c r="A597" s="9">
        <v>7266319.0</v>
      </c>
      <c r="B597" s="2" t="s">
        <v>3454</v>
      </c>
      <c r="C597" s="2" t="s">
        <v>3455</v>
      </c>
      <c r="D597" s="2" t="s">
        <v>3456</v>
      </c>
      <c r="E597" s="10" t="s">
        <v>3457</v>
      </c>
      <c r="F597" s="2" t="s">
        <v>37</v>
      </c>
      <c r="G597" s="2"/>
      <c r="H597" s="2"/>
      <c r="I597" s="2" t="s">
        <v>3455</v>
      </c>
    </row>
    <row r="598" ht="15.75" hidden="1" customHeight="1">
      <c r="A598" s="9">
        <v>7266320.0</v>
      </c>
      <c r="B598" s="2" t="s">
        <v>3458</v>
      </c>
      <c r="C598" s="2" t="s">
        <v>3459</v>
      </c>
      <c r="D598" s="2" t="s">
        <v>3460</v>
      </c>
      <c r="E598" s="10" t="s">
        <v>3461</v>
      </c>
      <c r="F598" s="2" t="s">
        <v>37</v>
      </c>
      <c r="G598" s="2"/>
      <c r="H598" s="2"/>
      <c r="I598" s="2" t="s">
        <v>3459</v>
      </c>
    </row>
    <row r="599" ht="15.75" hidden="1" customHeight="1">
      <c r="A599" s="9">
        <v>7266321.0</v>
      </c>
      <c r="B599" s="2" t="s">
        <v>3463</v>
      </c>
      <c r="C599" s="2" t="s">
        <v>3464</v>
      </c>
      <c r="D599" s="2" t="s">
        <v>3465</v>
      </c>
      <c r="E599" s="10" t="s">
        <v>3466</v>
      </c>
      <c r="F599" s="2" t="s">
        <v>37</v>
      </c>
      <c r="G599" s="2"/>
      <c r="H599" s="2"/>
      <c r="I599" s="2" t="s">
        <v>3464</v>
      </c>
    </row>
    <row r="600" ht="15.75" hidden="1" customHeight="1">
      <c r="A600" s="9">
        <v>7266322.0</v>
      </c>
      <c r="B600" s="2" t="s">
        <v>3468</v>
      </c>
      <c r="C600" s="2" t="s">
        <v>3469</v>
      </c>
      <c r="D600" s="2" t="s">
        <v>3470</v>
      </c>
      <c r="E600" s="10" t="s">
        <v>3471</v>
      </c>
      <c r="F600" s="2" t="s">
        <v>37</v>
      </c>
      <c r="G600" s="2"/>
      <c r="H600" s="2"/>
      <c r="I600" s="2" t="s">
        <v>3469</v>
      </c>
    </row>
    <row r="601" ht="15.75" hidden="1" customHeight="1">
      <c r="A601" s="9">
        <v>7266323.0</v>
      </c>
      <c r="B601" s="2" t="s">
        <v>3472</v>
      </c>
      <c r="C601" s="2" t="s">
        <v>3473</v>
      </c>
      <c r="D601" s="2" t="s">
        <v>3474</v>
      </c>
      <c r="E601" s="10" t="s">
        <v>3475</v>
      </c>
      <c r="F601" s="2" t="s">
        <v>37</v>
      </c>
      <c r="G601" s="2"/>
      <c r="H601" s="2"/>
      <c r="I601" s="2" t="s">
        <v>3473</v>
      </c>
    </row>
    <row r="602" ht="15.75" hidden="1" customHeight="1">
      <c r="A602" s="9">
        <v>7266324.0</v>
      </c>
      <c r="B602" s="2" t="s">
        <v>3477</v>
      </c>
      <c r="C602" s="2" t="s">
        <v>3478</v>
      </c>
      <c r="D602" s="2" t="s">
        <v>3480</v>
      </c>
      <c r="E602" s="10" t="s">
        <v>3481</v>
      </c>
      <c r="F602" s="2" t="s">
        <v>37</v>
      </c>
      <c r="G602" s="2"/>
      <c r="H602" s="2"/>
      <c r="I602" s="2" t="s">
        <v>3478</v>
      </c>
    </row>
    <row r="603" ht="15.75" hidden="1" customHeight="1">
      <c r="A603" s="9">
        <v>7266325.0</v>
      </c>
      <c r="B603" s="2" t="s">
        <v>3482</v>
      </c>
      <c r="C603" s="2" t="s">
        <v>3484</v>
      </c>
      <c r="D603" s="2" t="s">
        <v>3485</v>
      </c>
      <c r="E603" s="10" t="s">
        <v>3486</v>
      </c>
      <c r="F603" s="2" t="s">
        <v>37</v>
      </c>
      <c r="G603" s="2"/>
      <c r="H603" s="2"/>
      <c r="I603" s="2" t="s">
        <v>3484</v>
      </c>
    </row>
    <row r="604" ht="15.75" customHeight="1">
      <c r="A604" s="9">
        <v>7266326.0</v>
      </c>
      <c r="B604" s="2" t="s">
        <v>788</v>
      </c>
      <c r="C604" s="2" t="s">
        <v>3487</v>
      </c>
      <c r="D604" s="2" t="s">
        <v>3488</v>
      </c>
      <c r="E604" s="10" t="s">
        <v>3489</v>
      </c>
      <c r="F604" s="2" t="s">
        <v>68</v>
      </c>
      <c r="G604" s="2"/>
      <c r="H604" s="2"/>
      <c r="I604" s="2" t="s">
        <v>3487</v>
      </c>
    </row>
    <row r="605" ht="15.75" customHeight="1">
      <c r="A605" s="9">
        <v>7266327.0</v>
      </c>
      <c r="B605" s="2" t="s">
        <v>796</v>
      </c>
      <c r="C605" s="2" t="s">
        <v>3491</v>
      </c>
      <c r="D605" s="2" t="s">
        <v>3492</v>
      </c>
      <c r="E605" s="10" t="s">
        <v>3493</v>
      </c>
      <c r="F605" s="2" t="s">
        <v>68</v>
      </c>
      <c r="G605" s="2"/>
      <c r="H605" s="2"/>
      <c r="I605" s="2" t="s">
        <v>3491</v>
      </c>
    </row>
    <row r="606" ht="15.75" customHeight="1">
      <c r="A606" s="9">
        <v>7266328.0</v>
      </c>
      <c r="B606" s="2" t="s">
        <v>803</v>
      </c>
      <c r="C606" s="2" t="s">
        <v>3496</v>
      </c>
      <c r="D606" s="2" t="s">
        <v>3498</v>
      </c>
      <c r="E606" s="10" t="s">
        <v>3499</v>
      </c>
      <c r="F606" s="2" t="s">
        <v>68</v>
      </c>
      <c r="G606" s="2"/>
      <c r="H606" s="2"/>
      <c r="I606" s="2" t="s">
        <v>3496</v>
      </c>
    </row>
    <row r="607" ht="15.75" customHeight="1">
      <c r="A607" s="9">
        <v>7266329.0</v>
      </c>
      <c r="B607" s="2" t="s">
        <v>811</v>
      </c>
      <c r="C607" s="2" t="s">
        <v>3500</v>
      </c>
      <c r="D607" s="2" t="s">
        <v>3501</v>
      </c>
      <c r="E607" s="10" t="s">
        <v>3502</v>
      </c>
      <c r="F607" s="2" t="s">
        <v>68</v>
      </c>
      <c r="G607" s="2"/>
      <c r="H607" s="2"/>
      <c r="I607" s="2" t="s">
        <v>3500</v>
      </c>
    </row>
    <row r="608" ht="15.75" customHeight="1">
      <c r="A608" s="9">
        <v>7266330.0</v>
      </c>
      <c r="B608" s="2" t="s">
        <v>826</v>
      </c>
      <c r="C608" s="2" t="s">
        <v>3503</v>
      </c>
      <c r="D608" s="2" t="s">
        <v>3505</v>
      </c>
      <c r="E608" s="10" t="s">
        <v>3506</v>
      </c>
      <c r="F608" s="2" t="s">
        <v>68</v>
      </c>
      <c r="G608" s="2"/>
      <c r="H608" s="2"/>
      <c r="I608" s="2" t="s">
        <v>3503</v>
      </c>
    </row>
    <row r="609" ht="15.75" customHeight="1">
      <c r="A609" s="9">
        <v>7266331.0</v>
      </c>
      <c r="B609" s="2" t="s">
        <v>832</v>
      </c>
      <c r="C609" s="2" t="s">
        <v>3509</v>
      </c>
      <c r="D609" s="2" t="s">
        <v>3510</v>
      </c>
      <c r="E609" s="10" t="s">
        <v>3511</v>
      </c>
      <c r="F609" s="2" t="s">
        <v>68</v>
      </c>
      <c r="G609" s="2"/>
      <c r="H609" s="2"/>
      <c r="I609" s="2" t="s">
        <v>3509</v>
      </c>
    </row>
    <row r="610" ht="15.75" customHeight="1">
      <c r="A610" s="9">
        <v>7266332.0</v>
      </c>
      <c r="B610" s="2" t="s">
        <v>841</v>
      </c>
      <c r="C610" s="2" t="s">
        <v>3514</v>
      </c>
      <c r="D610" s="2" t="s">
        <v>3515</v>
      </c>
      <c r="E610" s="10" t="s">
        <v>3516</v>
      </c>
      <c r="F610" s="2" t="s">
        <v>68</v>
      </c>
      <c r="G610" s="2"/>
      <c r="H610" s="2"/>
      <c r="I610" s="2" t="s">
        <v>3514</v>
      </c>
    </row>
    <row r="611" ht="15.75" customHeight="1">
      <c r="A611" s="9">
        <v>7266333.0</v>
      </c>
      <c r="B611" s="2" t="s">
        <v>847</v>
      </c>
      <c r="C611" s="2" t="s">
        <v>3517</v>
      </c>
      <c r="D611" s="2" t="s">
        <v>3518</v>
      </c>
      <c r="E611" s="10" t="s">
        <v>3519</v>
      </c>
      <c r="F611" s="2" t="s">
        <v>68</v>
      </c>
      <c r="G611" s="2"/>
      <c r="H611" s="2"/>
      <c r="I611" s="2" t="s">
        <v>3517</v>
      </c>
    </row>
    <row r="612" ht="15.75" customHeight="1">
      <c r="A612" s="9">
        <v>7266334.0</v>
      </c>
      <c r="B612" s="2" t="s">
        <v>854</v>
      </c>
      <c r="C612" s="2" t="s">
        <v>3521</v>
      </c>
      <c r="D612" s="2" t="s">
        <v>3522</v>
      </c>
      <c r="E612" s="10" t="s">
        <v>3523</v>
      </c>
      <c r="F612" s="2" t="s">
        <v>68</v>
      </c>
      <c r="G612" s="2"/>
      <c r="H612" s="2"/>
      <c r="I612" s="2" t="s">
        <v>3521</v>
      </c>
    </row>
    <row r="613" ht="15.75" customHeight="1">
      <c r="A613" s="9">
        <v>7266335.0</v>
      </c>
      <c r="B613" s="2" t="s">
        <v>880</v>
      </c>
      <c r="C613" s="2" t="s">
        <v>3524</v>
      </c>
      <c r="D613" s="2" t="s">
        <v>3525</v>
      </c>
      <c r="E613" s="10" t="s">
        <v>3526</v>
      </c>
      <c r="F613" s="2" t="s">
        <v>68</v>
      </c>
      <c r="G613" s="2"/>
      <c r="H613" s="2"/>
      <c r="I613" s="2" t="s">
        <v>3524</v>
      </c>
    </row>
    <row r="614" ht="15.75" customHeight="1">
      <c r="A614" s="9">
        <v>7266336.0</v>
      </c>
      <c r="B614" s="2" t="s">
        <v>887</v>
      </c>
      <c r="C614" s="2" t="s">
        <v>3528</v>
      </c>
      <c r="D614" s="2" t="s">
        <v>3529</v>
      </c>
      <c r="E614" s="10" t="s">
        <v>3530</v>
      </c>
      <c r="F614" s="2" t="s">
        <v>68</v>
      </c>
      <c r="G614" s="2"/>
      <c r="H614" s="2"/>
      <c r="I614" s="2" t="s">
        <v>3528</v>
      </c>
    </row>
    <row r="615" ht="15.75" customHeight="1">
      <c r="A615" s="9">
        <v>7266337.0</v>
      </c>
      <c r="B615" s="2" t="s">
        <v>894</v>
      </c>
      <c r="C615" s="2" t="s">
        <v>3532</v>
      </c>
      <c r="D615" s="2" t="s">
        <v>3534</v>
      </c>
      <c r="E615" s="10" t="s">
        <v>3535</v>
      </c>
      <c r="F615" s="2" t="s">
        <v>68</v>
      </c>
      <c r="G615" s="2"/>
      <c r="H615" s="2"/>
      <c r="I615" s="2" t="s">
        <v>3532</v>
      </c>
    </row>
    <row r="616" ht="15.75" customHeight="1">
      <c r="A616" s="9">
        <v>7266338.0</v>
      </c>
      <c r="B616" s="2" t="s">
        <v>903</v>
      </c>
      <c r="C616" s="2" t="s">
        <v>3536</v>
      </c>
      <c r="D616" s="2" t="s">
        <v>3537</v>
      </c>
      <c r="E616" s="10" t="s">
        <v>3538</v>
      </c>
      <c r="F616" s="2" t="s">
        <v>68</v>
      </c>
      <c r="G616" s="2"/>
      <c r="H616" s="2"/>
      <c r="I616" s="2" t="s">
        <v>3536</v>
      </c>
    </row>
    <row r="617" ht="15.75" customHeight="1">
      <c r="A617" s="9">
        <v>7266339.0</v>
      </c>
      <c r="B617" s="2" t="s">
        <v>911</v>
      </c>
      <c r="C617" s="2" t="s">
        <v>3541</v>
      </c>
      <c r="D617" s="2" t="s">
        <v>3542</v>
      </c>
      <c r="E617" s="10" t="s">
        <v>3543</v>
      </c>
      <c r="F617" s="2" t="s">
        <v>68</v>
      </c>
      <c r="G617" s="2"/>
      <c r="H617" s="2"/>
      <c r="I617" s="2" t="s">
        <v>3541</v>
      </c>
    </row>
    <row r="618" ht="15.75" customHeight="1">
      <c r="A618" s="9">
        <v>7266340.0</v>
      </c>
      <c r="B618" s="2" t="s">
        <v>917</v>
      </c>
      <c r="C618" s="2" t="s">
        <v>3545</v>
      </c>
      <c r="D618" s="2" t="s">
        <v>3546</v>
      </c>
      <c r="E618" s="10" t="s">
        <v>3547</v>
      </c>
      <c r="F618" s="2" t="s">
        <v>68</v>
      </c>
      <c r="G618" s="2"/>
      <c r="H618" s="2"/>
      <c r="I618" s="2" t="s">
        <v>3545</v>
      </c>
    </row>
    <row r="619" ht="15.75" customHeight="1">
      <c r="A619" s="9">
        <v>7266341.0</v>
      </c>
      <c r="B619" s="2" t="s">
        <v>544</v>
      </c>
      <c r="C619" s="2" t="s">
        <v>3549</v>
      </c>
      <c r="D619" s="2" t="s">
        <v>3551</v>
      </c>
      <c r="E619" s="10" t="s">
        <v>3520</v>
      </c>
      <c r="F619" s="2" t="s">
        <v>68</v>
      </c>
      <c r="G619" s="2"/>
      <c r="H619" s="2"/>
      <c r="I619" s="2" t="s">
        <v>3549</v>
      </c>
    </row>
    <row r="620" ht="15.75" customHeight="1">
      <c r="A620" s="9">
        <v>7266342.0</v>
      </c>
      <c r="B620" s="2" t="s">
        <v>702</v>
      </c>
      <c r="C620" s="2" t="s">
        <v>3552</v>
      </c>
      <c r="D620" s="2" t="s">
        <v>3554</v>
      </c>
      <c r="E620" s="10" t="s">
        <v>3539</v>
      </c>
      <c r="F620" s="2" t="s">
        <v>68</v>
      </c>
      <c r="G620" s="2"/>
      <c r="H620" s="2"/>
      <c r="I620" s="2" t="s">
        <v>3552</v>
      </c>
    </row>
    <row r="621" ht="15.75" customHeight="1">
      <c r="A621" s="9">
        <v>7266343.0</v>
      </c>
      <c r="B621" s="2" t="s">
        <v>715</v>
      </c>
      <c r="C621" s="2" t="s">
        <v>3557</v>
      </c>
      <c r="D621" s="2" t="s">
        <v>3559</v>
      </c>
      <c r="E621" s="10" t="s">
        <v>3540</v>
      </c>
      <c r="F621" s="2" t="s">
        <v>68</v>
      </c>
      <c r="G621" s="2"/>
      <c r="H621" s="2"/>
      <c r="I621" s="2" t="s">
        <v>3557</v>
      </c>
    </row>
    <row r="622" ht="15.75" customHeight="1">
      <c r="A622" s="9">
        <v>7266344.0</v>
      </c>
      <c r="B622" s="2" t="s">
        <v>722</v>
      </c>
      <c r="C622" s="2" t="s">
        <v>3561</v>
      </c>
      <c r="D622" s="2" t="s">
        <v>701</v>
      </c>
      <c r="E622" s="10" t="s">
        <v>709</v>
      </c>
      <c r="F622" s="2" t="s">
        <v>68</v>
      </c>
      <c r="G622" s="2"/>
      <c r="H622" s="2"/>
      <c r="I622" s="2" t="s">
        <v>3561</v>
      </c>
    </row>
    <row r="623" ht="15.75" customHeight="1">
      <c r="A623" s="9">
        <v>7266345.0</v>
      </c>
      <c r="B623" s="2" t="s">
        <v>729</v>
      </c>
      <c r="C623" s="2" t="s">
        <v>3564</v>
      </c>
      <c r="D623" s="2" t="s">
        <v>3565</v>
      </c>
      <c r="E623" s="10" t="s">
        <v>3550</v>
      </c>
      <c r="F623" s="2" t="s">
        <v>68</v>
      </c>
      <c r="G623" s="2"/>
      <c r="H623" s="2"/>
      <c r="I623" s="2" t="s">
        <v>3564</v>
      </c>
    </row>
    <row r="624" ht="15.75" customHeight="1">
      <c r="A624" s="9">
        <v>7266346.0</v>
      </c>
      <c r="B624" s="2" t="s">
        <v>737</v>
      </c>
      <c r="C624" s="2" t="s">
        <v>3568</v>
      </c>
      <c r="D624" s="2" t="s">
        <v>3570</v>
      </c>
      <c r="E624" s="10" t="s">
        <v>3553</v>
      </c>
      <c r="F624" s="2" t="s">
        <v>68</v>
      </c>
      <c r="G624" s="2"/>
      <c r="H624" s="2"/>
      <c r="I624" s="2" t="s">
        <v>3568</v>
      </c>
    </row>
    <row r="625" ht="15.75" customHeight="1">
      <c r="A625" s="9">
        <v>7266347.0</v>
      </c>
      <c r="B625" s="2" t="s">
        <v>744</v>
      </c>
      <c r="C625" s="2" t="s">
        <v>3573</v>
      </c>
      <c r="D625" s="2" t="s">
        <v>3574</v>
      </c>
      <c r="E625" s="10" t="s">
        <v>3560</v>
      </c>
      <c r="F625" s="2" t="s">
        <v>68</v>
      </c>
      <c r="G625" s="2"/>
      <c r="H625" s="2"/>
      <c r="I625" s="2" t="s">
        <v>3573</v>
      </c>
    </row>
    <row r="626" ht="15.75" customHeight="1">
      <c r="A626" s="9">
        <v>7266348.0</v>
      </c>
      <c r="B626" s="2" t="s">
        <v>753</v>
      </c>
      <c r="C626" s="2" t="s">
        <v>3576</v>
      </c>
      <c r="D626" s="2" t="s">
        <v>3577</v>
      </c>
      <c r="E626" s="10" t="s">
        <v>3562</v>
      </c>
      <c r="F626" s="2" t="s">
        <v>68</v>
      </c>
      <c r="G626" s="2"/>
      <c r="H626" s="2"/>
      <c r="I626" s="2" t="s">
        <v>3576</v>
      </c>
    </row>
    <row r="627" ht="15.75" customHeight="1">
      <c r="A627" s="9">
        <v>7266349.0</v>
      </c>
      <c r="B627" s="2" t="s">
        <v>758</v>
      </c>
      <c r="C627" s="2" t="s">
        <v>3579</v>
      </c>
      <c r="D627" s="2" t="s">
        <v>3580</v>
      </c>
      <c r="E627" s="10" t="s">
        <v>3563</v>
      </c>
      <c r="F627" s="2" t="s">
        <v>68</v>
      </c>
      <c r="G627" s="2"/>
      <c r="H627" s="2"/>
      <c r="I627" s="2" t="s">
        <v>3579</v>
      </c>
    </row>
    <row r="628" ht="15.75" customHeight="1">
      <c r="A628" s="9">
        <v>7266350.0</v>
      </c>
      <c r="B628" s="2" t="s">
        <v>771</v>
      </c>
      <c r="C628" s="2" t="s">
        <v>3581</v>
      </c>
      <c r="D628" s="2" t="s">
        <v>474</v>
      </c>
      <c r="E628" s="10" t="s">
        <v>480</v>
      </c>
      <c r="F628" s="2" t="s">
        <v>68</v>
      </c>
      <c r="G628" s="2"/>
      <c r="H628" s="2"/>
      <c r="I628" s="2" t="s">
        <v>3581</v>
      </c>
    </row>
    <row r="629" ht="15.75" customHeight="1">
      <c r="A629" s="9">
        <v>7266351.0</v>
      </c>
      <c r="B629" s="2" t="s">
        <v>778</v>
      </c>
      <c r="C629" s="2" t="s">
        <v>3583</v>
      </c>
      <c r="D629" s="2" t="s">
        <v>3584</v>
      </c>
      <c r="E629" s="10" t="s">
        <v>3575</v>
      </c>
      <c r="F629" s="2" t="s">
        <v>68</v>
      </c>
      <c r="G629" s="2"/>
      <c r="H629" s="2"/>
      <c r="I629" s="2" t="s">
        <v>3583</v>
      </c>
    </row>
    <row r="630" ht="15.75" customHeight="1">
      <c r="A630" s="9">
        <v>7266352.0</v>
      </c>
      <c r="B630" s="2" t="s">
        <v>935</v>
      </c>
      <c r="C630" s="2" t="s">
        <v>3585</v>
      </c>
      <c r="D630" s="2" t="s">
        <v>3586</v>
      </c>
      <c r="E630" s="10" t="s">
        <v>3587</v>
      </c>
      <c r="F630" s="2" t="s">
        <v>543</v>
      </c>
      <c r="G630" s="2"/>
      <c r="H630" s="2"/>
      <c r="I630" s="2" t="s">
        <v>3585</v>
      </c>
    </row>
    <row r="631" ht="15.75" customHeight="1">
      <c r="A631" s="9">
        <v>7266353.0</v>
      </c>
      <c r="B631" s="2" t="s">
        <v>938</v>
      </c>
      <c r="C631" s="2" t="s">
        <v>3590</v>
      </c>
      <c r="D631" s="2" t="s">
        <v>3591</v>
      </c>
      <c r="E631" s="10" t="s">
        <v>3592</v>
      </c>
      <c r="F631" s="2" t="s">
        <v>543</v>
      </c>
      <c r="G631" s="2"/>
      <c r="H631" s="2"/>
      <c r="I631" s="2" t="s">
        <v>3590</v>
      </c>
    </row>
    <row r="632" ht="15.75" customHeight="1">
      <c r="A632" s="9">
        <v>7266354.0</v>
      </c>
      <c r="B632" s="2" t="s">
        <v>1085</v>
      </c>
      <c r="C632" s="2" t="s">
        <v>3594</v>
      </c>
      <c r="D632" s="2" t="s">
        <v>3595</v>
      </c>
      <c r="E632" s="10" t="s">
        <v>3596</v>
      </c>
      <c r="F632" s="2" t="s">
        <v>543</v>
      </c>
      <c r="G632" s="2"/>
      <c r="H632" s="2"/>
      <c r="I632" s="2" t="s">
        <v>3594</v>
      </c>
    </row>
    <row r="633" ht="15.75" customHeight="1">
      <c r="A633" s="9">
        <v>7266355.0</v>
      </c>
      <c r="B633" s="2" t="s">
        <v>1076</v>
      </c>
      <c r="C633" s="2" t="s">
        <v>3598</v>
      </c>
      <c r="D633" s="2" t="s">
        <v>3599</v>
      </c>
      <c r="E633" s="10" t="s">
        <v>3600</v>
      </c>
      <c r="F633" s="2" t="s">
        <v>543</v>
      </c>
      <c r="G633" s="2"/>
      <c r="H633" s="2"/>
      <c r="I633" s="2" t="s">
        <v>3598</v>
      </c>
    </row>
    <row r="634" ht="15.75" customHeight="1">
      <c r="A634" s="9">
        <v>7266356.0</v>
      </c>
      <c r="B634" s="2" t="s">
        <v>954</v>
      </c>
      <c r="C634" s="2" t="s">
        <v>3601</v>
      </c>
      <c r="D634" s="2" t="s">
        <v>3602</v>
      </c>
      <c r="E634" s="10" t="s">
        <v>3603</v>
      </c>
      <c r="F634" s="2" t="s">
        <v>543</v>
      </c>
      <c r="G634" s="2"/>
      <c r="H634" s="2"/>
      <c r="I634" s="2" t="s">
        <v>3601</v>
      </c>
    </row>
    <row r="635" ht="15.75" customHeight="1">
      <c r="A635" s="9">
        <v>7266357.0</v>
      </c>
      <c r="B635" s="2" t="s">
        <v>1068</v>
      </c>
      <c r="C635" s="2" t="s">
        <v>3604</v>
      </c>
      <c r="D635" s="2" t="s">
        <v>3605</v>
      </c>
      <c r="E635" s="10" t="s">
        <v>3607</v>
      </c>
      <c r="F635" s="2" t="s">
        <v>543</v>
      </c>
      <c r="G635" s="2"/>
      <c r="H635" s="2"/>
      <c r="I635" s="2" t="s">
        <v>3604</v>
      </c>
    </row>
    <row r="636" ht="15.75" customHeight="1">
      <c r="A636" s="9">
        <v>7266358.0</v>
      </c>
      <c r="B636" s="2" t="s">
        <v>999</v>
      </c>
      <c r="C636" s="2" t="s">
        <v>3608</v>
      </c>
      <c r="D636" s="2" t="s">
        <v>3609</v>
      </c>
      <c r="E636" s="10" t="s">
        <v>3610</v>
      </c>
      <c r="F636" s="2" t="s">
        <v>543</v>
      </c>
      <c r="G636" s="2"/>
      <c r="H636" s="2"/>
      <c r="I636" s="2" t="s">
        <v>3608</v>
      </c>
    </row>
    <row r="637" ht="15.75" customHeight="1">
      <c r="A637" s="9">
        <v>7266359.0</v>
      </c>
      <c r="B637" s="2" t="s">
        <v>1052</v>
      </c>
      <c r="C637" s="2" t="s">
        <v>3611</v>
      </c>
      <c r="D637" s="2" t="s">
        <v>3612</v>
      </c>
      <c r="E637" s="10" t="s">
        <v>3613</v>
      </c>
      <c r="F637" s="2" t="s">
        <v>543</v>
      </c>
      <c r="G637" s="2"/>
      <c r="H637" s="2"/>
      <c r="I637" s="2" t="s">
        <v>3611</v>
      </c>
    </row>
    <row r="638" ht="15.75" customHeight="1">
      <c r="A638" s="9">
        <v>7266360.0</v>
      </c>
      <c r="B638" s="2" t="s">
        <v>1044</v>
      </c>
      <c r="C638" s="2" t="s">
        <v>3615</v>
      </c>
      <c r="D638" s="2" t="s">
        <v>3617</v>
      </c>
      <c r="E638" s="10" t="s">
        <v>3618</v>
      </c>
      <c r="F638" s="2" t="s">
        <v>543</v>
      </c>
      <c r="G638" s="2"/>
      <c r="H638" s="2"/>
      <c r="I638" s="2" t="s">
        <v>3615</v>
      </c>
    </row>
    <row r="639" ht="15.75" customHeight="1">
      <c r="A639" s="9">
        <v>7266361.0</v>
      </c>
      <c r="B639" s="2" t="s">
        <v>990</v>
      </c>
      <c r="C639" s="2" t="s">
        <v>3620</v>
      </c>
      <c r="D639" s="2" t="s">
        <v>3621</v>
      </c>
      <c r="E639" s="10" t="s">
        <v>3622</v>
      </c>
      <c r="F639" s="2" t="s">
        <v>543</v>
      </c>
      <c r="G639" s="2"/>
      <c r="H639" s="2"/>
      <c r="I639" s="2" t="s">
        <v>3620</v>
      </c>
    </row>
    <row r="640" ht="15.75" customHeight="1">
      <c r="A640" s="9">
        <v>7266362.0</v>
      </c>
      <c r="B640" s="2" t="s">
        <v>1038</v>
      </c>
      <c r="C640" s="2" t="s">
        <v>3623</v>
      </c>
      <c r="D640" s="2" t="s">
        <v>3624</v>
      </c>
      <c r="E640" s="10" t="s">
        <v>3625</v>
      </c>
      <c r="F640" s="2" t="s">
        <v>543</v>
      </c>
      <c r="G640" s="2"/>
      <c r="H640" s="2"/>
      <c r="I640" s="2" t="s">
        <v>3623</v>
      </c>
    </row>
    <row r="641" ht="15.75" customHeight="1">
      <c r="A641" s="9">
        <v>7266363.0</v>
      </c>
      <c r="B641" s="2" t="s">
        <v>981</v>
      </c>
      <c r="C641" s="2" t="s">
        <v>3626</v>
      </c>
      <c r="D641" s="2" t="s">
        <v>3627</v>
      </c>
      <c r="E641" s="10" t="s">
        <v>3628</v>
      </c>
      <c r="F641" s="2" t="s">
        <v>543</v>
      </c>
      <c r="G641" s="2"/>
      <c r="H641" s="2"/>
      <c r="I641" s="2" t="s">
        <v>3626</v>
      </c>
    </row>
    <row r="642" ht="15.75" customHeight="1">
      <c r="A642" s="9">
        <v>7266364.0</v>
      </c>
      <c r="B642" s="2" t="s">
        <v>1029</v>
      </c>
      <c r="C642" s="2" t="s">
        <v>3630</v>
      </c>
      <c r="D642" s="2" t="s">
        <v>3631</v>
      </c>
      <c r="E642" s="10" t="s">
        <v>3632</v>
      </c>
      <c r="F642" s="2" t="s">
        <v>543</v>
      </c>
      <c r="G642" s="2"/>
      <c r="H642" s="2"/>
      <c r="I642" s="2" t="s">
        <v>3630</v>
      </c>
    </row>
    <row r="643" ht="15.75" customHeight="1">
      <c r="A643" s="9">
        <v>7266365.0</v>
      </c>
      <c r="B643" s="2" t="s">
        <v>1023</v>
      </c>
      <c r="C643" s="2" t="s">
        <v>3635</v>
      </c>
      <c r="D643" s="2" t="s">
        <v>3636</v>
      </c>
      <c r="E643" s="10" t="s">
        <v>3637</v>
      </c>
      <c r="F643" s="2" t="s">
        <v>543</v>
      </c>
      <c r="G643" s="2"/>
      <c r="H643" s="2"/>
      <c r="I643" s="2" t="s">
        <v>3635</v>
      </c>
    </row>
    <row r="644" ht="15.75" customHeight="1">
      <c r="A644" s="9">
        <v>7266366.0</v>
      </c>
      <c r="B644" s="2" t="s">
        <v>946</v>
      </c>
      <c r="C644" s="2" t="s">
        <v>3639</v>
      </c>
      <c r="D644" s="2" t="s">
        <v>531</v>
      </c>
      <c r="E644" s="10" t="s">
        <v>537</v>
      </c>
      <c r="F644" s="2" t="s">
        <v>543</v>
      </c>
      <c r="G644" s="2"/>
      <c r="H644" s="2"/>
      <c r="I644" s="2" t="s">
        <v>3639</v>
      </c>
    </row>
    <row r="645" ht="15.75" customHeight="1">
      <c r="A645" s="9">
        <v>7266367.0</v>
      </c>
      <c r="B645" s="2" t="s">
        <v>977</v>
      </c>
      <c r="C645" s="2" t="s">
        <v>3641</v>
      </c>
      <c r="D645" s="2" t="s">
        <v>3642</v>
      </c>
      <c r="E645" s="10" t="s">
        <v>3643</v>
      </c>
      <c r="F645" s="2" t="s">
        <v>543</v>
      </c>
      <c r="G645" s="2"/>
      <c r="H645" s="2"/>
      <c r="I645" s="2" t="s">
        <v>3641</v>
      </c>
    </row>
    <row r="646" ht="15.75" customHeight="1">
      <c r="A646" s="9">
        <v>7266369.0</v>
      </c>
      <c r="B646" s="2" t="s">
        <v>1015</v>
      </c>
      <c r="C646" s="2" t="s">
        <v>3645</v>
      </c>
      <c r="D646" s="2" t="s">
        <v>3646</v>
      </c>
      <c r="E646" s="10" t="s">
        <v>3648</v>
      </c>
      <c r="F646" s="2" t="s">
        <v>543</v>
      </c>
      <c r="G646" s="2"/>
      <c r="H646" s="2"/>
      <c r="I646" s="2" t="s">
        <v>3645</v>
      </c>
    </row>
    <row r="647" ht="15.75" customHeight="1">
      <c r="A647" s="9">
        <v>7266371.0</v>
      </c>
      <c r="B647" s="2" t="s">
        <v>1008</v>
      </c>
      <c r="C647" s="2" t="s">
        <v>3650</v>
      </c>
      <c r="D647" s="2" t="s">
        <v>3651</v>
      </c>
      <c r="E647" s="10" t="s">
        <v>3652</v>
      </c>
      <c r="F647" s="2" t="s">
        <v>543</v>
      </c>
      <c r="G647" s="2"/>
      <c r="H647" s="2"/>
      <c r="I647" s="2" t="s">
        <v>3650</v>
      </c>
    </row>
    <row r="648" ht="15.75" customHeight="1">
      <c r="A648" s="9">
        <v>7266372.0</v>
      </c>
      <c r="B648" s="2" t="s">
        <v>960</v>
      </c>
      <c r="C648" s="2" t="s">
        <v>3653</v>
      </c>
      <c r="D648" s="2" t="s">
        <v>3654</v>
      </c>
      <c r="E648" s="10" t="s">
        <v>3655</v>
      </c>
      <c r="F648" s="2" t="s">
        <v>543</v>
      </c>
      <c r="G648" s="2"/>
      <c r="H648" s="2"/>
      <c r="I648" s="2" t="s">
        <v>3653</v>
      </c>
    </row>
    <row r="649" ht="15.75" customHeight="1">
      <c r="A649" s="9">
        <v>7266373.0</v>
      </c>
      <c r="B649" s="2" t="s">
        <v>927</v>
      </c>
      <c r="C649" s="2" t="s">
        <v>3658</v>
      </c>
      <c r="D649" s="2" t="s">
        <v>3659</v>
      </c>
      <c r="E649" s="10" t="s">
        <v>3640</v>
      </c>
      <c r="F649" s="2" t="s">
        <v>543</v>
      </c>
      <c r="G649" s="2"/>
      <c r="H649" s="2"/>
      <c r="I649" s="2" t="s">
        <v>3658</v>
      </c>
    </row>
    <row r="650" ht="15.75" customHeight="1">
      <c r="A650" s="9">
        <v>7266374.0</v>
      </c>
      <c r="B650" s="2" t="s">
        <v>1095</v>
      </c>
      <c r="C650" s="2" t="s">
        <v>3662</v>
      </c>
      <c r="D650" s="2" t="s">
        <v>1096</v>
      </c>
      <c r="E650" s="10" t="s">
        <v>1102</v>
      </c>
      <c r="F650" s="2" t="s">
        <v>543</v>
      </c>
      <c r="G650" s="2"/>
      <c r="H650" s="2"/>
      <c r="I650" s="2" t="s">
        <v>3662</v>
      </c>
    </row>
    <row r="651" ht="15.75" customHeight="1">
      <c r="A651" s="9">
        <v>7266375.0</v>
      </c>
      <c r="B651" s="2" t="s">
        <v>1092</v>
      </c>
      <c r="C651" s="2" t="s">
        <v>3663</v>
      </c>
      <c r="D651" s="2" t="s">
        <v>3664</v>
      </c>
      <c r="E651" s="10" t="s">
        <v>3665</v>
      </c>
      <c r="F651" s="2" t="s">
        <v>543</v>
      </c>
      <c r="G651" s="2"/>
      <c r="H651" s="2"/>
      <c r="I651" s="2" t="s">
        <v>3663</v>
      </c>
    </row>
    <row r="652" ht="15.75" customHeight="1">
      <c r="A652" s="9">
        <v>7266376.0</v>
      </c>
      <c r="B652" s="2" t="s">
        <v>1299</v>
      </c>
      <c r="C652" s="2" t="s">
        <v>3667</v>
      </c>
      <c r="D652" s="2" t="s">
        <v>3669</v>
      </c>
      <c r="E652" s="10" t="s">
        <v>3670</v>
      </c>
      <c r="F652" s="2" t="s">
        <v>227</v>
      </c>
      <c r="G652" s="2"/>
      <c r="H652" s="2"/>
      <c r="I652" s="2" t="s">
        <v>3667</v>
      </c>
    </row>
    <row r="653" ht="15.75" customHeight="1">
      <c r="A653" s="9">
        <v>7266377.0</v>
      </c>
      <c r="B653" s="2" t="s">
        <v>1308</v>
      </c>
      <c r="C653" s="2" t="s">
        <v>3673</v>
      </c>
      <c r="D653" s="2" t="s">
        <v>3674</v>
      </c>
      <c r="E653" s="10" t="s">
        <v>3675</v>
      </c>
      <c r="F653" s="2" t="s">
        <v>227</v>
      </c>
      <c r="G653" s="2"/>
      <c r="H653" s="2"/>
      <c r="I653" s="2" t="s">
        <v>3673</v>
      </c>
    </row>
    <row r="654" ht="15.75" customHeight="1">
      <c r="A654" s="9">
        <v>7266378.0</v>
      </c>
      <c r="B654" s="2" t="s">
        <v>1114</v>
      </c>
      <c r="C654" s="2" t="s">
        <v>3676</v>
      </c>
      <c r="D654" s="2" t="s">
        <v>3677</v>
      </c>
      <c r="E654" s="10" t="s">
        <v>3678</v>
      </c>
      <c r="F654" s="2" t="s">
        <v>227</v>
      </c>
      <c r="G654" s="2"/>
      <c r="H654" s="2"/>
      <c r="I654" s="2" t="s">
        <v>3676</v>
      </c>
    </row>
    <row r="655" ht="15.75" customHeight="1">
      <c r="A655" s="9">
        <v>7266379.0</v>
      </c>
      <c r="B655" s="2" t="s">
        <v>1290</v>
      </c>
      <c r="C655" s="2" t="s">
        <v>3679</v>
      </c>
      <c r="D655" s="2" t="s">
        <v>3680</v>
      </c>
      <c r="E655" s="10" t="s">
        <v>3681</v>
      </c>
      <c r="F655" s="2" t="s">
        <v>227</v>
      </c>
      <c r="G655" s="2"/>
      <c r="H655" s="2"/>
      <c r="I655" s="2" t="s">
        <v>3679</v>
      </c>
    </row>
    <row r="656" ht="15.75" customHeight="1">
      <c r="A656" s="9">
        <v>7266380.0</v>
      </c>
      <c r="B656" s="2" t="s">
        <v>1284</v>
      </c>
      <c r="C656" s="2" t="s">
        <v>3683</v>
      </c>
      <c r="D656" s="2" t="s">
        <v>3684</v>
      </c>
      <c r="E656" s="10" t="s">
        <v>3685</v>
      </c>
      <c r="F656" s="2" t="s">
        <v>227</v>
      </c>
      <c r="G656" s="2"/>
      <c r="H656" s="2"/>
      <c r="I656" s="2" t="s">
        <v>3683</v>
      </c>
    </row>
    <row r="657" ht="15.75" customHeight="1">
      <c r="A657" s="9">
        <v>7266381.0</v>
      </c>
      <c r="B657" s="2" t="s">
        <v>1270</v>
      </c>
      <c r="C657" s="2" t="s">
        <v>3687</v>
      </c>
      <c r="D657" s="2" t="s">
        <v>3688</v>
      </c>
      <c r="E657" s="10" t="s">
        <v>3689</v>
      </c>
      <c r="F657" s="2" t="s">
        <v>227</v>
      </c>
      <c r="G657" s="2"/>
      <c r="H657" s="2"/>
      <c r="I657" s="2" t="s">
        <v>3687</v>
      </c>
    </row>
    <row r="658" ht="15.75" customHeight="1">
      <c r="A658" s="9">
        <v>7266382.0</v>
      </c>
      <c r="B658" s="2" t="s">
        <v>1501</v>
      </c>
      <c r="C658" s="2" t="s">
        <v>3690</v>
      </c>
      <c r="D658" s="2" t="s">
        <v>1494</v>
      </c>
      <c r="E658" s="10" t="s">
        <v>1503</v>
      </c>
      <c r="F658" s="2" t="s">
        <v>227</v>
      </c>
      <c r="G658" s="2"/>
      <c r="H658" s="2"/>
      <c r="I658" s="2" t="s">
        <v>3690</v>
      </c>
    </row>
    <row r="659" ht="15.75" customHeight="1">
      <c r="A659" s="9">
        <v>7266383.0</v>
      </c>
      <c r="B659" s="2" t="s">
        <v>1255</v>
      </c>
      <c r="C659" s="2" t="s">
        <v>3691</v>
      </c>
      <c r="D659" s="2" t="s">
        <v>3692</v>
      </c>
      <c r="E659" s="10" t="s">
        <v>3693</v>
      </c>
      <c r="F659" s="2" t="s">
        <v>227</v>
      </c>
      <c r="G659" s="2"/>
      <c r="H659" s="2"/>
      <c r="I659" s="2" t="s">
        <v>3691</v>
      </c>
    </row>
    <row r="660" ht="15.75" customHeight="1">
      <c r="A660" s="9">
        <v>7266384.0</v>
      </c>
      <c r="B660" s="2" t="s">
        <v>1247</v>
      </c>
      <c r="C660" s="2" t="s">
        <v>3695</v>
      </c>
      <c r="D660" s="2" t="s">
        <v>3696</v>
      </c>
      <c r="E660" s="10" t="s">
        <v>3697</v>
      </c>
      <c r="F660" s="2" t="s">
        <v>227</v>
      </c>
      <c r="G660" s="2"/>
      <c r="H660" s="2"/>
      <c r="I660" s="2" t="s">
        <v>3695</v>
      </c>
    </row>
    <row r="661" ht="15.75" customHeight="1">
      <c r="A661" s="9">
        <v>7266385.0</v>
      </c>
      <c r="B661" s="2" t="s">
        <v>1239</v>
      </c>
      <c r="C661" s="2" t="s">
        <v>3698</v>
      </c>
      <c r="D661" s="2" t="s">
        <v>3699</v>
      </c>
      <c r="E661" s="10" t="s">
        <v>3700</v>
      </c>
      <c r="F661" s="2" t="s">
        <v>227</v>
      </c>
      <c r="G661" s="2"/>
      <c r="H661" s="2"/>
      <c r="I661" s="2" t="s">
        <v>3698</v>
      </c>
    </row>
    <row r="662" ht="15.75" customHeight="1">
      <c r="A662" s="9">
        <v>7266386.0</v>
      </c>
      <c r="B662" s="2" t="s">
        <v>1231</v>
      </c>
      <c r="C662" s="2" t="s">
        <v>3704</v>
      </c>
      <c r="D662" s="2" t="s">
        <v>3705</v>
      </c>
      <c r="E662" s="10" t="s">
        <v>3706</v>
      </c>
      <c r="F662" s="2" t="s">
        <v>227</v>
      </c>
      <c r="G662" s="2"/>
      <c r="H662" s="2"/>
      <c r="I662" s="2" t="s">
        <v>3704</v>
      </c>
    </row>
    <row r="663" ht="15.75" customHeight="1">
      <c r="A663" s="9">
        <v>7266387.0</v>
      </c>
      <c r="B663" s="2" t="s">
        <v>1224</v>
      </c>
      <c r="C663" s="2" t="s">
        <v>3708</v>
      </c>
      <c r="D663" s="2" t="s">
        <v>3710</v>
      </c>
      <c r="E663" s="10" t="s">
        <v>3711</v>
      </c>
      <c r="F663" s="2" t="s">
        <v>227</v>
      </c>
      <c r="G663" s="2"/>
      <c r="H663" s="2"/>
      <c r="I663" s="2" t="s">
        <v>3708</v>
      </c>
    </row>
    <row r="664" ht="15.75" customHeight="1">
      <c r="A664" s="9">
        <v>7266388.0</v>
      </c>
      <c r="B664" s="2" t="s">
        <v>1218</v>
      </c>
      <c r="C664" s="2" t="s">
        <v>3712</v>
      </c>
      <c r="D664" s="2" t="s">
        <v>3713</v>
      </c>
      <c r="E664" s="10" t="s">
        <v>3714</v>
      </c>
      <c r="F664" s="2" t="s">
        <v>227</v>
      </c>
      <c r="G664" s="2"/>
      <c r="H664" s="2"/>
      <c r="I664" s="2" t="s">
        <v>3712</v>
      </c>
    </row>
    <row r="665" ht="15.75" customHeight="1">
      <c r="A665" s="9">
        <v>7266389.0</v>
      </c>
      <c r="B665" s="2" t="s">
        <v>1198</v>
      </c>
      <c r="C665" s="2" t="s">
        <v>3715</v>
      </c>
      <c r="D665" s="2" t="s">
        <v>3716</v>
      </c>
      <c r="E665" s="10" t="s">
        <v>3717</v>
      </c>
      <c r="F665" s="2" t="s">
        <v>227</v>
      </c>
      <c r="G665" s="2"/>
      <c r="H665" s="2"/>
      <c r="I665" s="2" t="s">
        <v>3715</v>
      </c>
    </row>
    <row r="666" ht="15.75" customHeight="1">
      <c r="A666" s="9">
        <v>7266390.0</v>
      </c>
      <c r="B666" s="2" t="s">
        <v>1190</v>
      </c>
      <c r="C666" s="2" t="s">
        <v>3719</v>
      </c>
      <c r="D666" s="2" t="s">
        <v>3720</v>
      </c>
      <c r="E666" s="10" t="s">
        <v>3721</v>
      </c>
      <c r="F666" s="2" t="s">
        <v>227</v>
      </c>
      <c r="G666" s="2"/>
      <c r="H666" s="2"/>
      <c r="I666" s="2" t="s">
        <v>3719</v>
      </c>
    </row>
    <row r="667" ht="15.75" customHeight="1">
      <c r="A667" s="9">
        <v>7266391.0</v>
      </c>
      <c r="B667" s="2" t="s">
        <v>1183</v>
      </c>
      <c r="C667" s="2" t="s">
        <v>3724</v>
      </c>
      <c r="D667" s="2" t="s">
        <v>3725</v>
      </c>
      <c r="E667" s="10" t="s">
        <v>3726</v>
      </c>
      <c r="F667" s="2" t="s">
        <v>227</v>
      </c>
      <c r="G667" s="2"/>
      <c r="H667" s="2"/>
      <c r="I667" s="2" t="s">
        <v>3724</v>
      </c>
    </row>
    <row r="668" ht="15.75" customHeight="1">
      <c r="A668" s="9">
        <v>7266392.0</v>
      </c>
      <c r="B668" s="2" t="s">
        <v>1177</v>
      </c>
      <c r="C668" s="2" t="s">
        <v>3729</v>
      </c>
      <c r="D668" s="2" t="s">
        <v>3730</v>
      </c>
      <c r="E668" s="10" t="s">
        <v>3731</v>
      </c>
      <c r="F668" s="2" t="s">
        <v>227</v>
      </c>
      <c r="G668" s="2"/>
      <c r="H668" s="2"/>
      <c r="I668" s="2" t="s">
        <v>3729</v>
      </c>
    </row>
    <row r="669" ht="15.75" customHeight="1">
      <c r="A669" s="9">
        <v>7266393.0</v>
      </c>
      <c r="B669" s="2" t="s">
        <v>1169</v>
      </c>
      <c r="C669" s="2" t="s">
        <v>3732</v>
      </c>
      <c r="D669" s="2" t="s">
        <v>3733</v>
      </c>
      <c r="E669" s="10" t="s">
        <v>3734</v>
      </c>
      <c r="F669" s="2" t="s">
        <v>227</v>
      </c>
      <c r="G669" s="2"/>
      <c r="H669" s="2"/>
      <c r="I669" s="2" t="s">
        <v>3732</v>
      </c>
    </row>
    <row r="670" ht="15.75" customHeight="1">
      <c r="A670" s="9">
        <v>7266394.0</v>
      </c>
      <c r="B670" s="2" t="s">
        <v>1162</v>
      </c>
      <c r="C670" s="2" t="s">
        <v>3737</v>
      </c>
      <c r="D670" s="2" t="s">
        <v>3739</v>
      </c>
      <c r="E670" s="10" t="s">
        <v>3740</v>
      </c>
      <c r="F670" s="2" t="s">
        <v>227</v>
      </c>
      <c r="G670" s="2"/>
      <c r="H670" s="2"/>
      <c r="I670" s="2" t="s">
        <v>3737</v>
      </c>
    </row>
    <row r="671" ht="15.75" customHeight="1">
      <c r="A671" s="9">
        <v>7266395.0</v>
      </c>
      <c r="B671" s="2" t="s">
        <v>1155</v>
      </c>
      <c r="C671" s="2" t="s">
        <v>3742</v>
      </c>
      <c r="D671" s="2" t="s">
        <v>3743</v>
      </c>
      <c r="E671" s="10" t="s">
        <v>3745</v>
      </c>
      <c r="F671" s="2" t="s">
        <v>227</v>
      </c>
      <c r="G671" s="2"/>
      <c r="H671" s="2"/>
      <c r="I671" s="2" t="s">
        <v>3742</v>
      </c>
    </row>
    <row r="672" ht="15.75" customHeight="1">
      <c r="A672" s="9">
        <v>7266396.0</v>
      </c>
      <c r="B672" s="2" t="s">
        <v>1145</v>
      </c>
      <c r="C672" s="2" t="s">
        <v>3747</v>
      </c>
      <c r="D672" s="2" t="s">
        <v>3748</v>
      </c>
      <c r="E672" s="10" t="s">
        <v>3749</v>
      </c>
      <c r="F672" s="2" t="s">
        <v>227</v>
      </c>
      <c r="G672" s="2"/>
      <c r="H672" s="2"/>
      <c r="I672" s="2" t="s">
        <v>3747</v>
      </c>
    </row>
    <row r="673" ht="15.75" customHeight="1">
      <c r="A673" s="9">
        <v>7266397.0</v>
      </c>
      <c r="B673" s="2" t="s">
        <v>1136</v>
      </c>
      <c r="C673" s="2" t="s">
        <v>3750</v>
      </c>
      <c r="D673" s="2" t="s">
        <v>3751</v>
      </c>
      <c r="E673" s="10" t="s">
        <v>3744</v>
      </c>
      <c r="F673" s="2" t="s">
        <v>227</v>
      </c>
      <c r="G673" s="2"/>
      <c r="H673" s="2"/>
      <c r="I673" s="2" t="s">
        <v>3750</v>
      </c>
    </row>
    <row r="674" ht="15.75" customHeight="1">
      <c r="A674" s="9">
        <v>7266398.0</v>
      </c>
      <c r="B674" s="2" t="s">
        <v>1130</v>
      </c>
      <c r="C674" s="2" t="s">
        <v>3752</v>
      </c>
      <c r="D674" s="2" t="s">
        <v>3753</v>
      </c>
      <c r="E674" s="10" t="s">
        <v>2539</v>
      </c>
      <c r="F674" s="2" t="s">
        <v>227</v>
      </c>
      <c r="G674" s="2"/>
      <c r="H674" s="2"/>
      <c r="I674" s="2" t="s">
        <v>3752</v>
      </c>
    </row>
    <row r="675" ht="15.75" customHeight="1">
      <c r="A675" s="9">
        <v>7266399.0</v>
      </c>
      <c r="B675" s="2" t="s">
        <v>1122</v>
      </c>
      <c r="C675" s="2" t="s">
        <v>3754</v>
      </c>
      <c r="D675" s="2" t="s">
        <v>3755</v>
      </c>
      <c r="E675" s="10" t="s">
        <v>3735</v>
      </c>
      <c r="F675" s="2" t="s">
        <v>227</v>
      </c>
      <c r="G675" s="2"/>
      <c r="H675" s="2"/>
      <c r="I675" s="2" t="s">
        <v>3754</v>
      </c>
    </row>
    <row r="676" ht="15.75" customHeight="1">
      <c r="A676" s="9">
        <v>7266400.0</v>
      </c>
      <c r="B676" s="2" t="s">
        <v>1315</v>
      </c>
      <c r="C676" s="2" t="s">
        <v>3756</v>
      </c>
      <c r="D676" s="2" t="s">
        <v>3757</v>
      </c>
      <c r="E676" s="10" t="s">
        <v>3758</v>
      </c>
      <c r="F676" s="2" t="s">
        <v>227</v>
      </c>
      <c r="G676" s="2"/>
      <c r="H676" s="2"/>
      <c r="I676" s="2" t="s">
        <v>3756</v>
      </c>
    </row>
    <row r="677" ht="15.75" customHeight="1">
      <c r="A677" s="9">
        <v>7266401.0</v>
      </c>
      <c r="B677" s="2" t="s">
        <v>1108</v>
      </c>
      <c r="C677" s="2" t="s">
        <v>3760</v>
      </c>
      <c r="D677" s="2" t="s">
        <v>3761</v>
      </c>
      <c r="E677" s="10" t="s">
        <v>3728</v>
      </c>
      <c r="F677" s="2" t="s">
        <v>227</v>
      </c>
      <c r="G677" s="2"/>
      <c r="H677" s="2"/>
      <c r="I677" s="2" t="s">
        <v>3760</v>
      </c>
    </row>
    <row r="678" ht="15.75" customHeight="1">
      <c r="A678" s="9">
        <v>7266402.0</v>
      </c>
      <c r="B678" s="2" t="s">
        <v>1324</v>
      </c>
      <c r="C678" s="2" t="s">
        <v>3762</v>
      </c>
      <c r="D678" s="2" t="s">
        <v>3763</v>
      </c>
      <c r="E678" s="10" t="s">
        <v>3764</v>
      </c>
      <c r="F678" s="2" t="s">
        <v>221</v>
      </c>
      <c r="G678" s="2"/>
      <c r="H678" s="2"/>
      <c r="I678" s="2" t="s">
        <v>3762</v>
      </c>
    </row>
    <row r="679" ht="15.75" customHeight="1">
      <c r="A679" s="9">
        <v>7266403.0</v>
      </c>
      <c r="B679" s="2" t="s">
        <v>1533</v>
      </c>
      <c r="C679" s="2" t="s">
        <v>3765</v>
      </c>
      <c r="D679" s="2" t="s">
        <v>3766</v>
      </c>
      <c r="E679" s="10" t="s">
        <v>3768</v>
      </c>
      <c r="F679" s="2" t="s">
        <v>221</v>
      </c>
      <c r="G679" s="2"/>
      <c r="H679" s="2"/>
      <c r="I679" s="2" t="s">
        <v>3765</v>
      </c>
    </row>
    <row r="680" ht="15.75" customHeight="1">
      <c r="A680" s="9">
        <v>7266404.0</v>
      </c>
      <c r="B680" s="2" t="s">
        <v>1339</v>
      </c>
      <c r="C680" s="2" t="s">
        <v>3770</v>
      </c>
      <c r="D680" s="2" t="s">
        <v>3771</v>
      </c>
      <c r="E680" s="10" t="s">
        <v>3772</v>
      </c>
      <c r="F680" s="2" t="s">
        <v>221</v>
      </c>
      <c r="G680" s="2"/>
      <c r="H680" s="2"/>
      <c r="I680" s="2" t="s">
        <v>3770</v>
      </c>
    </row>
    <row r="681" ht="15.75" customHeight="1">
      <c r="A681" s="9">
        <v>7266405.0</v>
      </c>
      <c r="B681" s="2" t="s">
        <v>1354</v>
      </c>
      <c r="C681" s="2" t="s">
        <v>3774</v>
      </c>
      <c r="D681" s="2" t="s">
        <v>3775</v>
      </c>
      <c r="E681" s="10" t="s">
        <v>3776</v>
      </c>
      <c r="F681" s="2" t="s">
        <v>221</v>
      </c>
      <c r="G681" s="2"/>
      <c r="H681" s="2"/>
      <c r="I681" s="2" t="s">
        <v>3774</v>
      </c>
    </row>
    <row r="682" ht="15.75" customHeight="1">
      <c r="A682" s="9">
        <v>7266406.0</v>
      </c>
      <c r="B682" s="2" t="s">
        <v>1366</v>
      </c>
      <c r="C682" s="2" t="s">
        <v>3778</v>
      </c>
      <c r="D682" s="2" t="s">
        <v>3779</v>
      </c>
      <c r="E682" s="10" t="s">
        <v>3780</v>
      </c>
      <c r="F682" s="2" t="s">
        <v>221</v>
      </c>
      <c r="G682" s="2"/>
      <c r="H682" s="2"/>
      <c r="I682" s="2" t="s">
        <v>3778</v>
      </c>
    </row>
    <row r="683" ht="15.75" customHeight="1">
      <c r="A683" s="9">
        <v>7266407.0</v>
      </c>
      <c r="B683" s="2" t="s">
        <v>1373</v>
      </c>
      <c r="C683" s="2" t="s">
        <v>3781</v>
      </c>
      <c r="D683" s="2" t="s">
        <v>3782</v>
      </c>
      <c r="E683" s="10" t="s">
        <v>3783</v>
      </c>
      <c r="F683" s="2" t="s">
        <v>221</v>
      </c>
      <c r="G683" s="2"/>
      <c r="H683" s="2"/>
      <c r="I683" s="2" t="s">
        <v>3781</v>
      </c>
    </row>
    <row r="684" ht="15.75" customHeight="1">
      <c r="A684" s="9">
        <v>7266408.0</v>
      </c>
      <c r="B684" s="2" t="s">
        <v>1381</v>
      </c>
      <c r="C684" s="2" t="s">
        <v>3786</v>
      </c>
      <c r="D684" s="2" t="s">
        <v>3787</v>
      </c>
      <c r="E684" s="10" t="s">
        <v>3789</v>
      </c>
      <c r="F684" s="2" t="s">
        <v>221</v>
      </c>
      <c r="G684" s="2"/>
      <c r="H684" s="2"/>
      <c r="I684" s="2" t="s">
        <v>3786</v>
      </c>
    </row>
    <row r="685" ht="15.75" customHeight="1">
      <c r="A685" s="9">
        <v>7266409.0</v>
      </c>
      <c r="B685" s="2" t="s">
        <v>1389</v>
      </c>
      <c r="C685" s="2" t="s">
        <v>3791</v>
      </c>
      <c r="D685" s="2" t="s">
        <v>3792</v>
      </c>
      <c r="E685" s="10" t="s">
        <v>3793</v>
      </c>
      <c r="F685" s="2" t="s">
        <v>221</v>
      </c>
      <c r="G685" s="2"/>
      <c r="H685" s="2"/>
      <c r="I685" s="2" t="s">
        <v>3791</v>
      </c>
    </row>
    <row r="686" ht="15.75" customHeight="1">
      <c r="A686" s="9">
        <v>7266410.0</v>
      </c>
      <c r="B686" s="2" t="s">
        <v>1398</v>
      </c>
      <c r="C686" s="2" t="s">
        <v>3796</v>
      </c>
      <c r="D686" s="2" t="s">
        <v>3797</v>
      </c>
      <c r="E686" s="10" t="s">
        <v>3798</v>
      </c>
      <c r="F686" s="2" t="s">
        <v>221</v>
      </c>
      <c r="G686" s="2"/>
      <c r="H686" s="2"/>
      <c r="I686" s="2" t="s">
        <v>3796</v>
      </c>
    </row>
    <row r="687" ht="15.75" customHeight="1">
      <c r="A687" s="9">
        <v>7266411.0</v>
      </c>
      <c r="B687" s="2" t="s">
        <v>1405</v>
      </c>
      <c r="C687" s="2" t="s">
        <v>3800</v>
      </c>
      <c r="D687" s="2" t="s">
        <v>3801</v>
      </c>
      <c r="E687" s="10" t="s">
        <v>3802</v>
      </c>
      <c r="F687" s="2" t="s">
        <v>221</v>
      </c>
      <c r="G687" s="2"/>
      <c r="H687" s="2"/>
      <c r="I687" s="2" t="s">
        <v>3800</v>
      </c>
    </row>
    <row r="688" ht="15.75" customHeight="1">
      <c r="A688" s="9">
        <v>7266412.0</v>
      </c>
      <c r="B688" s="2" t="s">
        <v>1411</v>
      </c>
      <c r="C688" s="2" t="s">
        <v>3805</v>
      </c>
      <c r="D688" s="2" t="s">
        <v>3806</v>
      </c>
      <c r="E688" s="10" t="s">
        <v>3807</v>
      </c>
      <c r="F688" s="2" t="s">
        <v>221</v>
      </c>
      <c r="G688" s="2"/>
      <c r="H688" s="2"/>
      <c r="I688" s="2" t="s">
        <v>3805</v>
      </c>
    </row>
    <row r="689" ht="15.75" customHeight="1">
      <c r="A689" s="9">
        <v>7266413.0</v>
      </c>
      <c r="B689" s="2" t="s">
        <v>1417</v>
      </c>
      <c r="C689" s="2" t="s">
        <v>3810</v>
      </c>
      <c r="D689" s="2" t="s">
        <v>3811</v>
      </c>
      <c r="E689" s="10" t="s">
        <v>3812</v>
      </c>
      <c r="F689" s="2" t="s">
        <v>221</v>
      </c>
      <c r="G689" s="2"/>
      <c r="H689" s="2"/>
      <c r="I689" s="2" t="s">
        <v>3810</v>
      </c>
    </row>
    <row r="690" ht="15.75" customHeight="1">
      <c r="A690" s="9">
        <v>7266414.0</v>
      </c>
      <c r="B690" s="2" t="s">
        <v>1430</v>
      </c>
      <c r="C690" s="2" t="s">
        <v>3813</v>
      </c>
      <c r="D690" s="2" t="s">
        <v>3814</v>
      </c>
      <c r="E690" s="10" t="s">
        <v>3815</v>
      </c>
      <c r="F690" s="2" t="s">
        <v>221</v>
      </c>
      <c r="G690" s="2"/>
      <c r="H690" s="2"/>
      <c r="I690" s="2" t="s">
        <v>3813</v>
      </c>
    </row>
    <row r="691" ht="15.75" customHeight="1">
      <c r="A691" s="9">
        <v>7266415.0</v>
      </c>
      <c r="B691" s="2" t="s">
        <v>1450</v>
      </c>
      <c r="C691" s="2" t="s">
        <v>3817</v>
      </c>
      <c r="D691" s="2" t="s">
        <v>3818</v>
      </c>
      <c r="E691" s="10" t="s">
        <v>3819</v>
      </c>
      <c r="F691" s="2" t="s">
        <v>221</v>
      </c>
      <c r="G691" s="2"/>
      <c r="H691" s="2"/>
      <c r="I691" s="2" t="s">
        <v>3817</v>
      </c>
    </row>
    <row r="692" ht="15.75" customHeight="1">
      <c r="A692" s="9">
        <v>7266416.0</v>
      </c>
      <c r="B692" s="2" t="s">
        <v>1437</v>
      </c>
      <c r="C692" s="2" t="s">
        <v>3821</v>
      </c>
      <c r="D692" s="2" t="s">
        <v>3822</v>
      </c>
      <c r="E692" s="10" t="s">
        <v>3823</v>
      </c>
      <c r="F692" s="2" t="s">
        <v>221</v>
      </c>
      <c r="G692" s="2"/>
      <c r="H692" s="2"/>
      <c r="I692" s="2" t="s">
        <v>3821</v>
      </c>
    </row>
    <row r="693" ht="15.75" customHeight="1">
      <c r="A693" s="9">
        <v>7266417.0</v>
      </c>
      <c r="B693" s="2" t="s">
        <v>1442</v>
      </c>
      <c r="C693" s="2" t="s">
        <v>3824</v>
      </c>
      <c r="D693" s="2" t="s">
        <v>3825</v>
      </c>
      <c r="E693" s="10" t="s">
        <v>3826</v>
      </c>
      <c r="F693" s="2" t="s">
        <v>221</v>
      </c>
      <c r="G693" s="2"/>
      <c r="H693" s="2"/>
      <c r="I693" s="2" t="s">
        <v>3824</v>
      </c>
    </row>
    <row r="694" ht="15.75" customHeight="1">
      <c r="A694" s="9">
        <v>7266418.0</v>
      </c>
      <c r="B694" s="2" t="s">
        <v>1474</v>
      </c>
      <c r="C694" s="2" t="s">
        <v>3829</v>
      </c>
      <c r="D694" s="2" t="s">
        <v>3830</v>
      </c>
      <c r="E694" s="10" t="s">
        <v>3832</v>
      </c>
      <c r="F694" s="2" t="s">
        <v>221</v>
      </c>
      <c r="G694" s="2"/>
      <c r="H694" s="2"/>
      <c r="I694" s="2" t="s">
        <v>3829</v>
      </c>
    </row>
    <row r="695" ht="15.75" customHeight="1">
      <c r="A695" s="9">
        <v>7266419.0</v>
      </c>
      <c r="B695" s="2" t="s">
        <v>1482</v>
      </c>
      <c r="C695" s="2" t="s">
        <v>3834</v>
      </c>
      <c r="D695" s="2" t="s">
        <v>3836</v>
      </c>
      <c r="E695" s="10" t="s">
        <v>3837</v>
      </c>
      <c r="F695" s="2" t="s">
        <v>221</v>
      </c>
      <c r="G695" s="2"/>
      <c r="H695" s="2"/>
      <c r="I695" s="2" t="s">
        <v>3834</v>
      </c>
    </row>
    <row r="696" ht="15.75" customHeight="1">
      <c r="A696" s="9">
        <v>7266420.0</v>
      </c>
      <c r="B696" s="2" t="s">
        <v>1489</v>
      </c>
      <c r="C696" s="2" t="s">
        <v>3838</v>
      </c>
      <c r="D696" s="2" t="s">
        <v>3839</v>
      </c>
      <c r="E696" s="10" t="s">
        <v>3840</v>
      </c>
      <c r="F696" s="2" t="s">
        <v>221</v>
      </c>
      <c r="G696" s="2"/>
      <c r="H696" s="2"/>
      <c r="I696" s="2" t="s">
        <v>3838</v>
      </c>
    </row>
    <row r="697" ht="15.75" customHeight="1">
      <c r="A697" s="9">
        <v>7266421.0</v>
      </c>
      <c r="B697" s="2" t="s">
        <v>1506</v>
      </c>
      <c r="C697" s="2" t="s">
        <v>3841</v>
      </c>
      <c r="D697" s="2" t="s">
        <v>3842</v>
      </c>
      <c r="E697" s="10" t="s">
        <v>3843</v>
      </c>
      <c r="F697" s="2" t="s">
        <v>221</v>
      </c>
      <c r="G697" s="2"/>
      <c r="H697" s="2"/>
      <c r="I697" s="2" t="s">
        <v>3841</v>
      </c>
    </row>
    <row r="698" ht="15.75" customHeight="1">
      <c r="A698" s="9">
        <v>7266422.0</v>
      </c>
      <c r="B698" s="2" t="s">
        <v>1512</v>
      </c>
      <c r="C698" s="2" t="s">
        <v>3845</v>
      </c>
      <c r="D698" s="2" t="s">
        <v>3846</v>
      </c>
      <c r="E698" s="10" t="s">
        <v>3847</v>
      </c>
      <c r="F698" s="2" t="s">
        <v>221</v>
      </c>
      <c r="G698" s="2"/>
      <c r="H698" s="2"/>
      <c r="I698" s="2" t="s">
        <v>3845</v>
      </c>
    </row>
    <row r="699" ht="15.75" customHeight="1">
      <c r="A699" s="9">
        <v>7266423.0</v>
      </c>
      <c r="B699" s="2" t="s">
        <v>1519</v>
      </c>
      <c r="C699" s="2" t="s">
        <v>3849</v>
      </c>
      <c r="D699" s="2" t="s">
        <v>3850</v>
      </c>
      <c r="E699" s="10" t="s">
        <v>3851</v>
      </c>
      <c r="F699" s="2" t="s">
        <v>221</v>
      </c>
      <c r="G699" s="2"/>
      <c r="H699" s="2"/>
      <c r="I699" s="2" t="s">
        <v>3849</v>
      </c>
    </row>
    <row r="700" ht="15.75" customHeight="1">
      <c r="A700" s="9">
        <v>7266424.0</v>
      </c>
      <c r="B700" s="2" t="s">
        <v>1527</v>
      </c>
      <c r="C700" s="2" t="s">
        <v>3852</v>
      </c>
      <c r="D700" s="2" t="s">
        <v>3853</v>
      </c>
      <c r="E700" s="10" t="s">
        <v>3854</v>
      </c>
      <c r="F700" s="2" t="s">
        <v>221</v>
      </c>
      <c r="G700" s="2"/>
      <c r="H700" s="2"/>
      <c r="I700" s="2" t="s">
        <v>3852</v>
      </c>
    </row>
    <row r="701" ht="15.75" customHeight="1">
      <c r="A701" s="9">
        <v>7266425.0</v>
      </c>
      <c r="B701" s="2" t="s">
        <v>1661</v>
      </c>
      <c r="C701" s="2" t="s">
        <v>3856</v>
      </c>
      <c r="D701" s="2" t="s">
        <v>3857</v>
      </c>
      <c r="E701" s="10" t="s">
        <v>3858</v>
      </c>
      <c r="F701" s="2" t="s">
        <v>282</v>
      </c>
      <c r="G701" s="2"/>
      <c r="H701" s="2"/>
      <c r="I701" s="2" t="s">
        <v>3856</v>
      </c>
    </row>
    <row r="702" ht="15.75" customHeight="1">
      <c r="A702" s="9">
        <v>7266426.0</v>
      </c>
      <c r="B702" s="2" t="s">
        <v>1657</v>
      </c>
      <c r="C702" s="2" t="s">
        <v>3860</v>
      </c>
      <c r="D702" s="2" t="s">
        <v>3861</v>
      </c>
      <c r="E702" s="10" t="s">
        <v>3862</v>
      </c>
      <c r="F702" s="2" t="s">
        <v>282</v>
      </c>
      <c r="G702" s="2"/>
      <c r="H702" s="2"/>
      <c r="I702" s="2" t="s">
        <v>3860</v>
      </c>
    </row>
    <row r="703" ht="15.75" customHeight="1">
      <c r="A703" s="9">
        <v>7266427.0</v>
      </c>
      <c r="B703" s="2" t="s">
        <v>1681</v>
      </c>
      <c r="C703" s="2" t="s">
        <v>3863</v>
      </c>
      <c r="D703" s="2" t="s">
        <v>3864</v>
      </c>
      <c r="E703" s="10" t="s">
        <v>3865</v>
      </c>
      <c r="F703" s="2" t="s">
        <v>282</v>
      </c>
      <c r="G703" s="2"/>
      <c r="H703" s="2"/>
      <c r="I703" s="2" t="s">
        <v>3863</v>
      </c>
    </row>
    <row r="704" ht="15.75" customHeight="1">
      <c r="A704" s="9">
        <v>7266428.0</v>
      </c>
      <c r="B704" s="2" t="s">
        <v>1706</v>
      </c>
      <c r="C704" s="2" t="s">
        <v>3866</v>
      </c>
      <c r="D704" s="2" t="s">
        <v>3867</v>
      </c>
      <c r="E704" s="10" t="s">
        <v>3868</v>
      </c>
      <c r="F704" s="2" t="s">
        <v>282</v>
      </c>
      <c r="G704" s="2"/>
      <c r="H704" s="2"/>
      <c r="I704" s="2" t="s">
        <v>3866</v>
      </c>
    </row>
    <row r="705" ht="15.75" customHeight="1">
      <c r="A705" s="9">
        <v>7266429.0</v>
      </c>
      <c r="B705" s="2" t="s">
        <v>1713</v>
      </c>
      <c r="C705" s="2" t="s">
        <v>3870</v>
      </c>
      <c r="D705" s="2" t="s">
        <v>3871</v>
      </c>
      <c r="E705" s="10" t="s">
        <v>3872</v>
      </c>
      <c r="F705" s="2" t="s">
        <v>282</v>
      </c>
      <c r="G705" s="2"/>
      <c r="H705" s="2"/>
      <c r="I705" s="2" t="s">
        <v>3870</v>
      </c>
    </row>
    <row r="706" ht="15.75" customHeight="1">
      <c r="A706" s="9">
        <v>7266430.0</v>
      </c>
      <c r="B706" s="2" t="s">
        <v>1718</v>
      </c>
      <c r="C706" s="2" t="s">
        <v>3874</v>
      </c>
      <c r="D706" s="2" t="s">
        <v>3875</v>
      </c>
      <c r="E706" s="10" t="s">
        <v>3876</v>
      </c>
      <c r="F706" s="2" t="s">
        <v>282</v>
      </c>
      <c r="G706" s="2"/>
      <c r="H706" s="2"/>
      <c r="I706" s="2" t="s">
        <v>3874</v>
      </c>
    </row>
    <row r="707" ht="15.75" customHeight="1">
      <c r="A707" s="9">
        <v>7266431.0</v>
      </c>
      <c r="B707" s="2" t="s">
        <v>1725</v>
      </c>
      <c r="C707" s="2" t="s">
        <v>3877</v>
      </c>
      <c r="D707" s="2" t="s">
        <v>3878</v>
      </c>
      <c r="E707" s="10" t="s">
        <v>3879</v>
      </c>
      <c r="F707" s="2" t="s">
        <v>282</v>
      </c>
      <c r="G707" s="2"/>
      <c r="H707" s="2"/>
      <c r="I707" s="2" t="s">
        <v>3877</v>
      </c>
    </row>
    <row r="708" ht="15.75" customHeight="1">
      <c r="A708" s="9">
        <v>7266432.0</v>
      </c>
      <c r="B708" s="2" t="s">
        <v>1734</v>
      </c>
      <c r="C708" s="2" t="s">
        <v>3882</v>
      </c>
      <c r="D708" s="2" t="s">
        <v>323</v>
      </c>
      <c r="E708" s="10" t="s">
        <v>320</v>
      </c>
      <c r="F708" s="2" t="s">
        <v>282</v>
      </c>
      <c r="G708" s="2"/>
      <c r="H708" s="2"/>
      <c r="I708" s="2" t="s">
        <v>3882</v>
      </c>
    </row>
    <row r="709" ht="15.75" customHeight="1">
      <c r="A709" s="9">
        <v>7266433.0</v>
      </c>
      <c r="B709" s="2" t="s">
        <v>1746</v>
      </c>
      <c r="C709" s="2" t="s">
        <v>3884</v>
      </c>
      <c r="D709" s="2" t="s">
        <v>3885</v>
      </c>
      <c r="E709" s="10" t="s">
        <v>3886</v>
      </c>
      <c r="F709" s="2" t="s">
        <v>282</v>
      </c>
      <c r="G709" s="2"/>
      <c r="H709" s="2"/>
      <c r="I709" s="2" t="s">
        <v>3884</v>
      </c>
    </row>
    <row r="710" ht="15.75" customHeight="1">
      <c r="A710" s="9">
        <v>7266434.0</v>
      </c>
      <c r="B710" s="2" t="s">
        <v>1755</v>
      </c>
      <c r="C710" s="2" t="s">
        <v>3887</v>
      </c>
      <c r="D710" s="2" t="s">
        <v>3139</v>
      </c>
      <c r="E710" s="10" t="s">
        <v>3144</v>
      </c>
      <c r="F710" s="2" t="s">
        <v>282</v>
      </c>
      <c r="G710" s="2"/>
      <c r="H710" s="2"/>
      <c r="I710" s="2" t="s">
        <v>3887</v>
      </c>
    </row>
    <row r="711" ht="15.75" customHeight="1">
      <c r="A711" s="9">
        <v>7266435.0</v>
      </c>
      <c r="B711" s="2" t="s">
        <v>1540</v>
      </c>
      <c r="C711" s="2" t="s">
        <v>3889</v>
      </c>
      <c r="D711" s="2" t="s">
        <v>3890</v>
      </c>
      <c r="E711" s="10" t="s">
        <v>3891</v>
      </c>
      <c r="F711" s="2" t="s">
        <v>282</v>
      </c>
      <c r="G711" s="2"/>
      <c r="H711" s="2"/>
      <c r="I711" s="2" t="s">
        <v>3889</v>
      </c>
    </row>
    <row r="712" ht="15.75" customHeight="1">
      <c r="A712" s="9">
        <v>7266436.0</v>
      </c>
      <c r="B712" s="2" t="s">
        <v>1549</v>
      </c>
      <c r="C712" s="2" t="s">
        <v>3893</v>
      </c>
      <c r="D712" s="2" t="s">
        <v>3894</v>
      </c>
      <c r="E712" s="10" t="s">
        <v>3895</v>
      </c>
      <c r="F712" s="2" t="s">
        <v>282</v>
      </c>
      <c r="G712" s="2"/>
      <c r="H712" s="2"/>
      <c r="I712" s="2" t="s">
        <v>3893</v>
      </c>
    </row>
    <row r="713" ht="15.75" customHeight="1">
      <c r="A713" s="9">
        <v>7266437.0</v>
      </c>
      <c r="B713" s="2" t="s">
        <v>1557</v>
      </c>
      <c r="C713" s="2" t="s">
        <v>3896</v>
      </c>
      <c r="D713" s="2" t="s">
        <v>3897</v>
      </c>
      <c r="E713" s="10" t="s">
        <v>3898</v>
      </c>
      <c r="F713" s="2" t="s">
        <v>282</v>
      </c>
      <c r="G713" s="2"/>
      <c r="H713" s="2"/>
      <c r="I713" s="2" t="s">
        <v>3896</v>
      </c>
    </row>
    <row r="714" ht="15.75" customHeight="1">
      <c r="A714" s="9">
        <v>7266438.0</v>
      </c>
      <c r="B714" s="2" t="s">
        <v>1566</v>
      </c>
      <c r="C714" s="2" t="s">
        <v>3901</v>
      </c>
      <c r="D714" s="2" t="s">
        <v>3902</v>
      </c>
      <c r="E714" s="10" t="s">
        <v>3903</v>
      </c>
      <c r="F714" s="2" t="s">
        <v>282</v>
      </c>
      <c r="G714" s="2"/>
      <c r="H714" s="2"/>
      <c r="I714" s="2" t="s">
        <v>3901</v>
      </c>
    </row>
    <row r="715" ht="15.75" customHeight="1">
      <c r="A715" s="9">
        <v>7266439.0</v>
      </c>
      <c r="B715" s="2" t="s">
        <v>1571</v>
      </c>
      <c r="C715" s="2" t="s">
        <v>3906</v>
      </c>
      <c r="D715" s="2" t="s">
        <v>3907</v>
      </c>
      <c r="E715" s="10" t="s">
        <v>3908</v>
      </c>
      <c r="F715" s="2" t="s">
        <v>282</v>
      </c>
      <c r="G715" s="2"/>
      <c r="H715" s="2"/>
      <c r="I715" s="2" t="s">
        <v>3906</v>
      </c>
    </row>
    <row r="716" ht="15.75" customHeight="1">
      <c r="A716" s="9">
        <v>7266440.0</v>
      </c>
      <c r="B716" s="2" t="s">
        <v>1579</v>
      </c>
      <c r="C716" s="2" t="s">
        <v>3909</v>
      </c>
      <c r="D716" s="2" t="s">
        <v>3910</v>
      </c>
      <c r="E716" s="10" t="s">
        <v>3911</v>
      </c>
      <c r="F716" s="2" t="s">
        <v>282</v>
      </c>
      <c r="G716" s="2"/>
      <c r="H716" s="2"/>
      <c r="I716" s="2" t="s">
        <v>3909</v>
      </c>
    </row>
    <row r="717" ht="15.75" customHeight="1">
      <c r="A717" s="9">
        <v>7266441.0</v>
      </c>
      <c r="B717" s="2" t="s">
        <v>1586</v>
      </c>
      <c r="C717" s="2" t="s">
        <v>3913</v>
      </c>
      <c r="D717" s="2" t="s">
        <v>3914</v>
      </c>
      <c r="E717" s="10" t="s">
        <v>3915</v>
      </c>
      <c r="F717" s="2" t="s">
        <v>282</v>
      </c>
      <c r="G717" s="2"/>
      <c r="H717" s="2"/>
      <c r="I717" s="2" t="s">
        <v>3913</v>
      </c>
    </row>
    <row r="718" ht="15.75" customHeight="1">
      <c r="A718" s="9">
        <v>7266442.0</v>
      </c>
      <c r="B718" s="2" t="s">
        <v>1593</v>
      </c>
      <c r="C718" s="2" t="s">
        <v>3917</v>
      </c>
      <c r="D718" s="2" t="s">
        <v>3919</v>
      </c>
      <c r="E718" s="10" t="s">
        <v>3920</v>
      </c>
      <c r="F718" s="2" t="s">
        <v>282</v>
      </c>
      <c r="G718" s="2"/>
      <c r="H718" s="2"/>
      <c r="I718" s="2" t="s">
        <v>3917</v>
      </c>
    </row>
    <row r="719" ht="15.75" customHeight="1">
      <c r="A719" s="9">
        <v>7266443.0</v>
      </c>
      <c r="B719" s="2" t="s">
        <v>1603</v>
      </c>
      <c r="C719" s="2" t="s">
        <v>3922</v>
      </c>
      <c r="D719" s="2" t="s">
        <v>3923</v>
      </c>
      <c r="E719" s="10" t="s">
        <v>3924</v>
      </c>
      <c r="F719" s="2" t="s">
        <v>282</v>
      </c>
      <c r="G719" s="2"/>
      <c r="H719" s="2"/>
      <c r="I719" s="2" t="s">
        <v>3922</v>
      </c>
    </row>
    <row r="720" ht="15.75" customHeight="1">
      <c r="A720" s="9">
        <v>7266444.0</v>
      </c>
      <c r="B720" s="2" t="s">
        <v>1611</v>
      </c>
      <c r="C720" s="2" t="s">
        <v>3925</v>
      </c>
      <c r="D720" s="2" t="s">
        <v>3926</v>
      </c>
      <c r="E720" s="10" t="s">
        <v>3927</v>
      </c>
      <c r="F720" s="2" t="s">
        <v>282</v>
      </c>
      <c r="G720" s="2"/>
      <c r="H720" s="2"/>
      <c r="I720" s="2" t="s">
        <v>3925</v>
      </c>
    </row>
    <row r="721" ht="15.75" customHeight="1">
      <c r="A721" s="9">
        <v>7266445.0</v>
      </c>
      <c r="B721" s="2" t="s">
        <v>1619</v>
      </c>
      <c r="C721" s="2" t="s">
        <v>3928</v>
      </c>
      <c r="D721" s="2" t="s">
        <v>3929</v>
      </c>
      <c r="E721" s="10" t="s">
        <v>3930</v>
      </c>
      <c r="F721" s="2" t="s">
        <v>282</v>
      </c>
      <c r="G721" s="2"/>
      <c r="H721" s="2"/>
      <c r="I721" s="2" t="s">
        <v>3928</v>
      </c>
    </row>
    <row r="722" ht="15.75" customHeight="1">
      <c r="A722" s="9">
        <v>7266446.0</v>
      </c>
      <c r="B722" s="2" t="s">
        <v>1628</v>
      </c>
      <c r="C722" s="2" t="s">
        <v>3931</v>
      </c>
      <c r="D722" s="2" t="s">
        <v>3932</v>
      </c>
      <c r="E722" s="10" t="s">
        <v>3934</v>
      </c>
      <c r="F722" s="2" t="s">
        <v>282</v>
      </c>
      <c r="G722" s="2"/>
      <c r="H722" s="2"/>
      <c r="I722" s="2" t="s">
        <v>3931</v>
      </c>
    </row>
    <row r="723" ht="15.75" customHeight="1">
      <c r="A723" s="9">
        <v>7266447.0</v>
      </c>
      <c r="B723" s="2" t="s">
        <v>1635</v>
      </c>
      <c r="C723" s="2" t="s">
        <v>3936</v>
      </c>
      <c r="D723" s="2" t="s">
        <v>3937</v>
      </c>
      <c r="E723" s="10" t="s">
        <v>3939</v>
      </c>
      <c r="F723" s="2" t="s">
        <v>282</v>
      </c>
      <c r="G723" s="2"/>
      <c r="H723" s="2"/>
      <c r="I723" s="2" t="s">
        <v>3936</v>
      </c>
    </row>
    <row r="724" ht="15.75" customHeight="1">
      <c r="A724" s="9">
        <v>7266448.0</v>
      </c>
      <c r="B724" s="2" t="s">
        <v>1641</v>
      </c>
      <c r="C724" s="2" t="s">
        <v>3941</v>
      </c>
      <c r="D724" s="2" t="s">
        <v>3942</v>
      </c>
      <c r="E724" s="10" t="s">
        <v>3943</v>
      </c>
      <c r="F724" s="2" t="s">
        <v>282</v>
      </c>
      <c r="G724" s="2"/>
      <c r="H724" s="2"/>
      <c r="I724" s="2" t="s">
        <v>3941</v>
      </c>
    </row>
    <row r="725" ht="15.75" customHeight="1">
      <c r="A725" s="9">
        <v>7266449.0</v>
      </c>
      <c r="B725" s="2" t="s">
        <v>1648</v>
      </c>
      <c r="C725" s="2" t="s">
        <v>3945</v>
      </c>
      <c r="D725" s="2" t="s">
        <v>3946</v>
      </c>
      <c r="E725" s="10" t="s">
        <v>3947</v>
      </c>
      <c r="F725" s="2" t="s">
        <v>282</v>
      </c>
      <c r="G725" s="2"/>
      <c r="H725" s="2"/>
      <c r="I725" s="2" t="s">
        <v>3945</v>
      </c>
    </row>
    <row r="726" ht="15.75" customHeight="1">
      <c r="A726" s="9">
        <v>7266450.0</v>
      </c>
      <c r="B726" s="2" t="s">
        <v>1675</v>
      </c>
      <c r="C726" s="2" t="s">
        <v>3949</v>
      </c>
      <c r="D726" s="2" t="s">
        <v>2889</v>
      </c>
      <c r="E726" s="10" t="s">
        <v>2895</v>
      </c>
      <c r="F726" s="2" t="s">
        <v>282</v>
      </c>
      <c r="G726" s="2"/>
      <c r="H726" s="2"/>
      <c r="I726" s="2" t="s">
        <v>3949</v>
      </c>
    </row>
    <row r="727" ht="15.75" hidden="1" customHeight="1">
      <c r="A727" s="9">
        <v>7266451.0</v>
      </c>
      <c r="B727" s="2" t="s">
        <v>3952</v>
      </c>
      <c r="C727" s="2" t="s">
        <v>3953</v>
      </c>
      <c r="D727" s="2" t="s">
        <v>3954</v>
      </c>
      <c r="E727" s="10" t="s">
        <v>3955</v>
      </c>
      <c r="F727" s="2" t="s">
        <v>314</v>
      </c>
      <c r="G727" s="2"/>
      <c r="H727" s="2"/>
      <c r="I727" s="2" t="s">
        <v>3953</v>
      </c>
    </row>
    <row r="728" ht="15.75" hidden="1" customHeight="1">
      <c r="A728" s="9">
        <v>7266452.0</v>
      </c>
      <c r="B728" s="2" t="s">
        <v>3957</v>
      </c>
      <c r="C728" s="2" t="s">
        <v>3958</v>
      </c>
      <c r="D728" s="2" t="s">
        <v>3959</v>
      </c>
      <c r="E728" s="10" t="s">
        <v>3960</v>
      </c>
      <c r="F728" s="2" t="s">
        <v>314</v>
      </c>
      <c r="G728" s="2"/>
      <c r="H728" s="2"/>
      <c r="I728" s="2" t="s">
        <v>3958</v>
      </c>
    </row>
    <row r="729" ht="15.75" hidden="1" customHeight="1">
      <c r="A729" s="9">
        <v>7266453.0</v>
      </c>
      <c r="B729" s="2" t="s">
        <v>1967</v>
      </c>
      <c r="C729" s="2" t="s">
        <v>3962</v>
      </c>
      <c r="D729" s="2" t="s">
        <v>3963</v>
      </c>
      <c r="E729" s="10" t="s">
        <v>3965</v>
      </c>
      <c r="F729" s="2" t="s">
        <v>314</v>
      </c>
      <c r="G729" s="2"/>
      <c r="H729" s="2"/>
      <c r="I729" s="2" t="s">
        <v>3962</v>
      </c>
    </row>
    <row r="730" ht="15.75" hidden="1" customHeight="1">
      <c r="A730" s="9">
        <v>7266454.0</v>
      </c>
      <c r="B730" s="2" t="s">
        <v>3967</v>
      </c>
      <c r="C730" s="2" t="s">
        <v>3968</v>
      </c>
      <c r="D730" s="2" t="s">
        <v>3970</v>
      </c>
      <c r="E730" s="10" t="s">
        <v>3971</v>
      </c>
      <c r="F730" s="2" t="s">
        <v>314</v>
      </c>
      <c r="G730" s="2"/>
      <c r="H730" s="2"/>
      <c r="I730" s="2" t="s">
        <v>3968</v>
      </c>
    </row>
    <row r="731" ht="15.75" hidden="1" customHeight="1">
      <c r="A731" s="9">
        <v>7266455.0</v>
      </c>
      <c r="B731" s="2" t="s">
        <v>3972</v>
      </c>
      <c r="C731" s="2" t="s">
        <v>3973</v>
      </c>
      <c r="D731" s="2" t="s">
        <v>3974</v>
      </c>
      <c r="E731" s="10" t="s">
        <v>3975</v>
      </c>
      <c r="F731" s="2" t="s">
        <v>314</v>
      </c>
      <c r="G731" s="2"/>
      <c r="H731" s="2"/>
      <c r="I731" s="2" t="s">
        <v>3973</v>
      </c>
    </row>
    <row r="732" ht="15.75" hidden="1" customHeight="1">
      <c r="A732" s="9">
        <v>7266456.0</v>
      </c>
      <c r="B732" s="2" t="s">
        <v>3976</v>
      </c>
      <c r="C732" s="2" t="s">
        <v>3977</v>
      </c>
      <c r="D732" s="2" t="s">
        <v>1833</v>
      </c>
      <c r="E732" s="10" t="s">
        <v>1844</v>
      </c>
      <c r="F732" s="2" t="s">
        <v>314</v>
      </c>
      <c r="G732" s="2"/>
      <c r="H732" s="2"/>
      <c r="I732" s="2" t="s">
        <v>3977</v>
      </c>
    </row>
    <row r="733" ht="15.75" hidden="1" customHeight="1">
      <c r="A733" s="9">
        <v>7266457.0</v>
      </c>
      <c r="B733" s="2" t="s">
        <v>3980</v>
      </c>
      <c r="C733" s="2" t="s">
        <v>3981</v>
      </c>
      <c r="D733" s="2" t="s">
        <v>3983</v>
      </c>
      <c r="E733" s="10" t="s">
        <v>3984</v>
      </c>
      <c r="F733" s="2" t="s">
        <v>314</v>
      </c>
      <c r="G733" s="2"/>
      <c r="H733" s="2"/>
      <c r="I733" s="2" t="s">
        <v>3981</v>
      </c>
    </row>
    <row r="734" ht="15.75" hidden="1" customHeight="1">
      <c r="A734" s="9">
        <v>7266458.0</v>
      </c>
      <c r="B734" s="2" t="s">
        <v>3986</v>
      </c>
      <c r="C734" s="2" t="s">
        <v>3987</v>
      </c>
      <c r="D734" s="2" t="s">
        <v>1953</v>
      </c>
      <c r="E734" s="10" t="s">
        <v>1956</v>
      </c>
      <c r="F734" s="2" t="s">
        <v>314</v>
      </c>
      <c r="G734" s="2"/>
      <c r="H734" s="2"/>
      <c r="I734" s="2" t="s">
        <v>3987</v>
      </c>
    </row>
    <row r="735" ht="15.75" hidden="1" customHeight="1">
      <c r="A735" s="9">
        <v>7266459.0</v>
      </c>
      <c r="B735" s="2" t="s">
        <v>3989</v>
      </c>
      <c r="C735" s="2" t="s">
        <v>3990</v>
      </c>
      <c r="D735" s="2" t="s">
        <v>3991</v>
      </c>
      <c r="E735" s="10" t="s">
        <v>3992</v>
      </c>
      <c r="F735" s="2" t="s">
        <v>314</v>
      </c>
      <c r="G735" s="2"/>
      <c r="H735" s="2"/>
      <c r="I735" s="2" t="s">
        <v>3990</v>
      </c>
    </row>
    <row r="736" ht="15.75" hidden="1" customHeight="1">
      <c r="A736" s="9">
        <v>7266460.0</v>
      </c>
      <c r="B736" s="2" t="s">
        <v>3995</v>
      </c>
      <c r="C736" s="2" t="s">
        <v>3996</v>
      </c>
      <c r="D736" s="2" t="s">
        <v>3998</v>
      </c>
      <c r="E736" s="10" t="s">
        <v>3999</v>
      </c>
      <c r="F736" s="2" t="s">
        <v>314</v>
      </c>
      <c r="G736" s="2"/>
      <c r="H736" s="2"/>
      <c r="I736" s="2" t="s">
        <v>3996</v>
      </c>
    </row>
    <row r="737" ht="15.75" hidden="1" customHeight="1">
      <c r="A737" s="9">
        <v>7266461.0</v>
      </c>
      <c r="B737" s="2" t="s">
        <v>4001</v>
      </c>
      <c r="C737" s="2" t="s">
        <v>4002</v>
      </c>
      <c r="D737" s="2" t="s">
        <v>4003</v>
      </c>
      <c r="E737" s="10" t="s">
        <v>4004</v>
      </c>
      <c r="F737" s="2" t="s">
        <v>314</v>
      </c>
      <c r="G737" s="2"/>
      <c r="H737" s="2"/>
      <c r="I737" s="2" t="s">
        <v>4002</v>
      </c>
    </row>
    <row r="738" ht="15.75" hidden="1" customHeight="1">
      <c r="A738" s="9">
        <v>7266462.0</v>
      </c>
      <c r="B738" s="2" t="s">
        <v>4005</v>
      </c>
      <c r="C738" s="2" t="s">
        <v>4006</v>
      </c>
      <c r="D738" s="2" t="s">
        <v>4008</v>
      </c>
      <c r="E738" s="10" t="s">
        <v>4009</v>
      </c>
      <c r="F738" s="2" t="s">
        <v>314</v>
      </c>
      <c r="G738" s="2"/>
      <c r="H738" s="2"/>
      <c r="I738" s="2" t="s">
        <v>4006</v>
      </c>
    </row>
    <row r="739" ht="15.75" hidden="1" customHeight="1">
      <c r="A739" s="9">
        <v>7266463.0</v>
      </c>
      <c r="B739" s="2" t="s">
        <v>4011</v>
      </c>
      <c r="C739" s="2" t="s">
        <v>4012</v>
      </c>
      <c r="D739" s="2" t="s">
        <v>4013</v>
      </c>
      <c r="E739" s="10" t="s">
        <v>4014</v>
      </c>
      <c r="F739" s="2" t="s">
        <v>314</v>
      </c>
      <c r="G739" s="2"/>
      <c r="H739" s="2"/>
      <c r="I739" s="2" t="s">
        <v>4012</v>
      </c>
    </row>
    <row r="740" ht="15.75" hidden="1" customHeight="1">
      <c r="A740" s="9">
        <v>7266464.0</v>
      </c>
      <c r="B740" s="2" t="s">
        <v>1481</v>
      </c>
      <c r="C740" s="2" t="s">
        <v>4017</v>
      </c>
      <c r="D740" s="2" t="s">
        <v>4018</v>
      </c>
      <c r="E740" s="10" t="s">
        <v>4019</v>
      </c>
      <c r="F740" s="2" t="s">
        <v>314</v>
      </c>
      <c r="G740" s="2"/>
      <c r="H740" s="2"/>
      <c r="I740" s="2" t="s">
        <v>4017</v>
      </c>
    </row>
    <row r="741" ht="15.75" hidden="1" customHeight="1">
      <c r="A741" s="9">
        <v>7266465.0</v>
      </c>
      <c r="B741" s="2" t="s">
        <v>4020</v>
      </c>
      <c r="C741" s="2" t="s">
        <v>4021</v>
      </c>
      <c r="D741" s="2" t="s">
        <v>4022</v>
      </c>
      <c r="E741" s="10" t="s">
        <v>4023</v>
      </c>
      <c r="F741" s="2" t="s">
        <v>314</v>
      </c>
      <c r="G741" s="2"/>
      <c r="H741" s="2"/>
      <c r="I741" s="2" t="s">
        <v>4021</v>
      </c>
    </row>
    <row r="742" ht="15.75" hidden="1" customHeight="1">
      <c r="A742" s="9">
        <v>7266466.0</v>
      </c>
      <c r="B742" s="2" t="s">
        <v>4024</v>
      </c>
      <c r="C742" s="2" t="s">
        <v>4025</v>
      </c>
      <c r="D742" s="2" t="s">
        <v>2454</v>
      </c>
      <c r="E742" s="10" t="s">
        <v>2459</v>
      </c>
      <c r="F742" s="2" t="s">
        <v>314</v>
      </c>
      <c r="G742" s="2"/>
      <c r="H742" s="2"/>
      <c r="I742" s="2" t="s">
        <v>4025</v>
      </c>
    </row>
    <row r="743" ht="15.75" hidden="1" customHeight="1">
      <c r="A743" s="9">
        <v>7266467.0</v>
      </c>
      <c r="B743" s="2" t="s">
        <v>4027</v>
      </c>
      <c r="C743" s="2" t="s">
        <v>4028</v>
      </c>
      <c r="D743" s="2" t="s">
        <v>4030</v>
      </c>
      <c r="E743" s="10" t="s">
        <v>4031</v>
      </c>
      <c r="F743" s="2" t="s">
        <v>314</v>
      </c>
      <c r="G743" s="2"/>
      <c r="H743" s="2"/>
      <c r="I743" s="2" t="s">
        <v>4028</v>
      </c>
    </row>
    <row r="744" ht="15.75" hidden="1" customHeight="1">
      <c r="A744" s="9">
        <v>7266468.0</v>
      </c>
      <c r="B744" s="2" t="s">
        <v>4033</v>
      </c>
      <c r="C744" s="2" t="s">
        <v>4034</v>
      </c>
      <c r="D744" s="2" t="s">
        <v>3197</v>
      </c>
      <c r="E744" s="10" t="s">
        <v>3201</v>
      </c>
      <c r="F744" s="2" t="s">
        <v>314</v>
      </c>
      <c r="G744" s="2"/>
      <c r="H744" s="2"/>
      <c r="I744" s="2" t="s">
        <v>4034</v>
      </c>
    </row>
    <row r="745" ht="15.75" hidden="1" customHeight="1">
      <c r="A745" s="9">
        <v>7266469.0</v>
      </c>
      <c r="B745" s="2" t="s">
        <v>4036</v>
      </c>
      <c r="C745" s="2" t="s">
        <v>4037</v>
      </c>
      <c r="D745" s="2" t="s">
        <v>4038</v>
      </c>
      <c r="E745" s="10" t="s">
        <v>4039</v>
      </c>
      <c r="F745" s="2" t="s">
        <v>314</v>
      </c>
      <c r="G745" s="2"/>
      <c r="H745" s="2"/>
      <c r="I745" s="2" t="s">
        <v>4037</v>
      </c>
    </row>
    <row r="746" ht="15.75" hidden="1" customHeight="1">
      <c r="A746" s="9">
        <v>7266470.0</v>
      </c>
      <c r="B746" s="2" t="s">
        <v>4040</v>
      </c>
      <c r="C746" s="2" t="s">
        <v>4041</v>
      </c>
      <c r="D746" s="2" t="s">
        <v>4042</v>
      </c>
      <c r="E746" s="10" t="s">
        <v>4043</v>
      </c>
      <c r="F746" s="2" t="s">
        <v>314</v>
      </c>
      <c r="G746" s="2"/>
      <c r="H746" s="2"/>
      <c r="I746" s="2" t="s">
        <v>4041</v>
      </c>
    </row>
    <row r="747" ht="15.75" hidden="1" customHeight="1">
      <c r="A747" s="9">
        <v>7266471.0</v>
      </c>
      <c r="B747" s="2" t="s">
        <v>4044</v>
      </c>
      <c r="C747" s="2" t="s">
        <v>4045</v>
      </c>
      <c r="D747" s="2" t="s">
        <v>4046</v>
      </c>
      <c r="E747" s="10" t="s">
        <v>4047</v>
      </c>
      <c r="F747" s="2" t="s">
        <v>314</v>
      </c>
      <c r="G747" s="2"/>
      <c r="H747" s="2"/>
      <c r="I747" s="2" t="s">
        <v>4045</v>
      </c>
    </row>
    <row r="748" ht="15.75" hidden="1" customHeight="1">
      <c r="A748" s="9">
        <v>7266472.0</v>
      </c>
      <c r="B748" s="2" t="s">
        <v>4048</v>
      </c>
      <c r="C748" s="2" t="s">
        <v>4049</v>
      </c>
      <c r="D748" s="2" t="s">
        <v>2122</v>
      </c>
      <c r="E748" s="10" t="s">
        <v>2127</v>
      </c>
      <c r="F748" s="2" t="s">
        <v>314</v>
      </c>
      <c r="G748" s="2"/>
      <c r="H748" s="2"/>
      <c r="I748" s="2" t="s">
        <v>4049</v>
      </c>
    </row>
    <row r="749" ht="15.75" hidden="1" customHeight="1">
      <c r="A749" s="9">
        <v>7266473.0</v>
      </c>
      <c r="B749" s="2" t="s">
        <v>4051</v>
      </c>
      <c r="C749" s="2" t="s">
        <v>4052</v>
      </c>
      <c r="D749" s="2" t="s">
        <v>4053</v>
      </c>
      <c r="E749" s="10" t="s">
        <v>4054</v>
      </c>
      <c r="F749" s="2" t="s">
        <v>365</v>
      </c>
      <c r="G749" s="2"/>
      <c r="H749" s="2"/>
      <c r="I749" s="2" t="s">
        <v>4052</v>
      </c>
    </row>
    <row r="750" ht="15.75" hidden="1" customHeight="1">
      <c r="A750" s="9">
        <v>7266474.0</v>
      </c>
      <c r="B750" s="2" t="s">
        <v>4055</v>
      </c>
      <c r="C750" s="2" t="s">
        <v>4056</v>
      </c>
      <c r="D750" s="2" t="s">
        <v>4057</v>
      </c>
      <c r="E750" s="10" t="s">
        <v>4058</v>
      </c>
      <c r="F750" s="2" t="s">
        <v>365</v>
      </c>
      <c r="G750" s="2"/>
      <c r="H750" s="2"/>
      <c r="I750" s="2" t="s">
        <v>4056</v>
      </c>
    </row>
    <row r="751" ht="15.75" hidden="1" customHeight="1">
      <c r="A751" s="9">
        <v>7266475.0</v>
      </c>
      <c r="B751" s="2" t="s">
        <v>4059</v>
      </c>
      <c r="C751" s="2" t="s">
        <v>4060</v>
      </c>
      <c r="D751" s="2" t="s">
        <v>1335</v>
      </c>
      <c r="E751" s="10" t="s">
        <v>1341</v>
      </c>
      <c r="F751" s="2" t="s">
        <v>365</v>
      </c>
      <c r="G751" s="2"/>
      <c r="H751" s="2"/>
      <c r="I751" s="2" t="s">
        <v>4060</v>
      </c>
    </row>
    <row r="752" ht="15.75" hidden="1" customHeight="1">
      <c r="A752" s="9">
        <v>7266476.0</v>
      </c>
      <c r="B752" s="2" t="s">
        <v>4061</v>
      </c>
      <c r="C752" s="2" t="s">
        <v>4062</v>
      </c>
      <c r="D752" s="2" t="s">
        <v>4063</v>
      </c>
      <c r="E752" s="10" t="s">
        <v>4064</v>
      </c>
      <c r="F752" s="2" t="s">
        <v>365</v>
      </c>
      <c r="G752" s="2"/>
      <c r="H752" s="2"/>
      <c r="I752" s="2" t="s">
        <v>4062</v>
      </c>
    </row>
    <row r="753" ht="15.75" hidden="1" customHeight="1">
      <c r="A753" s="9">
        <v>7266477.0</v>
      </c>
      <c r="B753" s="2" t="s">
        <v>4066</v>
      </c>
      <c r="C753" s="2" t="s">
        <v>4067</v>
      </c>
      <c r="D753" s="2" t="s">
        <v>4069</v>
      </c>
      <c r="E753" s="10" t="s">
        <v>4070</v>
      </c>
      <c r="F753" s="2" t="s">
        <v>365</v>
      </c>
      <c r="G753" s="2"/>
      <c r="H753" s="2"/>
      <c r="I753" s="2" t="s">
        <v>4067</v>
      </c>
    </row>
    <row r="754" ht="15.75" hidden="1" customHeight="1">
      <c r="A754" s="9">
        <v>7266478.0</v>
      </c>
      <c r="B754" s="2" t="s">
        <v>4071</v>
      </c>
      <c r="C754" s="2" t="s">
        <v>4073</v>
      </c>
      <c r="D754" s="2" t="s">
        <v>4074</v>
      </c>
      <c r="E754" s="10" t="s">
        <v>4075</v>
      </c>
      <c r="F754" s="2" t="s">
        <v>365</v>
      </c>
      <c r="G754" s="2"/>
      <c r="H754" s="2"/>
      <c r="I754" s="2" t="s">
        <v>4073</v>
      </c>
    </row>
    <row r="755" ht="15.75" hidden="1" customHeight="1">
      <c r="A755" s="9">
        <v>7266479.0</v>
      </c>
      <c r="B755" s="2" t="s">
        <v>4076</v>
      </c>
      <c r="C755" s="2" t="s">
        <v>4077</v>
      </c>
      <c r="D755" s="2" t="s">
        <v>4078</v>
      </c>
      <c r="E755" s="10" t="s">
        <v>4079</v>
      </c>
      <c r="F755" s="2" t="s">
        <v>365</v>
      </c>
      <c r="G755" s="2"/>
      <c r="H755" s="2"/>
      <c r="I755" s="2" t="s">
        <v>4077</v>
      </c>
    </row>
    <row r="756" ht="15.75" hidden="1" customHeight="1">
      <c r="A756" s="9">
        <v>7266480.0</v>
      </c>
      <c r="B756" s="2" t="s">
        <v>4080</v>
      </c>
      <c r="C756" s="2" t="s">
        <v>4081</v>
      </c>
      <c r="D756" s="2" t="s">
        <v>4082</v>
      </c>
      <c r="E756" s="10" t="s">
        <v>4083</v>
      </c>
      <c r="F756" s="2" t="s">
        <v>365</v>
      </c>
      <c r="G756" s="2"/>
      <c r="H756" s="2"/>
      <c r="I756" s="2" t="s">
        <v>4081</v>
      </c>
    </row>
    <row r="757" ht="15.75" hidden="1" customHeight="1">
      <c r="A757" s="9">
        <v>7266481.0</v>
      </c>
      <c r="B757" s="2" t="s">
        <v>4085</v>
      </c>
      <c r="C757" s="2" t="s">
        <v>4086</v>
      </c>
      <c r="D757" s="2" t="s">
        <v>4088</v>
      </c>
      <c r="E757" s="10" t="s">
        <v>4089</v>
      </c>
      <c r="F757" s="2" t="s">
        <v>365</v>
      </c>
      <c r="G757" s="2"/>
      <c r="H757" s="2"/>
      <c r="I757" s="2" t="s">
        <v>4086</v>
      </c>
    </row>
    <row r="758" ht="15.75" hidden="1" customHeight="1">
      <c r="A758" s="9">
        <v>7266482.0</v>
      </c>
      <c r="B758" s="2" t="s">
        <v>4091</v>
      </c>
      <c r="C758" s="2" t="s">
        <v>4093</v>
      </c>
      <c r="D758" s="2" t="s">
        <v>4094</v>
      </c>
      <c r="E758" s="10" t="s">
        <v>4095</v>
      </c>
      <c r="F758" s="2" t="s">
        <v>365</v>
      </c>
      <c r="G758" s="2"/>
      <c r="H758" s="2"/>
      <c r="I758" s="2" t="s">
        <v>4093</v>
      </c>
    </row>
    <row r="759" ht="15.75" hidden="1" customHeight="1">
      <c r="A759" s="9">
        <v>7266483.0</v>
      </c>
      <c r="B759" s="2" t="s">
        <v>4096</v>
      </c>
      <c r="C759" s="2" t="s">
        <v>4097</v>
      </c>
      <c r="D759" s="2" t="s">
        <v>4098</v>
      </c>
      <c r="E759" s="10" t="s">
        <v>4099</v>
      </c>
      <c r="F759" s="2" t="s">
        <v>365</v>
      </c>
      <c r="G759" s="2"/>
      <c r="H759" s="2"/>
      <c r="I759" s="2" t="s">
        <v>4097</v>
      </c>
    </row>
    <row r="760" ht="15.75" hidden="1" customHeight="1">
      <c r="A760" s="9">
        <v>7266484.0</v>
      </c>
      <c r="B760" s="2" t="s">
        <v>1220</v>
      </c>
      <c r="C760" s="2" t="s">
        <v>4101</v>
      </c>
      <c r="D760" s="2" t="s">
        <v>4102</v>
      </c>
      <c r="E760" s="10" t="s">
        <v>4103</v>
      </c>
      <c r="F760" s="2" t="s">
        <v>365</v>
      </c>
      <c r="G760" s="2"/>
      <c r="H760" s="2"/>
      <c r="I760" s="2" t="s">
        <v>4101</v>
      </c>
    </row>
    <row r="761" ht="15.75" hidden="1" customHeight="1">
      <c r="A761" s="9">
        <v>7266485.0</v>
      </c>
      <c r="B761" s="2" t="s">
        <v>4106</v>
      </c>
      <c r="C761" s="2" t="s">
        <v>4107</v>
      </c>
      <c r="D761" s="2" t="s">
        <v>4108</v>
      </c>
      <c r="E761" s="10" t="s">
        <v>4109</v>
      </c>
      <c r="F761" s="2" t="s">
        <v>365</v>
      </c>
      <c r="G761" s="2"/>
      <c r="H761" s="2"/>
      <c r="I761" s="2" t="s">
        <v>4107</v>
      </c>
    </row>
    <row r="762" ht="15.75" hidden="1" customHeight="1">
      <c r="A762" s="9">
        <v>7266486.0</v>
      </c>
      <c r="B762" s="2" t="s">
        <v>4111</v>
      </c>
      <c r="C762" s="2" t="s">
        <v>4112</v>
      </c>
      <c r="D762" s="2" t="s">
        <v>4113</v>
      </c>
      <c r="E762" s="10" t="s">
        <v>4114</v>
      </c>
      <c r="F762" s="2" t="s">
        <v>365</v>
      </c>
      <c r="G762" s="2"/>
      <c r="H762" s="2"/>
      <c r="I762" s="2" t="s">
        <v>4112</v>
      </c>
    </row>
    <row r="763" ht="15.75" hidden="1" customHeight="1">
      <c r="A763" s="9">
        <v>7266487.0</v>
      </c>
      <c r="B763" s="2" t="s">
        <v>4116</v>
      </c>
      <c r="C763" s="2" t="s">
        <v>4117</v>
      </c>
      <c r="D763" s="2" t="s">
        <v>4118</v>
      </c>
      <c r="E763" s="10" t="s">
        <v>4119</v>
      </c>
      <c r="F763" s="2" t="s">
        <v>365</v>
      </c>
      <c r="G763" s="2"/>
      <c r="H763" s="2"/>
      <c r="I763" s="2" t="s">
        <v>4117</v>
      </c>
    </row>
    <row r="764" ht="15.75" hidden="1" customHeight="1">
      <c r="A764" s="9">
        <v>7266489.0</v>
      </c>
      <c r="B764" s="2" t="s">
        <v>4121</v>
      </c>
      <c r="C764" s="2" t="s">
        <v>4122</v>
      </c>
      <c r="D764" s="2" t="s">
        <v>4123</v>
      </c>
      <c r="E764" s="10" t="s">
        <v>4124</v>
      </c>
      <c r="F764" s="2" t="s">
        <v>365</v>
      </c>
      <c r="G764" s="2"/>
      <c r="H764" s="2"/>
      <c r="I764" s="2" t="s">
        <v>4122</v>
      </c>
    </row>
    <row r="765" ht="15.75" hidden="1" customHeight="1">
      <c r="A765" s="9">
        <v>7266490.0</v>
      </c>
      <c r="B765" s="2" t="s">
        <v>4126</v>
      </c>
      <c r="C765" s="2" t="s">
        <v>4128</v>
      </c>
      <c r="D765" s="2" t="s">
        <v>4129</v>
      </c>
      <c r="E765" s="10" t="s">
        <v>4130</v>
      </c>
      <c r="F765" s="2" t="s">
        <v>365</v>
      </c>
      <c r="G765" s="2"/>
      <c r="H765" s="2"/>
      <c r="I765" s="2" t="s">
        <v>4128</v>
      </c>
    </row>
    <row r="766" ht="15.75" hidden="1" customHeight="1">
      <c r="A766" s="9">
        <v>7266491.0</v>
      </c>
      <c r="B766" s="2" t="s">
        <v>4131</v>
      </c>
      <c r="C766" s="2" t="s">
        <v>4132</v>
      </c>
      <c r="D766" s="2" t="s">
        <v>3803</v>
      </c>
      <c r="E766" s="10" t="s">
        <v>3808</v>
      </c>
      <c r="F766" s="2" t="s">
        <v>365</v>
      </c>
      <c r="G766" s="2"/>
      <c r="H766" s="2"/>
      <c r="I766" s="2" t="s">
        <v>4132</v>
      </c>
    </row>
    <row r="767" ht="15.75" hidden="1" customHeight="1">
      <c r="A767" s="9">
        <v>7266492.0</v>
      </c>
      <c r="B767" s="2" t="s">
        <v>4133</v>
      </c>
      <c r="C767" s="2" t="s">
        <v>4134</v>
      </c>
      <c r="D767" s="2" t="s">
        <v>4136</v>
      </c>
      <c r="E767" s="10" t="s">
        <v>4137</v>
      </c>
      <c r="F767" s="2" t="s">
        <v>365</v>
      </c>
      <c r="G767" s="2"/>
      <c r="H767" s="2"/>
      <c r="I767" s="2" t="s">
        <v>4134</v>
      </c>
    </row>
    <row r="768" ht="15.75" hidden="1" customHeight="1">
      <c r="A768" s="9">
        <v>7266493.0</v>
      </c>
      <c r="B768" s="2" t="s">
        <v>4139</v>
      </c>
      <c r="C768" s="2" t="s">
        <v>4140</v>
      </c>
      <c r="D768" s="2" t="s">
        <v>4142</v>
      </c>
      <c r="E768" s="10" t="s">
        <v>4143</v>
      </c>
      <c r="F768" s="2" t="s">
        <v>365</v>
      </c>
      <c r="G768" s="2"/>
      <c r="H768" s="2"/>
      <c r="I768" s="2" t="s">
        <v>4140</v>
      </c>
    </row>
    <row r="769" ht="15.75" hidden="1" customHeight="1">
      <c r="A769" s="9">
        <v>7266494.0</v>
      </c>
      <c r="B769" s="2" t="s">
        <v>4145</v>
      </c>
      <c r="C769" s="2" t="s">
        <v>4146</v>
      </c>
      <c r="D769" s="2" t="s">
        <v>4147</v>
      </c>
      <c r="E769" s="10" t="s">
        <v>4148</v>
      </c>
      <c r="F769" s="2" t="s">
        <v>365</v>
      </c>
      <c r="G769" s="2"/>
      <c r="H769" s="2"/>
      <c r="I769" s="2" t="s">
        <v>4146</v>
      </c>
    </row>
    <row r="770" ht="15.75" hidden="1" customHeight="1">
      <c r="A770" s="9">
        <v>7266495.0</v>
      </c>
      <c r="B770" s="2" t="s">
        <v>4149</v>
      </c>
      <c r="C770" s="2" t="s">
        <v>4150</v>
      </c>
      <c r="D770" s="2" t="s">
        <v>4151</v>
      </c>
      <c r="E770" s="10" t="s">
        <v>4152</v>
      </c>
      <c r="F770" s="2" t="s">
        <v>365</v>
      </c>
      <c r="G770" s="2"/>
      <c r="H770" s="2"/>
      <c r="I770" s="2" t="s">
        <v>4150</v>
      </c>
    </row>
    <row r="771" ht="15.75" hidden="1" customHeight="1">
      <c r="A771" s="9">
        <v>7266496.0</v>
      </c>
      <c r="B771" s="2" t="s">
        <v>4153</v>
      </c>
      <c r="C771" s="2" t="s">
        <v>4154</v>
      </c>
      <c r="D771" s="2" t="s">
        <v>4155</v>
      </c>
      <c r="E771" s="10" t="s">
        <v>4156</v>
      </c>
      <c r="F771" s="2" t="s">
        <v>365</v>
      </c>
      <c r="G771" s="2"/>
      <c r="H771" s="2"/>
      <c r="I771" s="2" t="s">
        <v>4154</v>
      </c>
    </row>
    <row r="772" ht="15.75" hidden="1" customHeight="1">
      <c r="A772" s="9">
        <v>7266497.0</v>
      </c>
      <c r="B772" s="2" t="s">
        <v>1675</v>
      </c>
      <c r="C772" s="2" t="s">
        <v>4158</v>
      </c>
      <c r="D772" s="2" t="s">
        <v>4159</v>
      </c>
      <c r="E772" s="10" t="s">
        <v>4160</v>
      </c>
      <c r="F772" s="2" t="s">
        <v>365</v>
      </c>
      <c r="G772" s="2"/>
      <c r="H772" s="2"/>
      <c r="I772" s="2" t="s">
        <v>4158</v>
      </c>
    </row>
    <row r="773" ht="15.75" hidden="1" customHeight="1">
      <c r="A773" s="9">
        <v>7266499.0</v>
      </c>
      <c r="B773" s="2" t="s">
        <v>4162</v>
      </c>
      <c r="C773" s="2" t="s">
        <v>4163</v>
      </c>
      <c r="D773" s="2" t="s">
        <v>4164</v>
      </c>
      <c r="E773" s="10" t="s">
        <v>4165</v>
      </c>
      <c r="F773" s="2" t="s">
        <v>365</v>
      </c>
      <c r="G773" s="2"/>
      <c r="H773" s="2"/>
      <c r="I773" s="2" t="s">
        <v>4163</v>
      </c>
    </row>
    <row r="774" ht="15.75" hidden="1" customHeight="1">
      <c r="A774" s="9">
        <v>7266500.0</v>
      </c>
      <c r="B774" s="2" t="s">
        <v>4166</v>
      </c>
      <c r="C774" s="2" t="s">
        <v>4167</v>
      </c>
      <c r="D774" s="2" t="s">
        <v>4168</v>
      </c>
      <c r="E774" s="10" t="s">
        <v>4169</v>
      </c>
      <c r="F774" s="2" t="s">
        <v>365</v>
      </c>
      <c r="G774" s="2"/>
      <c r="H774" s="2"/>
      <c r="I774" s="2" t="s">
        <v>4167</v>
      </c>
    </row>
    <row r="775" ht="15.75" hidden="1" customHeight="1">
      <c r="A775" s="9">
        <v>7266501.0</v>
      </c>
      <c r="B775" s="2" t="s">
        <v>4170</v>
      </c>
      <c r="C775" s="2" t="s">
        <v>4171</v>
      </c>
      <c r="D775" s="2" t="s">
        <v>2056</v>
      </c>
      <c r="E775" s="10" t="s">
        <v>2062</v>
      </c>
      <c r="F775" s="2" t="s">
        <v>365</v>
      </c>
      <c r="G775" s="2"/>
      <c r="H775" s="2"/>
      <c r="I775" s="2" t="s">
        <v>4171</v>
      </c>
    </row>
    <row r="776" ht="15.75" hidden="1" customHeight="1">
      <c r="A776" s="9">
        <v>7266502.0</v>
      </c>
      <c r="B776" s="2" t="s">
        <v>4173</v>
      </c>
      <c r="C776" s="2" t="s">
        <v>4174</v>
      </c>
      <c r="D776" s="2" t="s">
        <v>4175</v>
      </c>
      <c r="E776" s="10" t="s">
        <v>4176</v>
      </c>
      <c r="F776" s="2" t="s">
        <v>365</v>
      </c>
      <c r="G776" s="2"/>
      <c r="H776" s="2"/>
      <c r="I776" s="2" t="s">
        <v>4174</v>
      </c>
    </row>
    <row r="777" ht="15.75" hidden="1" customHeight="1">
      <c r="A777" s="9">
        <v>7266503.0</v>
      </c>
      <c r="B777" s="2" t="s">
        <v>4178</v>
      </c>
      <c r="C777" s="2" t="s">
        <v>4179</v>
      </c>
      <c r="D777" s="2" t="s">
        <v>4180</v>
      </c>
      <c r="E777" s="10" t="s">
        <v>4181</v>
      </c>
      <c r="F777" s="2" t="s">
        <v>1737</v>
      </c>
      <c r="G777" s="2"/>
      <c r="H777" s="2"/>
      <c r="I777" s="2" t="s">
        <v>4179</v>
      </c>
    </row>
    <row r="778" ht="15.75" hidden="1" customHeight="1">
      <c r="A778" s="9">
        <v>7266504.0</v>
      </c>
      <c r="B778" s="2" t="s">
        <v>4182</v>
      </c>
      <c r="C778" s="2" t="s">
        <v>4183</v>
      </c>
      <c r="D778" s="2" t="s">
        <v>4184</v>
      </c>
      <c r="E778" s="10" t="s">
        <v>4185</v>
      </c>
      <c r="F778" s="2" t="s">
        <v>1737</v>
      </c>
      <c r="G778" s="2"/>
      <c r="H778" s="2"/>
      <c r="I778" s="2" t="s">
        <v>4183</v>
      </c>
    </row>
    <row r="779" ht="15.75" hidden="1" customHeight="1">
      <c r="A779" s="9">
        <v>7266505.0</v>
      </c>
      <c r="B779" s="2" t="s">
        <v>4186</v>
      </c>
      <c r="C779" s="2" t="s">
        <v>4187</v>
      </c>
      <c r="D779" s="2" t="s">
        <v>4188</v>
      </c>
      <c r="E779" s="10" t="s">
        <v>4189</v>
      </c>
      <c r="F779" s="2" t="s">
        <v>1737</v>
      </c>
      <c r="G779" s="2"/>
      <c r="H779" s="2"/>
      <c r="I779" s="2" t="s">
        <v>4187</v>
      </c>
    </row>
    <row r="780" ht="15.75" hidden="1" customHeight="1">
      <c r="A780" s="9">
        <v>7266506.0</v>
      </c>
      <c r="B780" s="2" t="s">
        <v>4192</v>
      </c>
      <c r="C780" s="2" t="s">
        <v>4193</v>
      </c>
      <c r="D780" s="2" t="s">
        <v>4194</v>
      </c>
      <c r="E780" s="10" t="s">
        <v>4195</v>
      </c>
      <c r="F780" s="2" t="s">
        <v>1737</v>
      </c>
      <c r="G780" s="2"/>
      <c r="H780" s="2"/>
      <c r="I780" s="2" t="s">
        <v>4193</v>
      </c>
    </row>
    <row r="781" ht="15.75" hidden="1" customHeight="1">
      <c r="A781" s="9">
        <v>7266507.0</v>
      </c>
      <c r="B781" s="2" t="s">
        <v>4197</v>
      </c>
      <c r="C781" s="2" t="s">
        <v>4198</v>
      </c>
      <c r="D781" s="2" t="s">
        <v>1898</v>
      </c>
      <c r="E781" s="10" t="s">
        <v>1902</v>
      </c>
      <c r="F781" s="2" t="s">
        <v>1737</v>
      </c>
      <c r="G781" s="2"/>
      <c r="H781" s="2"/>
      <c r="I781" s="2" t="s">
        <v>4198</v>
      </c>
    </row>
    <row r="782" ht="15.75" hidden="1" customHeight="1">
      <c r="A782" s="9">
        <v>7266508.0</v>
      </c>
      <c r="B782" s="2" t="s">
        <v>1967</v>
      </c>
      <c r="C782" s="2" t="s">
        <v>4201</v>
      </c>
      <c r="D782" s="2" t="s">
        <v>4202</v>
      </c>
      <c r="E782" s="10" t="s">
        <v>4203</v>
      </c>
      <c r="F782" s="2" t="s">
        <v>1737</v>
      </c>
      <c r="G782" s="2"/>
      <c r="H782" s="2"/>
      <c r="I782" s="2" t="s">
        <v>4201</v>
      </c>
    </row>
    <row r="783" ht="15.75" hidden="1" customHeight="1">
      <c r="A783" s="9">
        <v>7266509.0</v>
      </c>
      <c r="B783" s="2" t="s">
        <v>4204</v>
      </c>
      <c r="C783" s="2" t="s">
        <v>4205</v>
      </c>
      <c r="D783" s="2" t="s">
        <v>4206</v>
      </c>
      <c r="E783" s="10" t="s">
        <v>4207</v>
      </c>
      <c r="F783" s="2" t="s">
        <v>1737</v>
      </c>
      <c r="G783" s="2"/>
      <c r="H783" s="2"/>
      <c r="I783" s="2" t="s">
        <v>4205</v>
      </c>
    </row>
    <row r="784" ht="15.75" hidden="1" customHeight="1">
      <c r="A784" s="9">
        <v>7266510.0</v>
      </c>
      <c r="B784" s="2" t="s">
        <v>4208</v>
      </c>
      <c r="C784" s="2" t="s">
        <v>4209</v>
      </c>
      <c r="D784" s="2" t="s">
        <v>4210</v>
      </c>
      <c r="E784" s="10" t="s">
        <v>4211</v>
      </c>
      <c r="F784" s="2" t="s">
        <v>1737</v>
      </c>
      <c r="G784" s="2"/>
      <c r="H784" s="2"/>
      <c r="I784" s="2" t="s">
        <v>4209</v>
      </c>
    </row>
    <row r="785" ht="15.75" hidden="1" customHeight="1">
      <c r="A785" s="9">
        <v>7266511.0</v>
      </c>
      <c r="B785" s="2" t="s">
        <v>4213</v>
      </c>
      <c r="C785" s="2" t="s">
        <v>4215</v>
      </c>
      <c r="D785" s="2" t="s">
        <v>4216</v>
      </c>
      <c r="E785" s="10" t="s">
        <v>4217</v>
      </c>
      <c r="F785" s="2" t="s">
        <v>1737</v>
      </c>
      <c r="G785" s="2"/>
      <c r="H785" s="2"/>
      <c r="I785" s="2" t="s">
        <v>4215</v>
      </c>
    </row>
    <row r="786" ht="15.75" hidden="1" customHeight="1">
      <c r="A786" s="9">
        <v>7266512.0</v>
      </c>
      <c r="B786" s="2" t="s">
        <v>4219</v>
      </c>
      <c r="C786" s="2" t="s">
        <v>4221</v>
      </c>
      <c r="D786" s="2" t="s">
        <v>4222</v>
      </c>
      <c r="E786" s="10" t="s">
        <v>4223</v>
      </c>
      <c r="F786" s="2" t="s">
        <v>1737</v>
      </c>
      <c r="G786" s="2"/>
      <c r="H786" s="2"/>
      <c r="I786" s="2" t="s">
        <v>4221</v>
      </c>
    </row>
    <row r="787" ht="15.75" hidden="1" customHeight="1">
      <c r="A787" s="9">
        <v>7266513.0</v>
      </c>
      <c r="B787" s="2" t="s">
        <v>4224</v>
      </c>
      <c r="C787" s="2" t="s">
        <v>4225</v>
      </c>
      <c r="D787" s="2" t="s">
        <v>4226</v>
      </c>
      <c r="E787" s="10" t="s">
        <v>4227</v>
      </c>
      <c r="F787" s="2" t="s">
        <v>1737</v>
      </c>
      <c r="G787" s="2"/>
      <c r="H787" s="2"/>
      <c r="I787" s="2" t="s">
        <v>4225</v>
      </c>
    </row>
    <row r="788" ht="15.75" hidden="1" customHeight="1">
      <c r="A788" s="9">
        <v>7266514.0</v>
      </c>
      <c r="B788" s="2" t="s">
        <v>4228</v>
      </c>
      <c r="C788" s="2" t="s">
        <v>4229</v>
      </c>
      <c r="D788" s="2" t="s">
        <v>4230</v>
      </c>
      <c r="E788" s="10" t="s">
        <v>4231</v>
      </c>
      <c r="F788" s="2" t="s">
        <v>1737</v>
      </c>
      <c r="G788" s="2"/>
      <c r="H788" s="2"/>
      <c r="I788" s="2" t="s">
        <v>4229</v>
      </c>
    </row>
    <row r="789" ht="15.75" hidden="1" customHeight="1">
      <c r="A789" s="9">
        <v>7266515.0</v>
      </c>
      <c r="B789" s="2" t="s">
        <v>4233</v>
      </c>
      <c r="C789" s="2" t="s">
        <v>4234</v>
      </c>
      <c r="D789" s="2" t="s">
        <v>4235</v>
      </c>
      <c r="E789" s="10" t="s">
        <v>4236</v>
      </c>
      <c r="F789" s="2" t="s">
        <v>1737</v>
      </c>
      <c r="G789" s="2"/>
      <c r="H789" s="2"/>
      <c r="I789" s="2" t="s">
        <v>4234</v>
      </c>
    </row>
    <row r="790" ht="15.75" hidden="1" customHeight="1">
      <c r="A790" s="9">
        <v>7266516.0</v>
      </c>
      <c r="B790" s="2" t="s">
        <v>4238</v>
      </c>
      <c r="C790" s="2" t="s">
        <v>4239</v>
      </c>
      <c r="D790" s="2" t="s">
        <v>4240</v>
      </c>
      <c r="E790" s="10" t="s">
        <v>4241</v>
      </c>
      <c r="F790" s="2" t="s">
        <v>1737</v>
      </c>
      <c r="G790" s="2"/>
      <c r="H790" s="2"/>
      <c r="I790" s="2" t="s">
        <v>4239</v>
      </c>
    </row>
    <row r="791" ht="15.75" hidden="1" customHeight="1">
      <c r="A791" s="9">
        <v>7266517.0</v>
      </c>
      <c r="B791" s="2" t="s">
        <v>4242</v>
      </c>
      <c r="C791" s="2" t="s">
        <v>4243</v>
      </c>
      <c r="D791" s="2" t="s">
        <v>4244</v>
      </c>
      <c r="E791" s="10" t="s">
        <v>4245</v>
      </c>
      <c r="F791" s="2" t="s">
        <v>1737</v>
      </c>
      <c r="G791" s="2"/>
      <c r="H791" s="2"/>
      <c r="I791" s="2" t="s">
        <v>4243</v>
      </c>
    </row>
    <row r="792" ht="15.75" hidden="1" customHeight="1">
      <c r="A792" s="9">
        <v>7266518.0</v>
      </c>
      <c r="B792" s="2" t="s">
        <v>4246</v>
      </c>
      <c r="C792" s="2" t="s">
        <v>4248</v>
      </c>
      <c r="D792" s="2" t="s">
        <v>4249</v>
      </c>
      <c r="E792" s="10" t="s">
        <v>4250</v>
      </c>
      <c r="F792" s="2" t="s">
        <v>1737</v>
      </c>
      <c r="G792" s="2"/>
      <c r="H792" s="2"/>
      <c r="I792" s="2" t="s">
        <v>4248</v>
      </c>
    </row>
    <row r="793" ht="15.75" hidden="1" customHeight="1">
      <c r="A793" s="9">
        <v>7266519.0</v>
      </c>
      <c r="B793" s="2" t="s">
        <v>4251</v>
      </c>
      <c r="C793" s="2" t="s">
        <v>4253</v>
      </c>
      <c r="D793" s="2" t="s">
        <v>4254</v>
      </c>
      <c r="E793" s="10" t="s">
        <v>4255</v>
      </c>
      <c r="F793" s="2" t="s">
        <v>1737</v>
      </c>
      <c r="G793" s="2"/>
      <c r="H793" s="2"/>
      <c r="I793" s="2" t="s">
        <v>4253</v>
      </c>
    </row>
    <row r="794" ht="15.75" hidden="1" customHeight="1">
      <c r="A794" s="9">
        <v>7266520.0</v>
      </c>
      <c r="B794" s="2" t="s">
        <v>4256</v>
      </c>
      <c r="C794" s="2" t="s">
        <v>4257</v>
      </c>
      <c r="D794" s="2" t="s">
        <v>4258</v>
      </c>
      <c r="E794" s="10" t="s">
        <v>4259</v>
      </c>
      <c r="F794" s="2" t="s">
        <v>1737</v>
      </c>
      <c r="G794" s="2"/>
      <c r="H794" s="2"/>
      <c r="I794" s="2" t="s">
        <v>4257</v>
      </c>
    </row>
    <row r="795" ht="15.75" hidden="1" customHeight="1">
      <c r="A795" s="9">
        <v>7266521.0</v>
      </c>
      <c r="B795" s="2" t="s">
        <v>4260</v>
      </c>
      <c r="C795" s="2" t="s">
        <v>4262</v>
      </c>
      <c r="D795" s="2" t="s">
        <v>4263</v>
      </c>
      <c r="E795" s="10" t="s">
        <v>4264</v>
      </c>
      <c r="F795" s="2" t="s">
        <v>1737</v>
      </c>
      <c r="G795" s="2"/>
      <c r="H795" s="2"/>
      <c r="I795" s="2" t="s">
        <v>4262</v>
      </c>
    </row>
    <row r="796" ht="15.75" hidden="1" customHeight="1">
      <c r="A796" s="9">
        <v>7266522.0</v>
      </c>
      <c r="B796" s="2" t="s">
        <v>4266</v>
      </c>
      <c r="C796" s="2" t="s">
        <v>4267</v>
      </c>
      <c r="D796" s="2" t="s">
        <v>4269</v>
      </c>
      <c r="E796" s="10" t="s">
        <v>4270</v>
      </c>
      <c r="F796" s="2" t="s">
        <v>1737</v>
      </c>
      <c r="G796" s="2"/>
      <c r="H796" s="2"/>
      <c r="I796" s="2" t="s">
        <v>4267</v>
      </c>
    </row>
    <row r="797" ht="15.75" hidden="1" customHeight="1">
      <c r="A797" s="9">
        <v>7266523.0</v>
      </c>
      <c r="B797" s="2" t="s">
        <v>4272</v>
      </c>
      <c r="C797" s="2" t="s">
        <v>4273</v>
      </c>
      <c r="D797" s="2" t="s">
        <v>4274</v>
      </c>
      <c r="E797" s="10" t="s">
        <v>4275</v>
      </c>
      <c r="F797" s="2" t="s">
        <v>1737</v>
      </c>
      <c r="G797" s="2"/>
      <c r="H797" s="2"/>
      <c r="I797" s="2" t="s">
        <v>4273</v>
      </c>
    </row>
    <row r="798" ht="15.75" hidden="1" customHeight="1">
      <c r="A798" s="9">
        <v>7266524.0</v>
      </c>
      <c r="B798" s="2" t="s">
        <v>4276</v>
      </c>
      <c r="C798" s="2" t="s">
        <v>4277</v>
      </c>
      <c r="D798" s="2" t="s">
        <v>4278</v>
      </c>
      <c r="E798" s="10" t="s">
        <v>4279</v>
      </c>
      <c r="F798" s="2" t="s">
        <v>1737</v>
      </c>
      <c r="G798" s="2"/>
      <c r="H798" s="2"/>
      <c r="I798" s="2" t="s">
        <v>4277</v>
      </c>
    </row>
    <row r="799" ht="15.75" hidden="1" customHeight="1">
      <c r="A799" s="9">
        <v>7266525.0</v>
      </c>
      <c r="B799" s="2" t="s">
        <v>4281</v>
      </c>
      <c r="C799" s="2" t="s">
        <v>4282</v>
      </c>
      <c r="D799" s="2" t="s">
        <v>4283</v>
      </c>
      <c r="E799" s="10" t="s">
        <v>4285</v>
      </c>
      <c r="F799" s="2" t="s">
        <v>1737</v>
      </c>
      <c r="G799" s="2"/>
      <c r="H799" s="2"/>
      <c r="I799" s="2" t="s">
        <v>4282</v>
      </c>
    </row>
    <row r="800" ht="15.75" hidden="1" customHeight="1">
      <c r="A800" s="9">
        <v>7266526.0</v>
      </c>
      <c r="B800" s="2" t="s">
        <v>4287</v>
      </c>
      <c r="C800" s="2" t="s">
        <v>4288</v>
      </c>
      <c r="D800" s="2" t="s">
        <v>2589</v>
      </c>
      <c r="E800" s="10" t="s">
        <v>2596</v>
      </c>
      <c r="F800" s="2" t="s">
        <v>1737</v>
      </c>
      <c r="G800" s="2"/>
      <c r="H800" s="2"/>
      <c r="I800" s="2" t="s">
        <v>4288</v>
      </c>
    </row>
    <row r="801" ht="15.75" hidden="1" customHeight="1">
      <c r="A801" s="9">
        <v>7266527.0</v>
      </c>
      <c r="B801" s="2" t="s">
        <v>4290</v>
      </c>
      <c r="C801" s="2" t="s">
        <v>4291</v>
      </c>
      <c r="D801" s="2" t="s">
        <v>4292</v>
      </c>
      <c r="E801" s="10" t="s">
        <v>4293</v>
      </c>
      <c r="F801" s="2" t="s">
        <v>1737</v>
      </c>
      <c r="G801" s="2"/>
      <c r="H801" s="2"/>
      <c r="I801" s="2" t="s">
        <v>4291</v>
      </c>
    </row>
    <row r="802" ht="15.75" hidden="1" customHeight="1">
      <c r="A802" s="9">
        <v>7266528.0</v>
      </c>
      <c r="B802" s="2" t="s">
        <v>4294</v>
      </c>
      <c r="C802" s="2" t="s">
        <v>4295</v>
      </c>
      <c r="D802" s="2" t="s">
        <v>4296</v>
      </c>
      <c r="E802" s="10" t="s">
        <v>4297</v>
      </c>
      <c r="F802" s="2" t="s">
        <v>1737</v>
      </c>
      <c r="G802" s="2"/>
      <c r="H802" s="2"/>
      <c r="I802" s="2" t="s">
        <v>4295</v>
      </c>
    </row>
    <row r="803" ht="15.75" hidden="1" customHeight="1">
      <c r="A803" s="9">
        <v>7266529.0</v>
      </c>
      <c r="B803" s="2" t="s">
        <v>4300</v>
      </c>
      <c r="C803" s="2" t="s">
        <v>4301</v>
      </c>
      <c r="D803" s="2" t="s">
        <v>1724</v>
      </c>
      <c r="E803" s="10" t="s">
        <v>1731</v>
      </c>
      <c r="F803" s="2" t="s">
        <v>1737</v>
      </c>
      <c r="G803" s="2"/>
      <c r="H803" s="2"/>
      <c r="I803" s="2" t="s">
        <v>4301</v>
      </c>
    </row>
    <row r="804" ht="15.75" hidden="1" customHeight="1">
      <c r="A804" s="9">
        <v>7266530.0</v>
      </c>
      <c r="B804" s="2" t="s">
        <v>4304</v>
      </c>
      <c r="C804" s="2" t="s">
        <v>4305</v>
      </c>
      <c r="D804" s="2" t="s">
        <v>4306</v>
      </c>
      <c r="E804" s="10" t="s">
        <v>4307</v>
      </c>
      <c r="F804" s="2" t="s">
        <v>1737</v>
      </c>
      <c r="G804" s="2"/>
      <c r="H804" s="2"/>
      <c r="I804" s="2" t="s">
        <v>4305</v>
      </c>
    </row>
    <row r="805" ht="15.75" hidden="1" customHeight="1">
      <c r="A805" s="9">
        <v>7266531.0</v>
      </c>
      <c r="B805" s="2" t="s">
        <v>4308</v>
      </c>
      <c r="C805" s="2" t="s">
        <v>4309</v>
      </c>
      <c r="D805" s="2" t="s">
        <v>4310</v>
      </c>
      <c r="E805" s="10" t="s">
        <v>4311</v>
      </c>
      <c r="F805" s="2" t="s">
        <v>1462</v>
      </c>
      <c r="G805" s="2"/>
      <c r="H805" s="2"/>
      <c r="I805" s="2" t="s">
        <v>4309</v>
      </c>
    </row>
    <row r="806" ht="15.75" hidden="1" customHeight="1">
      <c r="A806" s="9">
        <v>7266532.0</v>
      </c>
      <c r="B806" s="2" t="s">
        <v>4313</v>
      </c>
      <c r="C806" s="2" t="s">
        <v>4314</v>
      </c>
      <c r="D806" s="2" t="s">
        <v>4315</v>
      </c>
      <c r="E806" s="10" t="s">
        <v>4316</v>
      </c>
      <c r="F806" s="2" t="s">
        <v>1462</v>
      </c>
      <c r="G806" s="2"/>
      <c r="H806" s="2"/>
      <c r="I806" s="2" t="s">
        <v>4314</v>
      </c>
    </row>
    <row r="807" ht="15.75" hidden="1" customHeight="1">
      <c r="A807" s="9">
        <v>7266533.0</v>
      </c>
      <c r="B807" s="2" t="s">
        <v>4320</v>
      </c>
      <c r="C807" s="2" t="s">
        <v>4321</v>
      </c>
      <c r="D807" s="2" t="s">
        <v>4323</v>
      </c>
      <c r="E807" s="10" t="s">
        <v>4324</v>
      </c>
      <c r="F807" s="2" t="s">
        <v>1462</v>
      </c>
      <c r="G807" s="2"/>
      <c r="H807" s="2"/>
      <c r="I807" s="2" t="s">
        <v>4321</v>
      </c>
    </row>
    <row r="808" ht="15.75" hidden="1" customHeight="1">
      <c r="A808" s="9">
        <v>7266534.0</v>
      </c>
      <c r="B808" s="2" t="s">
        <v>4325</v>
      </c>
      <c r="C808" s="2" t="s">
        <v>4326</v>
      </c>
      <c r="D808" s="2" t="s">
        <v>4327</v>
      </c>
      <c r="E808" s="10" t="s">
        <v>4328</v>
      </c>
      <c r="F808" s="2" t="s">
        <v>1462</v>
      </c>
      <c r="G808" s="2"/>
      <c r="H808" s="2"/>
      <c r="I808" s="2" t="s">
        <v>4326</v>
      </c>
    </row>
    <row r="809" ht="15.75" hidden="1" customHeight="1">
      <c r="A809" s="9">
        <v>7266535.0</v>
      </c>
      <c r="B809" s="2" t="s">
        <v>4330</v>
      </c>
      <c r="C809" s="2" t="s">
        <v>4331</v>
      </c>
      <c r="D809" s="2" t="s">
        <v>4332</v>
      </c>
      <c r="E809" s="10" t="s">
        <v>4333</v>
      </c>
      <c r="F809" s="2" t="s">
        <v>1462</v>
      </c>
      <c r="G809" s="2"/>
      <c r="H809" s="2"/>
      <c r="I809" s="2" t="s">
        <v>4331</v>
      </c>
    </row>
    <row r="810" ht="15.75" hidden="1" customHeight="1">
      <c r="A810" s="9">
        <v>7266536.0</v>
      </c>
      <c r="B810" s="2" t="s">
        <v>4335</v>
      </c>
      <c r="C810" s="2" t="s">
        <v>4336</v>
      </c>
      <c r="D810" s="2" t="s">
        <v>4337</v>
      </c>
      <c r="E810" s="10" t="s">
        <v>4338</v>
      </c>
      <c r="F810" s="2" t="s">
        <v>1462</v>
      </c>
      <c r="G810" s="2"/>
      <c r="H810" s="2"/>
      <c r="I810" s="2" t="s">
        <v>4336</v>
      </c>
    </row>
    <row r="811" ht="15.75" hidden="1" customHeight="1">
      <c r="A811" s="9">
        <v>7266537.0</v>
      </c>
      <c r="B811" s="2" t="s">
        <v>3288</v>
      </c>
      <c r="C811" s="2" t="s">
        <v>4340</v>
      </c>
      <c r="D811" s="2" t="s">
        <v>4341</v>
      </c>
      <c r="E811" s="10" t="s">
        <v>4342</v>
      </c>
      <c r="F811" s="2" t="s">
        <v>1462</v>
      </c>
      <c r="G811" s="2"/>
      <c r="H811" s="2"/>
      <c r="I811" s="2" t="s">
        <v>4340</v>
      </c>
    </row>
    <row r="812" ht="15.75" hidden="1" customHeight="1">
      <c r="A812" s="9">
        <v>7266538.0</v>
      </c>
      <c r="B812" s="2" t="s">
        <v>4343</v>
      </c>
      <c r="C812" s="2" t="s">
        <v>4344</v>
      </c>
      <c r="D812" s="2" t="s">
        <v>4345</v>
      </c>
      <c r="E812" s="10" t="s">
        <v>4346</v>
      </c>
      <c r="F812" s="2" t="s">
        <v>1462</v>
      </c>
      <c r="G812" s="2"/>
      <c r="H812" s="2"/>
      <c r="I812" s="2" t="s">
        <v>4344</v>
      </c>
    </row>
    <row r="813" ht="15.75" hidden="1" customHeight="1">
      <c r="A813" s="9">
        <v>7266539.0</v>
      </c>
      <c r="B813" s="2" t="s">
        <v>4348</v>
      </c>
      <c r="C813" s="2" t="s">
        <v>4350</v>
      </c>
      <c r="D813" s="2" t="s">
        <v>4351</v>
      </c>
      <c r="E813" s="10" t="s">
        <v>4352</v>
      </c>
      <c r="F813" s="2" t="s">
        <v>1462</v>
      </c>
      <c r="G813" s="2"/>
      <c r="H813" s="2"/>
      <c r="I813" s="2" t="s">
        <v>4350</v>
      </c>
    </row>
    <row r="814" ht="15.75" hidden="1" customHeight="1">
      <c r="A814" s="9">
        <v>7266540.0</v>
      </c>
      <c r="B814" s="2" t="s">
        <v>4353</v>
      </c>
      <c r="C814" s="2" t="s">
        <v>4355</v>
      </c>
      <c r="D814" s="2" t="s">
        <v>4356</v>
      </c>
      <c r="E814" s="10" t="s">
        <v>4357</v>
      </c>
      <c r="F814" s="2" t="s">
        <v>1462</v>
      </c>
      <c r="G814" s="2"/>
      <c r="H814" s="2"/>
      <c r="I814" s="2" t="s">
        <v>4355</v>
      </c>
    </row>
    <row r="815" ht="15.75" hidden="1" customHeight="1">
      <c r="A815" s="9">
        <v>7266541.0</v>
      </c>
      <c r="B815" s="2" t="s">
        <v>4359</v>
      </c>
      <c r="C815" s="2" t="s">
        <v>4360</v>
      </c>
      <c r="D815" s="2" t="s">
        <v>4361</v>
      </c>
      <c r="E815" s="10" t="s">
        <v>4362</v>
      </c>
      <c r="F815" s="2" t="s">
        <v>1462</v>
      </c>
      <c r="G815" s="2"/>
      <c r="H815" s="2"/>
      <c r="I815" s="2" t="s">
        <v>4360</v>
      </c>
    </row>
    <row r="816" ht="15.75" hidden="1" customHeight="1">
      <c r="A816" s="9">
        <v>7266542.0</v>
      </c>
      <c r="B816" s="2" t="s">
        <v>4363</v>
      </c>
      <c r="C816" s="2" t="s">
        <v>4365</v>
      </c>
      <c r="D816" s="2" t="s">
        <v>4366</v>
      </c>
      <c r="E816" s="10" t="s">
        <v>4367</v>
      </c>
      <c r="F816" s="2" t="s">
        <v>1462</v>
      </c>
      <c r="G816" s="2"/>
      <c r="H816" s="2"/>
      <c r="I816" s="2" t="s">
        <v>4365</v>
      </c>
    </row>
    <row r="817" ht="15.75" hidden="1" customHeight="1">
      <c r="A817" s="9">
        <v>7266543.0</v>
      </c>
      <c r="B817" s="2" t="s">
        <v>4369</v>
      </c>
      <c r="C817" s="2" t="s">
        <v>4371</v>
      </c>
      <c r="D817" s="2" t="s">
        <v>1446</v>
      </c>
      <c r="E817" s="10" t="s">
        <v>1454</v>
      </c>
      <c r="F817" s="2" t="s">
        <v>1462</v>
      </c>
      <c r="G817" s="2"/>
      <c r="H817" s="2"/>
      <c r="I817" s="2" t="s">
        <v>4371</v>
      </c>
    </row>
    <row r="818" ht="15.75" hidden="1" customHeight="1">
      <c r="A818" s="9">
        <v>7266544.0</v>
      </c>
      <c r="B818" s="2" t="s">
        <v>4374</v>
      </c>
      <c r="C818" s="2" t="s">
        <v>4376</v>
      </c>
      <c r="D818" s="2" t="s">
        <v>4377</v>
      </c>
      <c r="E818" s="10" t="s">
        <v>4378</v>
      </c>
      <c r="F818" s="2" t="s">
        <v>1462</v>
      </c>
      <c r="G818" s="2"/>
      <c r="H818" s="2"/>
      <c r="I818" s="2" t="s">
        <v>4376</v>
      </c>
    </row>
    <row r="819" ht="15.75" hidden="1" customHeight="1">
      <c r="A819" s="9">
        <v>7266545.0</v>
      </c>
      <c r="B819" s="2" t="s">
        <v>4379</v>
      </c>
      <c r="C819" s="2" t="s">
        <v>4380</v>
      </c>
      <c r="D819" s="2" t="s">
        <v>4381</v>
      </c>
      <c r="E819" s="10" t="s">
        <v>4382</v>
      </c>
      <c r="F819" s="2" t="s">
        <v>1462</v>
      </c>
      <c r="G819" s="2"/>
      <c r="H819" s="2"/>
      <c r="I819" s="2" t="s">
        <v>4380</v>
      </c>
    </row>
    <row r="820" ht="15.75" hidden="1" customHeight="1">
      <c r="A820" s="9">
        <v>7266546.0</v>
      </c>
      <c r="B820" s="2" t="s">
        <v>4383</v>
      </c>
      <c r="C820" s="2" t="s">
        <v>4385</v>
      </c>
      <c r="D820" s="2" t="s">
        <v>4386</v>
      </c>
      <c r="E820" s="10" t="s">
        <v>4387</v>
      </c>
      <c r="F820" s="2" t="s">
        <v>1462</v>
      </c>
      <c r="G820" s="2"/>
      <c r="H820" s="2"/>
      <c r="I820" s="2" t="s">
        <v>4385</v>
      </c>
    </row>
    <row r="821" ht="15.75" hidden="1" customHeight="1">
      <c r="A821" s="9">
        <v>7266547.0</v>
      </c>
      <c r="B821" s="2" t="s">
        <v>4389</v>
      </c>
      <c r="C821" s="2" t="s">
        <v>4390</v>
      </c>
      <c r="D821" s="2" t="s">
        <v>4391</v>
      </c>
      <c r="E821" s="10" t="s">
        <v>4393</v>
      </c>
      <c r="F821" s="2" t="s">
        <v>1462</v>
      </c>
      <c r="G821" s="2"/>
      <c r="H821" s="2"/>
      <c r="I821" s="2" t="s">
        <v>4390</v>
      </c>
    </row>
    <row r="822" ht="15.75" hidden="1" customHeight="1">
      <c r="A822" s="9">
        <v>7266548.0</v>
      </c>
      <c r="B822" s="2" t="s">
        <v>4395</v>
      </c>
      <c r="C822" s="2" t="s">
        <v>4396</v>
      </c>
      <c r="D822" s="2" t="s">
        <v>4397</v>
      </c>
      <c r="E822" s="10" t="s">
        <v>4398</v>
      </c>
      <c r="F822" s="2" t="s">
        <v>1462</v>
      </c>
      <c r="G822" s="2"/>
      <c r="H822" s="2"/>
      <c r="I822" s="2" t="s">
        <v>4396</v>
      </c>
    </row>
    <row r="823" ht="15.75" hidden="1" customHeight="1">
      <c r="A823" s="9">
        <v>7266549.0</v>
      </c>
      <c r="B823" s="2" t="s">
        <v>4399</v>
      </c>
      <c r="C823" s="2" t="s">
        <v>4400</v>
      </c>
      <c r="D823" s="2" t="s">
        <v>4401</v>
      </c>
      <c r="E823" s="10" t="s">
        <v>4402</v>
      </c>
      <c r="F823" s="2" t="s">
        <v>1462</v>
      </c>
      <c r="G823" s="2"/>
      <c r="H823" s="2"/>
      <c r="I823" s="2" t="s">
        <v>4400</v>
      </c>
    </row>
    <row r="824" ht="15.75" hidden="1" customHeight="1">
      <c r="A824" s="9">
        <v>7266550.0</v>
      </c>
      <c r="B824" s="2" t="s">
        <v>4404</v>
      </c>
      <c r="C824" s="2" t="s">
        <v>4406</v>
      </c>
      <c r="D824" s="2" t="s">
        <v>4407</v>
      </c>
      <c r="E824" s="10" t="s">
        <v>4408</v>
      </c>
      <c r="F824" s="2" t="s">
        <v>1462</v>
      </c>
      <c r="G824" s="2"/>
      <c r="H824" s="2"/>
      <c r="I824" s="2" t="s">
        <v>4406</v>
      </c>
    </row>
    <row r="825" ht="15.75" hidden="1" customHeight="1">
      <c r="A825" s="9">
        <v>7266551.0</v>
      </c>
      <c r="B825" s="2" t="s">
        <v>4411</v>
      </c>
      <c r="C825" s="2" t="s">
        <v>4412</v>
      </c>
      <c r="D825" s="2" t="s">
        <v>4413</v>
      </c>
      <c r="E825" s="10" t="s">
        <v>4415</v>
      </c>
      <c r="F825" s="2" t="s">
        <v>1462</v>
      </c>
      <c r="G825" s="2"/>
      <c r="H825" s="2"/>
      <c r="I825" s="2" t="s">
        <v>4412</v>
      </c>
    </row>
    <row r="826" ht="15.75" hidden="1" customHeight="1">
      <c r="A826" s="9">
        <v>7266552.0</v>
      </c>
      <c r="B826" s="2" t="s">
        <v>4416</v>
      </c>
      <c r="C826" s="2" t="s">
        <v>4417</v>
      </c>
      <c r="D826" s="2" t="s">
        <v>4418</v>
      </c>
      <c r="E826" s="10" t="s">
        <v>4419</v>
      </c>
      <c r="F826" s="2" t="s">
        <v>1462</v>
      </c>
      <c r="G826" s="2"/>
      <c r="H826" s="2"/>
      <c r="I826" s="2" t="s">
        <v>4417</v>
      </c>
    </row>
    <row r="827" ht="15.75" hidden="1" customHeight="1">
      <c r="A827" s="9">
        <v>7266553.0</v>
      </c>
      <c r="B827" s="2" t="s">
        <v>4420</v>
      </c>
      <c r="C827" s="2" t="s">
        <v>4421</v>
      </c>
      <c r="D827" s="2" t="s">
        <v>4422</v>
      </c>
      <c r="E827" s="10" t="s">
        <v>4423</v>
      </c>
      <c r="F827" s="2" t="s">
        <v>1462</v>
      </c>
      <c r="G827" s="2"/>
      <c r="H827" s="2"/>
      <c r="I827" s="2" t="s">
        <v>4421</v>
      </c>
    </row>
    <row r="828" ht="15.75" hidden="1" customHeight="1">
      <c r="A828" s="9">
        <v>7266554.0</v>
      </c>
      <c r="B828" s="2" t="s">
        <v>4424</v>
      </c>
      <c r="C828" s="2" t="s">
        <v>4427</v>
      </c>
      <c r="D828" s="2" t="s">
        <v>4428</v>
      </c>
      <c r="E828" s="10" t="s">
        <v>4429</v>
      </c>
      <c r="F828" s="2" t="s">
        <v>1462</v>
      </c>
      <c r="G828" s="2"/>
      <c r="H828" s="2"/>
      <c r="I828" s="2" t="s">
        <v>4427</v>
      </c>
    </row>
    <row r="829" ht="15.75" hidden="1" customHeight="1">
      <c r="A829" s="9">
        <v>7266555.0</v>
      </c>
      <c r="B829" s="2" t="s">
        <v>4432</v>
      </c>
      <c r="C829" s="2" t="s">
        <v>4433</v>
      </c>
      <c r="D829" s="2" t="s">
        <v>4434</v>
      </c>
      <c r="E829" s="10" t="s">
        <v>4435</v>
      </c>
      <c r="F829" s="2" t="s">
        <v>617</v>
      </c>
      <c r="G829" s="2"/>
      <c r="H829" s="2"/>
      <c r="I829" s="2" t="s">
        <v>4433</v>
      </c>
    </row>
    <row r="830" ht="15.75" hidden="1" customHeight="1">
      <c r="A830" s="9">
        <v>7266556.0</v>
      </c>
      <c r="B830" s="2" t="s">
        <v>4438</v>
      </c>
      <c r="C830" s="2" t="s">
        <v>4439</v>
      </c>
      <c r="D830" s="2" t="s">
        <v>4440</v>
      </c>
      <c r="E830" s="10" t="s">
        <v>4441</v>
      </c>
      <c r="F830" s="2" t="s">
        <v>617</v>
      </c>
      <c r="G830" s="2"/>
      <c r="H830" s="2"/>
      <c r="I830" s="2" t="s">
        <v>4439</v>
      </c>
    </row>
    <row r="831" ht="15.75" hidden="1" customHeight="1">
      <c r="A831" s="9">
        <v>7266557.0</v>
      </c>
      <c r="B831" s="2" t="s">
        <v>4442</v>
      </c>
      <c r="C831" s="2" t="s">
        <v>4443</v>
      </c>
      <c r="D831" s="2" t="s">
        <v>4444</v>
      </c>
      <c r="E831" s="10" t="s">
        <v>4445</v>
      </c>
      <c r="F831" s="2" t="s">
        <v>617</v>
      </c>
      <c r="G831" s="2"/>
      <c r="H831" s="2"/>
      <c r="I831" s="2" t="s">
        <v>4443</v>
      </c>
    </row>
    <row r="832" ht="15.75" hidden="1" customHeight="1">
      <c r="A832" s="9">
        <v>7266558.0</v>
      </c>
      <c r="B832" s="2" t="s">
        <v>4446</v>
      </c>
      <c r="C832" s="2" t="s">
        <v>4447</v>
      </c>
      <c r="D832" s="2" t="s">
        <v>3978</v>
      </c>
      <c r="E832" s="10" t="s">
        <v>3982</v>
      </c>
      <c r="F832" s="2" t="s">
        <v>617</v>
      </c>
      <c r="G832" s="2"/>
      <c r="H832" s="2"/>
      <c r="I832" s="2" t="s">
        <v>4447</v>
      </c>
    </row>
    <row r="833" ht="15.75" hidden="1" customHeight="1">
      <c r="A833" s="9">
        <v>7266559.0</v>
      </c>
      <c r="B833" s="2" t="s">
        <v>4448</v>
      </c>
      <c r="C833" s="2" t="s">
        <v>4449</v>
      </c>
      <c r="D833" s="2" t="s">
        <v>4450</v>
      </c>
      <c r="E833" s="10" t="s">
        <v>4451</v>
      </c>
      <c r="F833" s="2" t="s">
        <v>617</v>
      </c>
      <c r="G833" s="2"/>
      <c r="H833" s="2"/>
      <c r="I833" s="2" t="s">
        <v>4449</v>
      </c>
    </row>
    <row r="834" ht="15.75" hidden="1" customHeight="1">
      <c r="A834" s="9">
        <v>7266560.0</v>
      </c>
      <c r="B834" s="2" t="s">
        <v>4453</v>
      </c>
      <c r="C834" s="2" t="s">
        <v>4454</v>
      </c>
      <c r="D834" s="2" t="s">
        <v>4455</v>
      </c>
      <c r="E834" s="10" t="s">
        <v>4456</v>
      </c>
      <c r="F834" s="2" t="s">
        <v>617</v>
      </c>
      <c r="G834" s="2"/>
      <c r="H834" s="2"/>
      <c r="I834" s="2" t="s">
        <v>4454</v>
      </c>
    </row>
    <row r="835" ht="15.75" hidden="1" customHeight="1">
      <c r="A835" s="9">
        <v>7266561.0</v>
      </c>
      <c r="B835" s="2" t="s">
        <v>4457</v>
      </c>
      <c r="C835" s="2" t="s">
        <v>4458</v>
      </c>
      <c r="D835" s="2" t="s">
        <v>4459</v>
      </c>
      <c r="E835" s="10" t="s">
        <v>4460</v>
      </c>
      <c r="F835" s="2" t="s">
        <v>617</v>
      </c>
      <c r="G835" s="2"/>
      <c r="H835" s="2"/>
      <c r="I835" s="2" t="s">
        <v>4458</v>
      </c>
    </row>
    <row r="836" ht="15.75" hidden="1" customHeight="1">
      <c r="A836" s="9">
        <v>7266562.0</v>
      </c>
      <c r="B836" s="2" t="s">
        <v>4461</v>
      </c>
      <c r="C836" s="2" t="s">
        <v>4462</v>
      </c>
      <c r="D836" s="2" t="s">
        <v>4463</v>
      </c>
      <c r="E836" s="10" t="s">
        <v>4464</v>
      </c>
      <c r="F836" s="2" t="s">
        <v>617</v>
      </c>
      <c r="G836" s="2"/>
      <c r="H836" s="2"/>
      <c r="I836" s="2" t="s">
        <v>4462</v>
      </c>
    </row>
    <row r="837" ht="15.75" hidden="1" customHeight="1">
      <c r="A837" s="9">
        <v>7266563.0</v>
      </c>
      <c r="B837" s="2" t="s">
        <v>4466</v>
      </c>
      <c r="C837" s="2" t="s">
        <v>4467</v>
      </c>
      <c r="D837" s="2" t="s">
        <v>3011</v>
      </c>
      <c r="E837" s="10" t="s">
        <v>3016</v>
      </c>
      <c r="F837" s="2" t="s">
        <v>617</v>
      </c>
      <c r="G837" s="2"/>
      <c r="H837" s="2"/>
      <c r="I837" s="2" t="s">
        <v>4467</v>
      </c>
    </row>
    <row r="838" ht="15.75" hidden="1" customHeight="1">
      <c r="A838" s="9">
        <v>7266564.0</v>
      </c>
      <c r="B838" s="2" t="s">
        <v>4469</v>
      </c>
      <c r="C838" s="2" t="s">
        <v>4470</v>
      </c>
      <c r="D838" s="2" t="s">
        <v>4471</v>
      </c>
      <c r="E838" s="10" t="s">
        <v>4473</v>
      </c>
      <c r="F838" s="2" t="s">
        <v>617</v>
      </c>
      <c r="G838" s="2"/>
      <c r="H838" s="2"/>
      <c r="I838" s="2" t="s">
        <v>4470</v>
      </c>
    </row>
    <row r="839" ht="15.75" hidden="1" customHeight="1">
      <c r="A839" s="9">
        <v>7266565.0</v>
      </c>
      <c r="B839" s="2" t="s">
        <v>4475</v>
      </c>
      <c r="C839" s="2" t="s">
        <v>4476</v>
      </c>
      <c r="D839" s="2" t="s">
        <v>4478</v>
      </c>
      <c r="E839" s="10" t="s">
        <v>4479</v>
      </c>
      <c r="F839" s="2" t="s">
        <v>617</v>
      </c>
      <c r="G839" s="2"/>
      <c r="H839" s="2"/>
      <c r="I839" s="2" t="s">
        <v>4476</v>
      </c>
    </row>
    <row r="840" ht="15.75" hidden="1" customHeight="1">
      <c r="A840" s="9">
        <v>7266566.0</v>
      </c>
      <c r="B840" s="2" t="s">
        <v>4480</v>
      </c>
      <c r="C840" s="2" t="s">
        <v>4481</v>
      </c>
      <c r="D840" s="2" t="s">
        <v>4482</v>
      </c>
      <c r="E840" s="10" t="s">
        <v>4483</v>
      </c>
      <c r="F840" s="2" t="s">
        <v>617</v>
      </c>
      <c r="G840" s="2"/>
      <c r="H840" s="2"/>
      <c r="I840" s="2" t="s">
        <v>4481</v>
      </c>
    </row>
    <row r="841" ht="15.75" hidden="1" customHeight="1">
      <c r="A841" s="9">
        <v>7266568.0</v>
      </c>
      <c r="B841" s="2" t="s">
        <v>4485</v>
      </c>
      <c r="C841" s="2" t="s">
        <v>4486</v>
      </c>
      <c r="D841" s="2" t="s">
        <v>4487</v>
      </c>
      <c r="E841" s="10" t="s">
        <v>4488</v>
      </c>
      <c r="F841" s="2" t="s">
        <v>617</v>
      </c>
      <c r="G841" s="2"/>
      <c r="H841" s="2"/>
      <c r="I841" s="2" t="s">
        <v>4486</v>
      </c>
    </row>
    <row r="842" ht="15.75" hidden="1" customHeight="1">
      <c r="A842" s="9">
        <v>7266569.0</v>
      </c>
      <c r="B842" s="2" t="s">
        <v>4490</v>
      </c>
      <c r="C842" s="2" t="s">
        <v>4491</v>
      </c>
      <c r="D842" s="2" t="s">
        <v>4493</v>
      </c>
      <c r="E842" s="10" t="s">
        <v>4494</v>
      </c>
      <c r="F842" s="2" t="s">
        <v>617</v>
      </c>
      <c r="G842" s="2"/>
      <c r="H842" s="2"/>
      <c r="I842" s="2" t="s">
        <v>4491</v>
      </c>
    </row>
    <row r="843" ht="15.75" hidden="1" customHeight="1">
      <c r="A843" s="9">
        <v>7266570.0</v>
      </c>
      <c r="B843" s="2" t="s">
        <v>4495</v>
      </c>
      <c r="C843" s="2" t="s">
        <v>4496</v>
      </c>
      <c r="D843" s="2" t="s">
        <v>4497</v>
      </c>
      <c r="E843" s="10" t="s">
        <v>4498</v>
      </c>
      <c r="F843" s="2" t="s">
        <v>617</v>
      </c>
      <c r="G843" s="2"/>
      <c r="H843" s="2"/>
      <c r="I843" s="2" t="s">
        <v>4496</v>
      </c>
    </row>
    <row r="844" ht="15.75" hidden="1" customHeight="1">
      <c r="A844" s="9">
        <v>7266571.0</v>
      </c>
      <c r="B844" s="2" t="s">
        <v>4499</v>
      </c>
      <c r="C844" s="2" t="s">
        <v>4500</v>
      </c>
      <c r="D844" s="2" t="s">
        <v>4501</v>
      </c>
      <c r="E844" s="10" t="s">
        <v>4502</v>
      </c>
      <c r="F844" s="2" t="s">
        <v>617</v>
      </c>
      <c r="G844" s="2"/>
      <c r="H844" s="2"/>
      <c r="I844" s="2" t="s">
        <v>4500</v>
      </c>
    </row>
    <row r="845" ht="15.75" hidden="1" customHeight="1">
      <c r="A845" s="9">
        <v>7266572.0</v>
      </c>
      <c r="B845" s="2" t="s">
        <v>4503</v>
      </c>
      <c r="C845" s="2" t="s">
        <v>4504</v>
      </c>
      <c r="D845" s="2" t="s">
        <v>4505</v>
      </c>
      <c r="E845" s="10" t="s">
        <v>4506</v>
      </c>
      <c r="F845" s="2" t="s">
        <v>617</v>
      </c>
      <c r="G845" s="2"/>
      <c r="H845" s="2"/>
      <c r="I845" s="2" t="s">
        <v>4504</v>
      </c>
    </row>
    <row r="846" ht="15.75" hidden="1" customHeight="1">
      <c r="A846" s="9">
        <v>7266573.0</v>
      </c>
      <c r="B846" s="2" t="s">
        <v>4508</v>
      </c>
      <c r="C846" s="2" t="s">
        <v>4509</v>
      </c>
      <c r="D846" s="2" t="s">
        <v>4511</v>
      </c>
      <c r="E846" s="10" t="s">
        <v>606</v>
      </c>
      <c r="F846" s="2" t="s">
        <v>617</v>
      </c>
      <c r="G846" s="2"/>
      <c r="H846" s="2"/>
      <c r="I846" s="2" t="s">
        <v>4509</v>
      </c>
    </row>
    <row r="847" ht="15.75" hidden="1" customHeight="1">
      <c r="A847" s="9">
        <v>7266574.0</v>
      </c>
      <c r="B847" s="2" t="s">
        <v>4512</v>
      </c>
      <c r="C847" s="2" t="s">
        <v>4514</v>
      </c>
      <c r="D847" s="2" t="s">
        <v>4515</v>
      </c>
      <c r="E847" s="10" t="s">
        <v>4516</v>
      </c>
      <c r="F847" s="2" t="s">
        <v>617</v>
      </c>
      <c r="G847" s="2"/>
      <c r="H847" s="2"/>
      <c r="I847" s="2" t="s">
        <v>4514</v>
      </c>
    </row>
    <row r="848" ht="15.75" hidden="1" customHeight="1">
      <c r="A848" s="9">
        <v>7266575.0</v>
      </c>
      <c r="B848" s="2" t="s">
        <v>4517</v>
      </c>
      <c r="C848" s="2" t="s">
        <v>4518</v>
      </c>
      <c r="D848" s="2" t="s">
        <v>4519</v>
      </c>
      <c r="E848" s="10" t="s">
        <v>4520</v>
      </c>
      <c r="F848" s="2" t="s">
        <v>617</v>
      </c>
      <c r="G848" s="2"/>
      <c r="H848" s="2"/>
      <c r="I848" s="2" t="s">
        <v>4518</v>
      </c>
    </row>
    <row r="849" ht="15.75" hidden="1" customHeight="1">
      <c r="A849" s="9">
        <v>7266576.0</v>
      </c>
      <c r="B849" s="2" t="s">
        <v>4522</v>
      </c>
      <c r="C849" s="2" t="s">
        <v>4523</v>
      </c>
      <c r="D849" s="2" t="s">
        <v>4524</v>
      </c>
      <c r="E849" s="10" t="s">
        <v>4525</v>
      </c>
      <c r="F849" s="2" t="s">
        <v>617</v>
      </c>
      <c r="G849" s="2"/>
      <c r="H849" s="2"/>
      <c r="I849" s="2" t="s">
        <v>4523</v>
      </c>
    </row>
    <row r="850" ht="15.75" hidden="1" customHeight="1">
      <c r="A850" s="9">
        <v>7266577.0</v>
      </c>
      <c r="B850" s="2" t="s">
        <v>4528</v>
      </c>
      <c r="C850" s="2" t="s">
        <v>4529</v>
      </c>
      <c r="D850" s="2" t="s">
        <v>4530</v>
      </c>
      <c r="E850" s="10" t="s">
        <v>4532</v>
      </c>
      <c r="F850" s="2" t="s">
        <v>617</v>
      </c>
      <c r="G850" s="2"/>
      <c r="H850" s="2"/>
      <c r="I850" s="2" t="s">
        <v>4529</v>
      </c>
    </row>
    <row r="851" ht="15.75" hidden="1" customHeight="1">
      <c r="A851" s="9">
        <v>7266578.0</v>
      </c>
      <c r="B851" s="2" t="s">
        <v>4533</v>
      </c>
      <c r="C851" s="2" t="s">
        <v>4534</v>
      </c>
      <c r="D851" s="2" t="s">
        <v>4535</v>
      </c>
      <c r="E851" s="10" t="s">
        <v>4536</v>
      </c>
      <c r="F851" s="2" t="s">
        <v>238</v>
      </c>
      <c r="G851" s="2"/>
      <c r="H851" s="2"/>
      <c r="I851" s="2" t="s">
        <v>4534</v>
      </c>
    </row>
    <row r="852" ht="15.75" hidden="1" customHeight="1">
      <c r="A852" s="9">
        <v>7266579.0</v>
      </c>
      <c r="B852" s="2" t="s">
        <v>4537</v>
      </c>
      <c r="C852" s="2" t="s">
        <v>4538</v>
      </c>
      <c r="D852" s="2" t="s">
        <v>3432</v>
      </c>
      <c r="E852" s="10" t="s">
        <v>3435</v>
      </c>
      <c r="F852" s="2" t="s">
        <v>238</v>
      </c>
      <c r="G852" s="2"/>
      <c r="H852" s="2"/>
      <c r="I852" s="2" t="s">
        <v>4538</v>
      </c>
    </row>
    <row r="853" ht="15.75" hidden="1" customHeight="1">
      <c r="A853" s="9">
        <v>7266580.0</v>
      </c>
      <c r="B853" s="2" t="s">
        <v>4540</v>
      </c>
      <c r="C853" s="2" t="s">
        <v>4542</v>
      </c>
      <c r="D853" s="2" t="s">
        <v>3933</v>
      </c>
      <c r="E853" s="10" t="s">
        <v>3938</v>
      </c>
      <c r="F853" s="2" t="s">
        <v>238</v>
      </c>
      <c r="G853" s="2"/>
      <c r="H853" s="2"/>
      <c r="I853" s="2" t="s">
        <v>4542</v>
      </c>
    </row>
    <row r="854" ht="15.75" hidden="1" customHeight="1">
      <c r="A854" s="9">
        <v>7266581.0</v>
      </c>
      <c r="B854" s="2" t="s">
        <v>4544</v>
      </c>
      <c r="C854" s="2" t="s">
        <v>4545</v>
      </c>
      <c r="D854" s="2" t="s">
        <v>4546</v>
      </c>
      <c r="E854" s="10" t="s">
        <v>4548</v>
      </c>
      <c r="F854" s="2" t="s">
        <v>238</v>
      </c>
      <c r="G854" s="2"/>
      <c r="H854" s="2"/>
      <c r="I854" s="2" t="s">
        <v>4545</v>
      </c>
    </row>
    <row r="855" ht="15.75" hidden="1" customHeight="1">
      <c r="A855" s="9">
        <v>7266582.0</v>
      </c>
      <c r="B855" s="2" t="s">
        <v>4549</v>
      </c>
      <c r="C855" s="2" t="s">
        <v>4550</v>
      </c>
      <c r="D855" s="2" t="s">
        <v>4551</v>
      </c>
      <c r="E855" s="10" t="s">
        <v>4552</v>
      </c>
      <c r="F855" s="2" t="s">
        <v>238</v>
      </c>
      <c r="G855" s="2"/>
      <c r="H855" s="2"/>
      <c r="I855" s="2" t="s">
        <v>4550</v>
      </c>
    </row>
    <row r="856" ht="15.75" hidden="1" customHeight="1">
      <c r="A856" s="9">
        <v>7266583.0</v>
      </c>
      <c r="B856" s="2" t="s">
        <v>4553</v>
      </c>
      <c r="C856" s="2" t="s">
        <v>4554</v>
      </c>
      <c r="D856" s="2" t="s">
        <v>4555</v>
      </c>
      <c r="E856" s="10" t="s">
        <v>4556</v>
      </c>
      <c r="F856" s="2" t="s">
        <v>238</v>
      </c>
      <c r="G856" s="2"/>
      <c r="H856" s="2"/>
      <c r="I856" s="2" t="s">
        <v>4554</v>
      </c>
    </row>
    <row r="857" ht="15.75" hidden="1" customHeight="1">
      <c r="A857" s="9">
        <v>7266584.0</v>
      </c>
      <c r="B857" s="2" t="s">
        <v>4559</v>
      </c>
      <c r="C857" s="2" t="s">
        <v>4560</v>
      </c>
      <c r="D857" s="2" t="s">
        <v>4561</v>
      </c>
      <c r="E857" s="10" t="s">
        <v>4563</v>
      </c>
      <c r="F857" s="2" t="s">
        <v>238</v>
      </c>
      <c r="G857" s="2"/>
      <c r="H857" s="2"/>
      <c r="I857" s="2" t="s">
        <v>4560</v>
      </c>
    </row>
    <row r="858" ht="15.75" hidden="1" customHeight="1">
      <c r="A858" s="9">
        <v>7266585.0</v>
      </c>
      <c r="B858" s="2" t="s">
        <v>4565</v>
      </c>
      <c r="C858" s="2" t="s">
        <v>4566</v>
      </c>
      <c r="D858" s="2" t="s">
        <v>4567</v>
      </c>
      <c r="E858" s="10" t="s">
        <v>4568</v>
      </c>
      <c r="F858" s="2" t="s">
        <v>238</v>
      </c>
      <c r="G858" s="2"/>
      <c r="H858" s="2"/>
      <c r="I858" s="2" t="s">
        <v>4566</v>
      </c>
    </row>
    <row r="859" ht="15.75" hidden="1" customHeight="1">
      <c r="A859" s="9">
        <v>7266586.0</v>
      </c>
      <c r="B859" s="2" t="s">
        <v>4569</v>
      </c>
      <c r="C859" s="2" t="s">
        <v>4570</v>
      </c>
      <c r="D859" s="2" t="s">
        <v>4571</v>
      </c>
      <c r="E859" s="10" t="s">
        <v>4572</v>
      </c>
      <c r="F859" s="2" t="s">
        <v>238</v>
      </c>
      <c r="G859" s="2"/>
      <c r="H859" s="2"/>
      <c r="I859" s="2" t="s">
        <v>4570</v>
      </c>
    </row>
    <row r="860" ht="15.75" hidden="1" customHeight="1">
      <c r="A860" s="9">
        <v>7266587.0</v>
      </c>
      <c r="B860" s="2" t="s">
        <v>4573</v>
      </c>
      <c r="C860" s="2" t="s">
        <v>4574</v>
      </c>
      <c r="D860" s="2" t="s">
        <v>4575</v>
      </c>
      <c r="E860" s="10" t="s">
        <v>4576</v>
      </c>
      <c r="F860" s="2" t="s">
        <v>238</v>
      </c>
      <c r="G860" s="2"/>
      <c r="H860" s="2"/>
      <c r="I860" s="2" t="s">
        <v>4574</v>
      </c>
    </row>
    <row r="861" ht="15.75" hidden="1" customHeight="1">
      <c r="A861" s="9">
        <v>7266588.0</v>
      </c>
      <c r="B861" s="2" t="s">
        <v>4577</v>
      </c>
      <c r="C861" s="2" t="s">
        <v>4579</v>
      </c>
      <c r="D861" s="2" t="s">
        <v>4581</v>
      </c>
      <c r="E861" s="10" t="s">
        <v>4582</v>
      </c>
      <c r="F861" s="2" t="s">
        <v>238</v>
      </c>
      <c r="G861" s="2"/>
      <c r="H861" s="2"/>
      <c r="I861" s="2" t="s">
        <v>4579</v>
      </c>
    </row>
    <row r="862" ht="15.75" hidden="1" customHeight="1">
      <c r="A862" s="9">
        <v>7266589.0</v>
      </c>
      <c r="B862" s="2" t="s">
        <v>4583</v>
      </c>
      <c r="C862" s="2" t="s">
        <v>4584</v>
      </c>
      <c r="D862" s="2" t="s">
        <v>4585</v>
      </c>
      <c r="E862" s="10" t="s">
        <v>4586</v>
      </c>
      <c r="F862" s="2" t="s">
        <v>238</v>
      </c>
      <c r="G862" s="2"/>
      <c r="H862" s="2"/>
      <c r="I862" s="2" t="s">
        <v>4584</v>
      </c>
    </row>
    <row r="863" ht="15.75" hidden="1" customHeight="1">
      <c r="A863" s="9">
        <v>7266590.0</v>
      </c>
      <c r="B863" s="2" t="s">
        <v>4587</v>
      </c>
      <c r="C863" s="2" t="s">
        <v>4588</v>
      </c>
      <c r="D863" s="2" t="s">
        <v>4589</v>
      </c>
      <c r="E863" s="10" t="s">
        <v>4590</v>
      </c>
      <c r="F863" s="2" t="s">
        <v>238</v>
      </c>
      <c r="G863" s="2"/>
      <c r="H863" s="2"/>
      <c r="I863" s="2" t="s">
        <v>4588</v>
      </c>
    </row>
    <row r="864" ht="15.75" hidden="1" customHeight="1">
      <c r="A864" s="9">
        <v>7266591.0</v>
      </c>
      <c r="B864" s="2" t="s">
        <v>4591</v>
      </c>
      <c r="C864" s="2" t="s">
        <v>4592</v>
      </c>
      <c r="D864" s="2" t="s">
        <v>4593</v>
      </c>
      <c r="E864" s="10" t="s">
        <v>4595</v>
      </c>
      <c r="F864" s="2" t="s">
        <v>238</v>
      </c>
      <c r="G864" s="2"/>
      <c r="H864" s="2"/>
      <c r="I864" s="2" t="s">
        <v>4592</v>
      </c>
    </row>
    <row r="865" ht="15.75" hidden="1" customHeight="1">
      <c r="A865" s="9">
        <v>7266592.0</v>
      </c>
      <c r="B865" s="2" t="s">
        <v>4596</v>
      </c>
      <c r="C865" s="2" t="s">
        <v>4597</v>
      </c>
      <c r="D865" s="2" t="s">
        <v>4598</v>
      </c>
      <c r="E865" s="10" t="s">
        <v>4599</v>
      </c>
      <c r="F865" s="2" t="s">
        <v>238</v>
      </c>
      <c r="G865" s="2"/>
      <c r="H865" s="2"/>
      <c r="I865" s="2" t="s">
        <v>4597</v>
      </c>
    </row>
    <row r="866" ht="15.75" hidden="1" customHeight="1">
      <c r="A866" s="9">
        <v>7266593.0</v>
      </c>
      <c r="B866" s="2" t="s">
        <v>4601</v>
      </c>
      <c r="C866" s="2" t="s">
        <v>4602</v>
      </c>
      <c r="D866" s="2" t="s">
        <v>4603</v>
      </c>
      <c r="E866" s="10" t="s">
        <v>4604</v>
      </c>
      <c r="F866" s="2" t="s">
        <v>238</v>
      </c>
      <c r="G866" s="2"/>
      <c r="H866" s="2"/>
      <c r="I866" s="2" t="s">
        <v>4602</v>
      </c>
    </row>
    <row r="867" ht="15.75" hidden="1" customHeight="1">
      <c r="A867" s="9">
        <v>7266594.0</v>
      </c>
      <c r="B867" s="2" t="s">
        <v>4605</v>
      </c>
      <c r="C867" s="2" t="s">
        <v>4606</v>
      </c>
      <c r="D867" s="2" t="s">
        <v>4607</v>
      </c>
      <c r="E867" s="10" t="s">
        <v>4608</v>
      </c>
      <c r="F867" s="2" t="s">
        <v>238</v>
      </c>
      <c r="G867" s="2"/>
      <c r="H867" s="2"/>
      <c r="I867" s="2" t="s">
        <v>4606</v>
      </c>
    </row>
    <row r="868" ht="15.75" hidden="1" customHeight="1">
      <c r="A868" s="9">
        <v>7266595.0</v>
      </c>
      <c r="B868" s="2" t="s">
        <v>4609</v>
      </c>
      <c r="C868" s="2" t="s">
        <v>4610</v>
      </c>
      <c r="D868" s="2" t="s">
        <v>4611</v>
      </c>
      <c r="E868" s="10" t="s">
        <v>4612</v>
      </c>
      <c r="F868" s="2" t="s">
        <v>238</v>
      </c>
      <c r="G868" s="2"/>
      <c r="H868" s="2"/>
      <c r="I868" s="2" t="s">
        <v>4610</v>
      </c>
    </row>
    <row r="869" ht="15.75" hidden="1" customHeight="1">
      <c r="A869" s="9">
        <v>7266596.0</v>
      </c>
      <c r="B869" s="2" t="s">
        <v>4615</v>
      </c>
      <c r="C869" s="2" t="s">
        <v>4616</v>
      </c>
      <c r="D869" s="2" t="s">
        <v>1767</v>
      </c>
      <c r="E869" s="10" t="s">
        <v>1774</v>
      </c>
      <c r="F869" s="2" t="s">
        <v>238</v>
      </c>
      <c r="G869" s="2"/>
      <c r="H869" s="2"/>
      <c r="I869" s="2" t="s">
        <v>4616</v>
      </c>
    </row>
    <row r="870" ht="15.75" hidden="1" customHeight="1">
      <c r="A870" s="9">
        <v>7266597.0</v>
      </c>
      <c r="B870" s="2" t="s">
        <v>4618</v>
      </c>
      <c r="C870" s="2" t="s">
        <v>4619</v>
      </c>
      <c r="D870" s="2" t="s">
        <v>4620</v>
      </c>
      <c r="E870" s="10" t="s">
        <v>4621</v>
      </c>
      <c r="F870" s="2" t="s">
        <v>238</v>
      </c>
      <c r="G870" s="2"/>
      <c r="H870" s="2"/>
      <c r="I870" s="2" t="s">
        <v>4619</v>
      </c>
    </row>
    <row r="871" ht="15.75" hidden="1" customHeight="1">
      <c r="A871" s="9">
        <v>7266598.0</v>
      </c>
      <c r="B871" s="2" t="s">
        <v>4622</v>
      </c>
      <c r="C871" s="2" t="s">
        <v>4623</v>
      </c>
      <c r="D871" s="2" t="s">
        <v>4624</v>
      </c>
      <c r="E871" s="10" t="s">
        <v>4625</v>
      </c>
      <c r="F871" s="2" t="s">
        <v>238</v>
      </c>
      <c r="G871" s="2"/>
      <c r="H871" s="2"/>
      <c r="I871" s="2" t="s">
        <v>4623</v>
      </c>
    </row>
    <row r="872" ht="15.75" hidden="1" customHeight="1">
      <c r="A872" s="9">
        <v>7266599.0</v>
      </c>
      <c r="B872" s="2" t="s">
        <v>4626</v>
      </c>
      <c r="C872" s="2" t="s">
        <v>4627</v>
      </c>
      <c r="D872" s="2" t="s">
        <v>4628</v>
      </c>
      <c r="E872" s="10" t="s">
        <v>4630</v>
      </c>
      <c r="F872" s="2" t="s">
        <v>238</v>
      </c>
      <c r="G872" s="2"/>
      <c r="H872" s="2"/>
      <c r="I872" s="2" t="s">
        <v>4627</v>
      </c>
    </row>
    <row r="873" ht="15.75" hidden="1" customHeight="1">
      <c r="A873" s="9">
        <v>7266600.0</v>
      </c>
      <c r="B873" s="2" t="s">
        <v>4632</v>
      </c>
      <c r="C873" s="2" t="s">
        <v>4633</v>
      </c>
      <c r="D873" s="2" t="s">
        <v>4634</v>
      </c>
      <c r="E873" s="10" t="s">
        <v>4636</v>
      </c>
      <c r="F873" s="2" t="s">
        <v>238</v>
      </c>
      <c r="G873" s="2"/>
      <c r="H873" s="2"/>
      <c r="I873" s="2" t="s">
        <v>4633</v>
      </c>
    </row>
    <row r="874" ht="15.75" hidden="1" customHeight="1">
      <c r="A874" s="9">
        <v>7266601.0</v>
      </c>
      <c r="B874" s="2" t="s">
        <v>4638</v>
      </c>
      <c r="C874" s="2" t="s">
        <v>4639</v>
      </c>
      <c r="D874" s="2" t="s">
        <v>3656</v>
      </c>
      <c r="E874" s="10" t="s">
        <v>3660</v>
      </c>
      <c r="F874" s="2" t="s">
        <v>238</v>
      </c>
      <c r="G874" s="2"/>
      <c r="H874" s="2"/>
      <c r="I874" s="2" t="s">
        <v>4639</v>
      </c>
    </row>
    <row r="875" ht="15.75" hidden="1" customHeight="1">
      <c r="A875" s="9">
        <v>7266602.0</v>
      </c>
      <c r="B875" s="2" t="s">
        <v>4640</v>
      </c>
      <c r="C875" s="2" t="s">
        <v>4641</v>
      </c>
      <c r="D875" s="2" t="s">
        <v>4642</v>
      </c>
      <c r="E875" s="10" t="s">
        <v>4643</v>
      </c>
      <c r="F875" s="2" t="s">
        <v>238</v>
      </c>
      <c r="G875" s="2"/>
      <c r="H875" s="2"/>
      <c r="I875" s="2" t="s">
        <v>4641</v>
      </c>
    </row>
    <row r="876" ht="15.75" hidden="1" customHeight="1">
      <c r="A876" s="9">
        <v>7266603.0</v>
      </c>
      <c r="B876" s="2" t="s">
        <v>4644</v>
      </c>
      <c r="C876" s="2" t="s">
        <v>4645</v>
      </c>
      <c r="D876" s="2" t="s">
        <v>4646</v>
      </c>
      <c r="E876" s="10" t="s">
        <v>4647</v>
      </c>
      <c r="F876" s="2" t="s">
        <v>238</v>
      </c>
      <c r="G876" s="2"/>
      <c r="H876" s="2"/>
      <c r="I876" s="2" t="s">
        <v>4645</v>
      </c>
    </row>
    <row r="877" ht="15.75" hidden="1" customHeight="1">
      <c r="A877" s="9">
        <v>7266604.0</v>
      </c>
      <c r="B877" s="2" t="s">
        <v>4650</v>
      </c>
      <c r="C877" s="2" t="s">
        <v>4651</v>
      </c>
      <c r="D877" s="2" t="s">
        <v>4652</v>
      </c>
      <c r="E877" s="10" t="s">
        <v>4653</v>
      </c>
      <c r="F877" s="2" t="s">
        <v>238</v>
      </c>
      <c r="G877" s="2"/>
      <c r="H877" s="2"/>
      <c r="I877" s="2" t="s">
        <v>4651</v>
      </c>
    </row>
    <row r="878" ht="15.75" hidden="1" customHeight="1">
      <c r="A878" s="9">
        <v>7266605.0</v>
      </c>
      <c r="B878" s="2" t="s">
        <v>4655</v>
      </c>
      <c r="C878" s="2" t="s">
        <v>4656</v>
      </c>
      <c r="D878" s="2" t="s">
        <v>4657</v>
      </c>
      <c r="E878" s="10" t="s">
        <v>4658</v>
      </c>
      <c r="F878" s="2" t="s">
        <v>506</v>
      </c>
      <c r="G878" s="2"/>
      <c r="H878" s="2"/>
      <c r="I878" s="2" t="s">
        <v>4656</v>
      </c>
    </row>
    <row r="879" ht="15.75" hidden="1" customHeight="1">
      <c r="A879" s="9">
        <v>7266607.0</v>
      </c>
      <c r="B879" s="2" t="s">
        <v>4659</v>
      </c>
      <c r="C879" s="2" t="s">
        <v>4660</v>
      </c>
      <c r="D879" s="2" t="s">
        <v>4661</v>
      </c>
      <c r="E879" s="10" t="s">
        <v>4662</v>
      </c>
      <c r="F879" s="2" t="s">
        <v>506</v>
      </c>
      <c r="G879" s="2"/>
      <c r="H879" s="2"/>
      <c r="I879" s="2" t="s">
        <v>4660</v>
      </c>
    </row>
    <row r="880" ht="15.75" hidden="1" customHeight="1">
      <c r="A880" s="9">
        <v>7266608.0</v>
      </c>
      <c r="B880" s="2" t="s">
        <v>4664</v>
      </c>
      <c r="C880" s="2" t="s">
        <v>4665</v>
      </c>
      <c r="D880" s="2" t="s">
        <v>4666</v>
      </c>
      <c r="E880" s="10" t="s">
        <v>4667</v>
      </c>
      <c r="F880" s="2" t="s">
        <v>506</v>
      </c>
      <c r="G880" s="2"/>
      <c r="H880" s="2"/>
      <c r="I880" s="2" t="s">
        <v>4665</v>
      </c>
    </row>
    <row r="881" ht="15.75" hidden="1" customHeight="1">
      <c r="A881" s="9">
        <v>7266609.0</v>
      </c>
      <c r="B881" s="2" t="s">
        <v>4669</v>
      </c>
      <c r="C881" s="2" t="s">
        <v>4670</v>
      </c>
      <c r="D881" s="2" t="s">
        <v>4671</v>
      </c>
      <c r="E881" s="10" t="s">
        <v>4672</v>
      </c>
      <c r="F881" s="2" t="s">
        <v>506</v>
      </c>
      <c r="G881" s="2"/>
      <c r="H881" s="2"/>
      <c r="I881" s="2" t="s">
        <v>4670</v>
      </c>
    </row>
    <row r="882" ht="15.75" hidden="1" customHeight="1">
      <c r="A882" s="9">
        <v>7266610.0</v>
      </c>
      <c r="B882" s="2" t="s">
        <v>2151</v>
      </c>
      <c r="C882" s="2" t="s">
        <v>4673</v>
      </c>
      <c r="D882" s="2" t="s">
        <v>4674</v>
      </c>
      <c r="E882" s="10" t="s">
        <v>4675</v>
      </c>
      <c r="F882" s="2" t="s">
        <v>506</v>
      </c>
      <c r="G882" s="2"/>
      <c r="H882" s="2"/>
      <c r="I882" s="2" t="s">
        <v>4673</v>
      </c>
    </row>
    <row r="883" ht="15.75" hidden="1" customHeight="1">
      <c r="A883" s="9">
        <v>7266611.0</v>
      </c>
      <c r="B883" s="2" t="s">
        <v>4676</v>
      </c>
      <c r="C883" s="2" t="s">
        <v>4677</v>
      </c>
      <c r="D883" s="2" t="s">
        <v>1163</v>
      </c>
      <c r="E883" s="10" t="s">
        <v>1170</v>
      </c>
      <c r="F883" s="2" t="s">
        <v>506</v>
      </c>
      <c r="G883" s="2"/>
      <c r="H883" s="2"/>
      <c r="I883" s="2" t="s">
        <v>4677</v>
      </c>
    </row>
    <row r="884" ht="15.75" hidden="1" customHeight="1">
      <c r="A884" s="9">
        <v>7266612.0</v>
      </c>
      <c r="B884" s="2" t="s">
        <v>4679</v>
      </c>
      <c r="C884" s="2" t="s">
        <v>4681</v>
      </c>
      <c r="D884" s="2" t="s">
        <v>4682</v>
      </c>
      <c r="E884" s="10" t="s">
        <v>4683</v>
      </c>
      <c r="F884" s="2" t="s">
        <v>506</v>
      </c>
      <c r="G884" s="2"/>
      <c r="H884" s="2"/>
      <c r="I884" s="2" t="s">
        <v>4681</v>
      </c>
    </row>
    <row r="885" ht="15.75" hidden="1" customHeight="1">
      <c r="A885" s="9">
        <v>7266613.0</v>
      </c>
      <c r="B885" s="2" t="s">
        <v>4684</v>
      </c>
      <c r="C885" s="2" t="s">
        <v>4685</v>
      </c>
      <c r="D885" s="2" t="s">
        <v>4686</v>
      </c>
      <c r="E885" s="10" t="s">
        <v>4687</v>
      </c>
      <c r="F885" s="2" t="s">
        <v>506</v>
      </c>
      <c r="G885" s="2"/>
      <c r="H885" s="2"/>
      <c r="I885" s="2" t="s">
        <v>4685</v>
      </c>
    </row>
    <row r="886" ht="15.75" hidden="1" customHeight="1">
      <c r="A886" s="9">
        <v>7266614.0</v>
      </c>
      <c r="B886" s="2" t="s">
        <v>4688</v>
      </c>
      <c r="C886" s="2" t="s">
        <v>4689</v>
      </c>
      <c r="D886" s="2" t="s">
        <v>4690</v>
      </c>
      <c r="E886" s="10" t="s">
        <v>4691</v>
      </c>
      <c r="F886" s="2" t="s">
        <v>506</v>
      </c>
      <c r="G886" s="2"/>
      <c r="H886" s="2"/>
      <c r="I886" s="2" t="s">
        <v>4689</v>
      </c>
    </row>
    <row r="887" ht="15.75" hidden="1" customHeight="1">
      <c r="A887" s="9">
        <v>7266615.0</v>
      </c>
      <c r="B887" s="2" t="s">
        <v>4693</v>
      </c>
      <c r="C887" s="2" t="s">
        <v>4694</v>
      </c>
      <c r="D887" s="2" t="s">
        <v>4695</v>
      </c>
      <c r="E887" s="10" t="s">
        <v>4697</v>
      </c>
      <c r="F887" s="2" t="s">
        <v>506</v>
      </c>
      <c r="G887" s="2"/>
      <c r="H887" s="2"/>
      <c r="I887" s="2" t="s">
        <v>4694</v>
      </c>
    </row>
    <row r="888" ht="15.75" hidden="1" customHeight="1">
      <c r="A888" s="9">
        <v>7266616.0</v>
      </c>
      <c r="B888" s="2" t="s">
        <v>1933</v>
      </c>
      <c r="C888" s="2" t="s">
        <v>4698</v>
      </c>
      <c r="D888" s="2" t="s">
        <v>4699</v>
      </c>
      <c r="E888" s="10" t="s">
        <v>4700</v>
      </c>
      <c r="F888" s="2" t="s">
        <v>506</v>
      </c>
      <c r="G888" s="2"/>
      <c r="H888" s="2"/>
      <c r="I888" s="2" t="s">
        <v>4698</v>
      </c>
    </row>
    <row r="889" ht="15.75" hidden="1" customHeight="1">
      <c r="A889" s="9">
        <v>7266617.0</v>
      </c>
      <c r="B889" s="2" t="s">
        <v>1849</v>
      </c>
      <c r="C889" s="2" t="s">
        <v>4701</v>
      </c>
      <c r="D889" s="2" t="s">
        <v>4702</v>
      </c>
      <c r="E889" s="10" t="s">
        <v>4703</v>
      </c>
      <c r="F889" s="2" t="s">
        <v>506</v>
      </c>
      <c r="G889" s="2"/>
      <c r="H889" s="2"/>
      <c r="I889" s="2" t="s">
        <v>4701</v>
      </c>
    </row>
    <row r="890" ht="15.75" hidden="1" customHeight="1">
      <c r="A890" s="9">
        <v>7266618.0</v>
      </c>
      <c r="B890" s="2" t="s">
        <v>4705</v>
      </c>
      <c r="C890" s="2" t="s">
        <v>4706</v>
      </c>
      <c r="D890" s="2" t="s">
        <v>4707</v>
      </c>
      <c r="E890" s="10" t="s">
        <v>4708</v>
      </c>
      <c r="F890" s="2" t="s">
        <v>506</v>
      </c>
      <c r="G890" s="2"/>
      <c r="H890" s="2"/>
      <c r="I890" s="2" t="s">
        <v>4706</v>
      </c>
    </row>
    <row r="891" ht="15.75" hidden="1" customHeight="1">
      <c r="A891" s="9">
        <v>7266619.0</v>
      </c>
      <c r="B891" s="2" t="s">
        <v>4710</v>
      </c>
      <c r="C891" s="2" t="s">
        <v>4711</v>
      </c>
      <c r="D891" s="2" t="s">
        <v>4712</v>
      </c>
      <c r="E891" s="10" t="s">
        <v>4713</v>
      </c>
      <c r="F891" s="2" t="s">
        <v>506</v>
      </c>
      <c r="G891" s="2"/>
      <c r="H891" s="2"/>
      <c r="I891" s="2" t="s">
        <v>4711</v>
      </c>
    </row>
    <row r="892" ht="15.75" hidden="1" customHeight="1">
      <c r="A892" s="9">
        <v>7266620.0</v>
      </c>
      <c r="B892" s="2" t="s">
        <v>4715</v>
      </c>
      <c r="C892" s="2" t="s">
        <v>4716</v>
      </c>
      <c r="D892" s="2" t="s">
        <v>4717</v>
      </c>
      <c r="E892" s="10" t="s">
        <v>4719</v>
      </c>
      <c r="F892" s="2" t="s">
        <v>506</v>
      </c>
      <c r="G892" s="2"/>
      <c r="H892" s="2"/>
      <c r="I892" s="2" t="s">
        <v>4716</v>
      </c>
    </row>
    <row r="893" ht="15.75" hidden="1" customHeight="1">
      <c r="A893" s="9">
        <v>7266621.0</v>
      </c>
      <c r="B893" s="2" t="s">
        <v>4721</v>
      </c>
      <c r="C893" s="2" t="s">
        <v>4722</v>
      </c>
      <c r="D893" s="2" t="s">
        <v>4723</v>
      </c>
      <c r="E893" s="10" t="s">
        <v>4724</v>
      </c>
      <c r="F893" s="2" t="s">
        <v>506</v>
      </c>
      <c r="G893" s="2"/>
      <c r="H893" s="2"/>
      <c r="I893" s="2" t="s">
        <v>4722</v>
      </c>
    </row>
    <row r="894" ht="15.75" hidden="1" customHeight="1">
      <c r="A894" s="9">
        <v>7266622.0</v>
      </c>
      <c r="B894" s="2" t="s">
        <v>4725</v>
      </c>
      <c r="C894" s="2" t="s">
        <v>4726</v>
      </c>
      <c r="D894" s="2" t="s">
        <v>4727</v>
      </c>
      <c r="E894" s="10" t="s">
        <v>4728</v>
      </c>
      <c r="F894" s="2" t="s">
        <v>506</v>
      </c>
      <c r="G894" s="2"/>
      <c r="H894" s="2"/>
      <c r="I894" s="2" t="s">
        <v>4726</v>
      </c>
    </row>
    <row r="895" ht="15.75" hidden="1" customHeight="1">
      <c r="A895" s="9">
        <v>7266623.0</v>
      </c>
      <c r="B895" s="2" t="s">
        <v>4730</v>
      </c>
      <c r="C895" s="2" t="s">
        <v>4731</v>
      </c>
      <c r="D895" s="2" t="s">
        <v>4733</v>
      </c>
      <c r="E895" s="10" t="s">
        <v>690</v>
      </c>
      <c r="F895" s="2" t="s">
        <v>506</v>
      </c>
      <c r="G895" s="2"/>
      <c r="H895" s="2"/>
      <c r="I895" s="2" t="s">
        <v>4731</v>
      </c>
    </row>
    <row r="896" ht="15.75" hidden="1" customHeight="1">
      <c r="A896" s="9">
        <v>7266624.0</v>
      </c>
      <c r="B896" s="2" t="s">
        <v>4735</v>
      </c>
      <c r="C896" s="2" t="s">
        <v>4737</v>
      </c>
      <c r="D896" s="2" t="s">
        <v>4738</v>
      </c>
      <c r="E896" s="10" t="s">
        <v>4739</v>
      </c>
      <c r="F896" s="2" t="s">
        <v>506</v>
      </c>
      <c r="G896" s="2"/>
      <c r="H896" s="2"/>
      <c r="I896" s="2" t="s">
        <v>4737</v>
      </c>
    </row>
    <row r="897" ht="15.75" hidden="1" customHeight="1">
      <c r="A897" s="9">
        <v>7266625.0</v>
      </c>
      <c r="B897" s="2" t="s">
        <v>4740</v>
      </c>
      <c r="C897" s="2" t="s">
        <v>4741</v>
      </c>
      <c r="D897" s="2" t="s">
        <v>4742</v>
      </c>
      <c r="E897" s="10" t="s">
        <v>4743</v>
      </c>
      <c r="F897" s="2" t="s">
        <v>506</v>
      </c>
      <c r="G897" s="2"/>
      <c r="H897" s="2"/>
      <c r="I897" s="2" t="s">
        <v>4741</v>
      </c>
    </row>
    <row r="898" ht="15.75" hidden="1" customHeight="1">
      <c r="A898" s="9">
        <v>7266626.0</v>
      </c>
      <c r="B898" s="2" t="s">
        <v>4744</v>
      </c>
      <c r="C898" s="2" t="s">
        <v>4745</v>
      </c>
      <c r="D898" s="2" t="s">
        <v>4747</v>
      </c>
      <c r="E898" s="10" t="s">
        <v>4748</v>
      </c>
      <c r="F898" s="2" t="s">
        <v>506</v>
      </c>
      <c r="G898" s="2"/>
      <c r="H898" s="2"/>
      <c r="I898" s="2" t="s">
        <v>4745</v>
      </c>
    </row>
    <row r="899" ht="15.75" hidden="1" customHeight="1">
      <c r="A899" s="9">
        <v>7266627.0</v>
      </c>
      <c r="B899" s="2" t="s">
        <v>4750</v>
      </c>
      <c r="C899" s="2" t="s">
        <v>4751</v>
      </c>
      <c r="D899" s="2" t="s">
        <v>4753</v>
      </c>
      <c r="E899" s="10" t="s">
        <v>4754</v>
      </c>
      <c r="F899" s="2" t="s">
        <v>506</v>
      </c>
      <c r="G899" s="2"/>
      <c r="H899" s="2"/>
      <c r="I899" s="2" t="s">
        <v>4751</v>
      </c>
    </row>
    <row r="900" ht="15.75" hidden="1" customHeight="1">
      <c r="A900" s="9">
        <v>7266628.0</v>
      </c>
      <c r="B900" s="2" t="s">
        <v>4756</v>
      </c>
      <c r="C900" s="2" t="s">
        <v>4757</v>
      </c>
      <c r="D900" s="2" t="s">
        <v>4758</v>
      </c>
      <c r="E900" s="10" t="s">
        <v>4759</v>
      </c>
      <c r="F900" s="2" t="s">
        <v>506</v>
      </c>
      <c r="G900" s="2"/>
      <c r="H900" s="2"/>
      <c r="I900" s="2" t="s">
        <v>4757</v>
      </c>
    </row>
    <row r="901" ht="15.75" hidden="1" customHeight="1">
      <c r="A901" s="9">
        <v>7266629.0</v>
      </c>
      <c r="B901" s="2" t="s">
        <v>4760</v>
      </c>
      <c r="C901" s="2" t="s">
        <v>4761</v>
      </c>
      <c r="D901" s="2" t="s">
        <v>4762</v>
      </c>
      <c r="E901" s="10" t="s">
        <v>4763</v>
      </c>
      <c r="F901" s="2" t="s">
        <v>506</v>
      </c>
      <c r="G901" s="2"/>
      <c r="H901" s="2"/>
      <c r="I901" s="2" t="s">
        <v>4761</v>
      </c>
    </row>
    <row r="902" ht="15.75" hidden="1" customHeight="1">
      <c r="A902" s="9">
        <v>7266630.0</v>
      </c>
      <c r="B902" s="2" t="s">
        <v>4764</v>
      </c>
      <c r="C902" s="2" t="s">
        <v>4765</v>
      </c>
      <c r="D902" s="2" t="s">
        <v>4767</v>
      </c>
      <c r="E902" s="10" t="s">
        <v>4769</v>
      </c>
      <c r="F902" s="2" t="s">
        <v>506</v>
      </c>
      <c r="G902" s="2"/>
      <c r="H902" s="2"/>
      <c r="I902" s="2" t="s">
        <v>4765</v>
      </c>
    </row>
    <row r="903" ht="15.75" hidden="1" customHeight="1">
      <c r="A903" s="9">
        <v>7266631.0</v>
      </c>
      <c r="B903" s="2" t="s">
        <v>4771</v>
      </c>
      <c r="C903" s="2" t="s">
        <v>4772</v>
      </c>
      <c r="D903" s="2" t="s">
        <v>4773</v>
      </c>
      <c r="E903" s="10" t="s">
        <v>4774</v>
      </c>
      <c r="F903" s="2" t="s">
        <v>506</v>
      </c>
      <c r="G903" s="2"/>
      <c r="H903" s="2"/>
      <c r="I903" s="2" t="s">
        <v>4772</v>
      </c>
    </row>
    <row r="904" ht="15.75" hidden="1" customHeight="1">
      <c r="A904" s="9">
        <v>7266632.0</v>
      </c>
      <c r="B904" s="2" t="s">
        <v>4775</v>
      </c>
      <c r="C904" s="2" t="s">
        <v>4776</v>
      </c>
      <c r="D904" s="2" t="s">
        <v>4777</v>
      </c>
      <c r="E904" s="10" t="s">
        <v>4778</v>
      </c>
      <c r="F904" s="2" t="s">
        <v>506</v>
      </c>
      <c r="G904" s="2"/>
      <c r="H904" s="2"/>
      <c r="I904" s="2" t="s">
        <v>4776</v>
      </c>
    </row>
    <row r="905" ht="15.75" hidden="1" customHeight="1">
      <c r="A905" s="9">
        <v>7266633.0</v>
      </c>
      <c r="B905" s="2" t="s">
        <v>4780</v>
      </c>
      <c r="C905" s="2" t="s">
        <v>4781</v>
      </c>
      <c r="D905" s="2" t="s">
        <v>4782</v>
      </c>
      <c r="E905" s="10" t="s">
        <v>4783</v>
      </c>
      <c r="F905" s="2" t="s">
        <v>506</v>
      </c>
      <c r="G905" s="2"/>
      <c r="H905" s="2"/>
      <c r="I905" s="2" t="s">
        <v>4781</v>
      </c>
    </row>
    <row r="906" ht="15.75" hidden="1" customHeight="1">
      <c r="A906" s="9">
        <v>7266634.0</v>
      </c>
      <c r="B906" s="2" t="s">
        <v>4786</v>
      </c>
      <c r="C906" s="2" t="s">
        <v>4787</v>
      </c>
      <c r="D906" s="2" t="s">
        <v>4788</v>
      </c>
      <c r="E906" s="10" t="s">
        <v>4789</v>
      </c>
      <c r="F906" s="2" t="s">
        <v>506</v>
      </c>
      <c r="G906" s="2"/>
      <c r="H906" s="2"/>
      <c r="I906" s="2" t="s">
        <v>4787</v>
      </c>
    </row>
    <row r="907" ht="15.75" hidden="1" customHeight="1">
      <c r="A907" s="9">
        <v>7266635.0</v>
      </c>
      <c r="B907" s="2" t="s">
        <v>4790</v>
      </c>
      <c r="C907" s="2" t="s">
        <v>4791</v>
      </c>
      <c r="D907" s="2" t="s">
        <v>4792</v>
      </c>
      <c r="E907" s="10" t="s">
        <v>4793</v>
      </c>
      <c r="F907" s="2" t="s">
        <v>889</v>
      </c>
      <c r="G907" s="2"/>
      <c r="H907" s="2"/>
      <c r="I907" s="2" t="s">
        <v>4791</v>
      </c>
    </row>
    <row r="908" ht="15.75" hidden="1" customHeight="1">
      <c r="A908" s="9">
        <v>7266636.0</v>
      </c>
      <c r="B908" s="2" t="s">
        <v>4794</v>
      </c>
      <c r="C908" s="2" t="s">
        <v>4796</v>
      </c>
      <c r="D908" s="2" t="s">
        <v>4797</v>
      </c>
      <c r="E908" s="10" t="s">
        <v>4798</v>
      </c>
      <c r="F908" s="2" t="s">
        <v>889</v>
      </c>
      <c r="G908" s="2"/>
      <c r="H908" s="2"/>
      <c r="I908" s="2" t="s">
        <v>4796</v>
      </c>
    </row>
    <row r="909" ht="15.75" hidden="1" customHeight="1">
      <c r="A909" s="9">
        <v>7266637.0</v>
      </c>
      <c r="B909" s="2" t="s">
        <v>4801</v>
      </c>
      <c r="C909" s="2" t="s">
        <v>4802</v>
      </c>
      <c r="D909" s="2" t="s">
        <v>4803</v>
      </c>
      <c r="E909" s="10" t="s">
        <v>4805</v>
      </c>
      <c r="F909" s="2" t="s">
        <v>889</v>
      </c>
      <c r="G909" s="2"/>
      <c r="H909" s="2"/>
      <c r="I909" s="2" t="s">
        <v>4802</v>
      </c>
    </row>
    <row r="910" ht="15.75" hidden="1" customHeight="1">
      <c r="A910" s="9">
        <v>7266638.0</v>
      </c>
      <c r="B910" s="2" t="s">
        <v>4806</v>
      </c>
      <c r="C910" s="2" t="s">
        <v>4807</v>
      </c>
      <c r="D910" s="2" t="s">
        <v>4808</v>
      </c>
      <c r="E910" s="10" t="s">
        <v>4809</v>
      </c>
      <c r="F910" s="2" t="s">
        <v>889</v>
      </c>
      <c r="G910" s="2"/>
      <c r="H910" s="2"/>
      <c r="I910" s="2" t="s">
        <v>4807</v>
      </c>
    </row>
    <row r="911" ht="15.75" hidden="1" customHeight="1">
      <c r="A911" s="9">
        <v>7266639.0</v>
      </c>
      <c r="B911" s="2" t="s">
        <v>4810</v>
      </c>
      <c r="C911" s="2" t="s">
        <v>4811</v>
      </c>
      <c r="D911" s="2" t="s">
        <v>4812</v>
      </c>
      <c r="E911" s="10" t="s">
        <v>4813</v>
      </c>
      <c r="F911" s="2" t="s">
        <v>889</v>
      </c>
      <c r="G911" s="2"/>
      <c r="H911" s="2"/>
      <c r="I911" s="2" t="s">
        <v>4811</v>
      </c>
    </row>
    <row r="912" ht="15.75" hidden="1" customHeight="1">
      <c r="A912" s="9">
        <v>7266640.0</v>
      </c>
      <c r="B912" s="2" t="s">
        <v>4815</v>
      </c>
      <c r="C912" s="2" t="s">
        <v>4816</v>
      </c>
      <c r="D912" s="2" t="s">
        <v>4817</v>
      </c>
      <c r="E912" s="10" t="s">
        <v>4818</v>
      </c>
      <c r="F912" s="2" t="s">
        <v>889</v>
      </c>
      <c r="G912" s="2"/>
      <c r="H912" s="2"/>
      <c r="I912" s="2" t="s">
        <v>4816</v>
      </c>
    </row>
    <row r="913" ht="15.75" hidden="1" customHeight="1">
      <c r="A913" s="9">
        <v>7266641.0</v>
      </c>
      <c r="B913" s="2" t="s">
        <v>911</v>
      </c>
      <c r="C913" s="2" t="s">
        <v>4819</v>
      </c>
      <c r="D913" s="2" t="s">
        <v>4820</v>
      </c>
      <c r="E913" s="10" t="s">
        <v>4822</v>
      </c>
      <c r="F913" s="2" t="s">
        <v>889</v>
      </c>
      <c r="G913" s="2"/>
      <c r="H913" s="2"/>
      <c r="I913" s="2" t="s">
        <v>4819</v>
      </c>
    </row>
    <row r="914" ht="15.75" hidden="1" customHeight="1">
      <c r="A914" s="9">
        <v>7266642.0</v>
      </c>
      <c r="B914" s="2" t="s">
        <v>4823</v>
      </c>
      <c r="C914" s="2" t="s">
        <v>4825</v>
      </c>
      <c r="D914" s="2" t="s">
        <v>1911</v>
      </c>
      <c r="E914" s="10" t="s">
        <v>1915</v>
      </c>
      <c r="F914" s="2" t="s">
        <v>889</v>
      </c>
      <c r="G914" s="2"/>
      <c r="H914" s="2"/>
      <c r="I914" s="2" t="s">
        <v>4825</v>
      </c>
    </row>
    <row r="915" ht="15.75" hidden="1" customHeight="1">
      <c r="A915" s="9">
        <v>7266643.0</v>
      </c>
      <c r="B915" s="2" t="s">
        <v>4827</v>
      </c>
      <c r="C915" s="2" t="s">
        <v>4828</v>
      </c>
      <c r="D915" s="2" t="s">
        <v>4829</v>
      </c>
      <c r="E915" s="10" t="s">
        <v>4830</v>
      </c>
      <c r="F915" s="2" t="s">
        <v>889</v>
      </c>
      <c r="G915" s="2"/>
      <c r="H915" s="2"/>
      <c r="I915" s="2" t="s">
        <v>4828</v>
      </c>
    </row>
    <row r="916" ht="15.75" hidden="1" customHeight="1">
      <c r="A916" s="9">
        <v>7266644.0</v>
      </c>
      <c r="B916" s="2" t="s">
        <v>4831</v>
      </c>
      <c r="C916" s="2" t="s">
        <v>4832</v>
      </c>
      <c r="D916" s="2" t="s">
        <v>4833</v>
      </c>
      <c r="E916" s="10" t="s">
        <v>4834</v>
      </c>
      <c r="F916" s="2" t="s">
        <v>889</v>
      </c>
      <c r="G916" s="2"/>
      <c r="H916" s="2"/>
      <c r="I916" s="2" t="s">
        <v>4832</v>
      </c>
    </row>
    <row r="917" ht="15.75" hidden="1" customHeight="1">
      <c r="A917" s="9">
        <v>7266645.0</v>
      </c>
      <c r="B917" s="2" t="s">
        <v>4837</v>
      </c>
      <c r="C917" s="2" t="s">
        <v>4838</v>
      </c>
      <c r="D917" s="2" t="s">
        <v>873</v>
      </c>
      <c r="E917" s="10" t="s">
        <v>882</v>
      </c>
      <c r="F917" s="2" t="s">
        <v>889</v>
      </c>
      <c r="G917" s="2"/>
      <c r="H917" s="2"/>
      <c r="I917" s="2" t="s">
        <v>4838</v>
      </c>
    </row>
    <row r="918" ht="15.75" hidden="1" customHeight="1">
      <c r="A918" s="9">
        <v>7266646.0</v>
      </c>
      <c r="B918" s="2" t="s">
        <v>4841</v>
      </c>
      <c r="C918" s="2" t="s">
        <v>4842</v>
      </c>
      <c r="D918" s="2" t="s">
        <v>1009</v>
      </c>
      <c r="E918" s="10" t="s">
        <v>1017</v>
      </c>
      <c r="F918" s="2" t="s">
        <v>889</v>
      </c>
      <c r="G918" s="2"/>
      <c r="H918" s="2"/>
      <c r="I918" s="2" t="s">
        <v>4842</v>
      </c>
    </row>
    <row r="919" ht="15.75" hidden="1" customHeight="1">
      <c r="A919" s="9">
        <v>7266647.0</v>
      </c>
      <c r="B919" s="2" t="s">
        <v>4843</v>
      </c>
      <c r="C919" s="2" t="s">
        <v>4844</v>
      </c>
      <c r="D919" s="2" t="s">
        <v>1033</v>
      </c>
      <c r="E919" s="10" t="s">
        <v>1036</v>
      </c>
      <c r="F919" s="2" t="s">
        <v>889</v>
      </c>
      <c r="G919" s="2"/>
      <c r="H919" s="2"/>
      <c r="I919" s="2" t="s">
        <v>4844</v>
      </c>
    </row>
    <row r="920" ht="15.75" hidden="1" customHeight="1">
      <c r="A920" s="9">
        <v>7266648.0</v>
      </c>
      <c r="B920" s="2" t="s">
        <v>4846</v>
      </c>
      <c r="C920" s="2" t="s">
        <v>4847</v>
      </c>
      <c r="D920" s="2" t="s">
        <v>4848</v>
      </c>
      <c r="E920" s="10" t="s">
        <v>4849</v>
      </c>
      <c r="F920" s="2" t="s">
        <v>889</v>
      </c>
      <c r="G920" s="2"/>
      <c r="H920" s="2"/>
      <c r="I920" s="2" t="s">
        <v>4847</v>
      </c>
    </row>
    <row r="921" ht="15.75" hidden="1" customHeight="1">
      <c r="A921" s="9">
        <v>7266649.0</v>
      </c>
      <c r="B921" s="2" t="s">
        <v>4850</v>
      </c>
      <c r="C921" s="2" t="s">
        <v>4851</v>
      </c>
      <c r="D921" s="2" t="s">
        <v>4852</v>
      </c>
      <c r="E921" s="10" t="s">
        <v>4853</v>
      </c>
      <c r="F921" s="2" t="s">
        <v>889</v>
      </c>
      <c r="G921" s="2"/>
      <c r="H921" s="2"/>
      <c r="I921" s="2" t="s">
        <v>4851</v>
      </c>
    </row>
    <row r="922" ht="15.75" hidden="1" customHeight="1">
      <c r="A922" s="9">
        <v>7266650.0</v>
      </c>
      <c r="B922" s="2" t="s">
        <v>4855</v>
      </c>
      <c r="C922" s="2" t="s">
        <v>4856</v>
      </c>
      <c r="D922" s="2" t="s">
        <v>4857</v>
      </c>
      <c r="E922" s="10" t="s">
        <v>4859</v>
      </c>
      <c r="F922" s="2" t="s">
        <v>889</v>
      </c>
      <c r="G922" s="2"/>
      <c r="H922" s="2"/>
      <c r="I922" s="2" t="s">
        <v>4856</v>
      </c>
    </row>
    <row r="923" ht="15.75" hidden="1" customHeight="1">
      <c r="A923" s="9">
        <v>7266651.0</v>
      </c>
      <c r="B923" s="2" t="s">
        <v>4860</v>
      </c>
      <c r="C923" s="2" t="s">
        <v>4861</v>
      </c>
      <c r="D923" s="2" t="s">
        <v>4863</v>
      </c>
      <c r="E923" s="10" t="s">
        <v>4864</v>
      </c>
      <c r="F923" s="2" t="s">
        <v>889</v>
      </c>
      <c r="G923" s="2"/>
      <c r="H923" s="2"/>
      <c r="I923" s="2" t="s">
        <v>4861</v>
      </c>
    </row>
    <row r="924" ht="15.75" hidden="1" customHeight="1">
      <c r="A924" s="9">
        <v>7266652.0</v>
      </c>
      <c r="B924" s="2" t="s">
        <v>4865</v>
      </c>
      <c r="C924" s="2" t="s">
        <v>4866</v>
      </c>
      <c r="D924" s="2" t="s">
        <v>4867</v>
      </c>
      <c r="E924" s="10" t="s">
        <v>4868</v>
      </c>
      <c r="F924" s="2" t="s">
        <v>889</v>
      </c>
      <c r="G924" s="2"/>
      <c r="H924" s="2"/>
      <c r="I924" s="2" t="s">
        <v>4866</v>
      </c>
    </row>
    <row r="925" ht="15.75" hidden="1" customHeight="1">
      <c r="A925" s="9">
        <v>7266653.0</v>
      </c>
      <c r="B925" s="2" t="s">
        <v>4869</v>
      </c>
      <c r="C925" s="2" t="s">
        <v>4870</v>
      </c>
      <c r="D925" s="2" t="s">
        <v>4871</v>
      </c>
      <c r="E925" s="10" t="s">
        <v>4872</v>
      </c>
      <c r="F925" s="2" t="s">
        <v>889</v>
      </c>
      <c r="G925" s="2"/>
      <c r="H925" s="2"/>
      <c r="I925" s="2" t="s">
        <v>4870</v>
      </c>
    </row>
    <row r="926" ht="15.75" hidden="1" customHeight="1">
      <c r="A926" s="9">
        <v>7266654.0</v>
      </c>
      <c r="B926" s="2" t="s">
        <v>4875</v>
      </c>
      <c r="C926" s="2" t="s">
        <v>4876</v>
      </c>
      <c r="D926" s="2" t="s">
        <v>4877</v>
      </c>
      <c r="E926" s="10" t="s">
        <v>4879</v>
      </c>
      <c r="F926" s="2" t="s">
        <v>889</v>
      </c>
      <c r="G926" s="2"/>
      <c r="H926" s="2"/>
      <c r="I926" s="2" t="s">
        <v>4876</v>
      </c>
    </row>
    <row r="927" ht="15.75" hidden="1" customHeight="1">
      <c r="A927" s="9">
        <v>7266655.0</v>
      </c>
      <c r="B927" s="2" t="s">
        <v>4881</v>
      </c>
      <c r="C927" s="2" t="s">
        <v>4882</v>
      </c>
      <c r="D927" s="2" t="s">
        <v>4883</v>
      </c>
      <c r="E927" s="10" t="s">
        <v>4884</v>
      </c>
      <c r="F927" s="2" t="s">
        <v>889</v>
      </c>
      <c r="G927" s="2"/>
      <c r="H927" s="2"/>
      <c r="I927" s="2" t="s">
        <v>4882</v>
      </c>
    </row>
    <row r="928" ht="15.75" hidden="1" customHeight="1">
      <c r="A928" s="9">
        <v>7266656.0</v>
      </c>
      <c r="B928" s="2" t="s">
        <v>4886</v>
      </c>
      <c r="C928" s="2" t="s">
        <v>4887</v>
      </c>
      <c r="D928" s="2" t="s">
        <v>4888</v>
      </c>
      <c r="E928" s="10" t="s">
        <v>4889</v>
      </c>
      <c r="F928" s="2" t="s">
        <v>889</v>
      </c>
      <c r="G928" s="2"/>
      <c r="H928" s="2"/>
      <c r="I928" s="2" t="s">
        <v>4887</v>
      </c>
    </row>
    <row r="929" ht="15.75" hidden="1" customHeight="1">
      <c r="A929" s="9">
        <v>7266657.0</v>
      </c>
      <c r="B929" s="2" t="s">
        <v>4890</v>
      </c>
      <c r="C929" s="2" t="s">
        <v>4891</v>
      </c>
      <c r="D929" s="2" t="s">
        <v>4893</v>
      </c>
      <c r="E929" s="10" t="s">
        <v>4894</v>
      </c>
      <c r="F929" s="2" t="s">
        <v>889</v>
      </c>
      <c r="G929" s="2"/>
      <c r="H929" s="2"/>
      <c r="I929" s="2" t="s">
        <v>4891</v>
      </c>
    </row>
    <row r="930" ht="15.75" hidden="1" customHeight="1">
      <c r="A930" s="9">
        <v>7266658.0</v>
      </c>
      <c r="B930" s="2" t="s">
        <v>4895</v>
      </c>
      <c r="C930" s="2" t="s">
        <v>4897</v>
      </c>
      <c r="D930" s="2" t="s">
        <v>4898</v>
      </c>
      <c r="E930" s="10" t="s">
        <v>4899</v>
      </c>
      <c r="F930" s="2" t="s">
        <v>889</v>
      </c>
      <c r="G930" s="2"/>
      <c r="H930" s="2"/>
      <c r="I930" s="2" t="s">
        <v>4897</v>
      </c>
    </row>
    <row r="931" ht="15.75" hidden="1" customHeight="1">
      <c r="A931" s="9">
        <v>7266659.0</v>
      </c>
      <c r="B931" s="2" t="s">
        <v>4901</v>
      </c>
      <c r="C931" s="2" t="s">
        <v>4902</v>
      </c>
      <c r="D931" s="2" t="s">
        <v>4903</v>
      </c>
      <c r="E931" s="10" t="s">
        <v>4904</v>
      </c>
      <c r="F931" s="2" t="s">
        <v>889</v>
      </c>
      <c r="G931" s="2"/>
      <c r="H931" s="2"/>
      <c r="I931" s="2" t="s">
        <v>4902</v>
      </c>
    </row>
    <row r="932" ht="15.75" hidden="1" customHeight="1">
      <c r="A932" s="9">
        <v>7266660.0</v>
      </c>
      <c r="B932" s="2" t="s">
        <v>4905</v>
      </c>
      <c r="C932" s="2" t="s">
        <v>4906</v>
      </c>
      <c r="D932" s="2" t="s">
        <v>4907</v>
      </c>
      <c r="E932" s="10" t="s">
        <v>4908</v>
      </c>
      <c r="F932" s="2" t="s">
        <v>889</v>
      </c>
      <c r="G932" s="2"/>
      <c r="H932" s="2"/>
      <c r="I932" s="2" t="s">
        <v>4906</v>
      </c>
    </row>
    <row r="933" ht="15.75" hidden="1" customHeight="1">
      <c r="A933" s="9">
        <v>7266661.0</v>
      </c>
      <c r="B933" s="2" t="s">
        <v>4910</v>
      </c>
      <c r="C933" s="2" t="s">
        <v>4911</v>
      </c>
      <c r="D933" s="2" t="s">
        <v>4912</v>
      </c>
      <c r="E933" s="10" t="s">
        <v>4914</v>
      </c>
      <c r="F933" s="2" t="s">
        <v>346</v>
      </c>
      <c r="G933" s="2"/>
      <c r="H933" s="2"/>
      <c r="I933" s="2" t="s">
        <v>4911</v>
      </c>
    </row>
    <row r="934" ht="15.75" hidden="1" customHeight="1">
      <c r="A934" s="9">
        <v>7266662.0</v>
      </c>
      <c r="B934" s="2" t="s">
        <v>3410</v>
      </c>
      <c r="C934" s="2" t="s">
        <v>4916</v>
      </c>
      <c r="D934" s="2" t="s">
        <v>2610</v>
      </c>
      <c r="E934" s="10" t="s">
        <v>2618</v>
      </c>
      <c r="F934" s="2" t="s">
        <v>346</v>
      </c>
      <c r="G934" s="2"/>
      <c r="H934" s="2"/>
      <c r="I934" s="2" t="s">
        <v>4916</v>
      </c>
    </row>
    <row r="935" ht="15.75" hidden="1" customHeight="1">
      <c r="A935" s="9">
        <v>7266663.0</v>
      </c>
      <c r="B935" s="2" t="s">
        <v>4917</v>
      </c>
      <c r="C935" s="2" t="s">
        <v>4918</v>
      </c>
      <c r="D935" s="2" t="s">
        <v>4919</v>
      </c>
      <c r="E935" s="10" t="s">
        <v>4920</v>
      </c>
      <c r="F935" s="2" t="s">
        <v>346</v>
      </c>
      <c r="G935" s="2"/>
      <c r="H935" s="2"/>
      <c r="I935" s="2" t="s">
        <v>4918</v>
      </c>
    </row>
    <row r="936" ht="15.75" hidden="1" customHeight="1">
      <c r="A936" s="9">
        <v>7266664.0</v>
      </c>
      <c r="B936" s="2" t="s">
        <v>4921</v>
      </c>
      <c r="C936" s="2" t="s">
        <v>4922</v>
      </c>
      <c r="D936" s="2" t="s">
        <v>940</v>
      </c>
      <c r="E936" s="10" t="s">
        <v>947</v>
      </c>
      <c r="F936" s="2" t="s">
        <v>346</v>
      </c>
      <c r="G936" s="2"/>
      <c r="H936" s="2"/>
      <c r="I936" s="2" t="s">
        <v>4922</v>
      </c>
    </row>
    <row r="937" ht="15.75" hidden="1" customHeight="1">
      <c r="A937" s="9">
        <v>7266665.0</v>
      </c>
      <c r="B937" s="2" t="s">
        <v>4924</v>
      </c>
      <c r="C937" s="2" t="s">
        <v>4925</v>
      </c>
      <c r="D937" s="2" t="s">
        <v>4926</v>
      </c>
      <c r="E937" s="10" t="s">
        <v>4927</v>
      </c>
      <c r="F937" s="2" t="s">
        <v>346</v>
      </c>
      <c r="G937" s="2"/>
      <c r="H937" s="2"/>
      <c r="I937" s="2" t="s">
        <v>4925</v>
      </c>
    </row>
    <row r="938" ht="15.75" hidden="1" customHeight="1">
      <c r="A938" s="9">
        <v>7266666.0</v>
      </c>
      <c r="B938" s="2" t="s">
        <v>4928</v>
      </c>
      <c r="C938" s="2" t="s">
        <v>4929</v>
      </c>
      <c r="D938" s="2" t="s">
        <v>4930</v>
      </c>
      <c r="E938" s="10" t="s">
        <v>4931</v>
      </c>
      <c r="F938" s="2" t="s">
        <v>346</v>
      </c>
      <c r="G938" s="2"/>
      <c r="H938" s="2"/>
      <c r="I938" s="2" t="s">
        <v>4929</v>
      </c>
    </row>
    <row r="939" ht="15.75" hidden="1" customHeight="1">
      <c r="A939" s="9">
        <v>7266667.0</v>
      </c>
      <c r="B939" s="2" t="s">
        <v>4932</v>
      </c>
      <c r="C939" s="2" t="s">
        <v>4934</v>
      </c>
      <c r="D939" s="2" t="s">
        <v>4935</v>
      </c>
      <c r="E939" s="10" t="s">
        <v>4936</v>
      </c>
      <c r="F939" s="2" t="s">
        <v>346</v>
      </c>
      <c r="G939" s="2"/>
      <c r="H939" s="2"/>
      <c r="I939" s="2" t="s">
        <v>4934</v>
      </c>
    </row>
    <row r="940" ht="15.75" hidden="1" customHeight="1">
      <c r="A940" s="9">
        <v>7266668.0</v>
      </c>
      <c r="B940" s="2" t="s">
        <v>4938</v>
      </c>
      <c r="C940" s="2" t="s">
        <v>4939</v>
      </c>
      <c r="D940" s="2" t="s">
        <v>4940</v>
      </c>
      <c r="E940" s="10" t="s">
        <v>4941</v>
      </c>
      <c r="F940" s="2" t="s">
        <v>346</v>
      </c>
      <c r="G940" s="2"/>
      <c r="H940" s="2"/>
      <c r="I940" s="2" t="s">
        <v>4939</v>
      </c>
    </row>
    <row r="941" ht="15.75" hidden="1" customHeight="1">
      <c r="A941" s="9">
        <v>7266669.0</v>
      </c>
      <c r="B941" s="2" t="s">
        <v>4942</v>
      </c>
      <c r="C941" s="2" t="s">
        <v>4943</v>
      </c>
      <c r="D941" s="2" t="s">
        <v>4944</v>
      </c>
      <c r="E941" s="10" t="s">
        <v>2753</v>
      </c>
      <c r="F941" s="2" t="s">
        <v>346</v>
      </c>
      <c r="G941" s="2"/>
      <c r="H941" s="2"/>
      <c r="I941" s="2" t="s">
        <v>4943</v>
      </c>
    </row>
    <row r="942" ht="15.75" hidden="1" customHeight="1">
      <c r="A942" s="9">
        <v>7266670.0</v>
      </c>
      <c r="B942" s="2" t="s">
        <v>4946</v>
      </c>
      <c r="C942" s="2" t="s">
        <v>4947</v>
      </c>
      <c r="D942" s="2" t="s">
        <v>4948</v>
      </c>
      <c r="E942" s="10" t="s">
        <v>4949</v>
      </c>
      <c r="F942" s="2" t="s">
        <v>346</v>
      </c>
      <c r="G942" s="2"/>
      <c r="H942" s="2"/>
      <c r="I942" s="2" t="s">
        <v>4947</v>
      </c>
    </row>
    <row r="943" ht="15.75" hidden="1" customHeight="1">
      <c r="A943" s="9">
        <v>7266671.0</v>
      </c>
      <c r="B943" s="2" t="s">
        <v>4951</v>
      </c>
      <c r="C943" s="2" t="s">
        <v>4952</v>
      </c>
      <c r="D943" s="2" t="s">
        <v>4953</v>
      </c>
      <c r="E943" s="10" t="s">
        <v>4954</v>
      </c>
      <c r="F943" s="2" t="s">
        <v>346</v>
      </c>
      <c r="G943" s="2"/>
      <c r="H943" s="2"/>
      <c r="I943" s="2" t="s">
        <v>4952</v>
      </c>
    </row>
    <row r="944" ht="15.75" hidden="1" customHeight="1">
      <c r="A944" s="9">
        <v>7266672.0</v>
      </c>
      <c r="B944" s="2" t="s">
        <v>4955</v>
      </c>
      <c r="C944" s="2" t="s">
        <v>4956</v>
      </c>
      <c r="D944" s="2" t="s">
        <v>3263</v>
      </c>
      <c r="E944" s="10" t="s">
        <v>3269</v>
      </c>
      <c r="F944" s="2" t="s">
        <v>346</v>
      </c>
      <c r="G944" s="2"/>
      <c r="H944" s="2"/>
      <c r="I944" s="2" t="s">
        <v>4956</v>
      </c>
    </row>
    <row r="945" ht="15.75" hidden="1" customHeight="1">
      <c r="A945" s="9">
        <v>7266673.0</v>
      </c>
      <c r="B945" s="2" t="s">
        <v>4957</v>
      </c>
      <c r="C945" s="2" t="s">
        <v>4958</v>
      </c>
      <c r="D945" s="2" t="s">
        <v>4959</v>
      </c>
      <c r="E945" s="10" t="s">
        <v>4960</v>
      </c>
      <c r="F945" s="2" t="s">
        <v>346</v>
      </c>
      <c r="G945" s="2"/>
      <c r="H945" s="2"/>
      <c r="I945" s="2" t="s">
        <v>4958</v>
      </c>
    </row>
    <row r="946" ht="15.75" hidden="1" customHeight="1">
      <c r="A946" s="9">
        <v>7266674.0</v>
      </c>
      <c r="B946" s="2" t="s">
        <v>4962</v>
      </c>
      <c r="C946" s="2" t="s">
        <v>4963</v>
      </c>
      <c r="D946" s="2" t="s">
        <v>3504</v>
      </c>
      <c r="E946" s="10" t="s">
        <v>3508</v>
      </c>
      <c r="F946" s="2" t="s">
        <v>346</v>
      </c>
      <c r="G946" s="2"/>
      <c r="H946" s="2"/>
      <c r="I946" s="2" t="s">
        <v>4963</v>
      </c>
    </row>
    <row r="947" ht="15.75" hidden="1" customHeight="1">
      <c r="A947" s="9">
        <v>7266675.0</v>
      </c>
      <c r="B947" s="2" t="s">
        <v>4965</v>
      </c>
      <c r="C947" s="2" t="s">
        <v>4966</v>
      </c>
      <c r="D947" s="2" t="s">
        <v>4967</v>
      </c>
      <c r="E947" s="10" t="s">
        <v>4968</v>
      </c>
      <c r="F947" s="2" t="s">
        <v>346</v>
      </c>
      <c r="G947" s="2"/>
      <c r="H947" s="2"/>
      <c r="I947" s="2" t="s">
        <v>4966</v>
      </c>
    </row>
    <row r="948" ht="15.75" hidden="1" customHeight="1">
      <c r="A948" s="9">
        <v>7266676.0</v>
      </c>
      <c r="B948" s="2" t="s">
        <v>4970</v>
      </c>
      <c r="C948" s="2" t="s">
        <v>4971</v>
      </c>
      <c r="D948" s="2" t="s">
        <v>4972</v>
      </c>
      <c r="E948" s="10" t="s">
        <v>4973</v>
      </c>
      <c r="F948" s="2" t="s">
        <v>346</v>
      </c>
      <c r="G948" s="2"/>
      <c r="H948" s="2"/>
      <c r="I948" s="2" t="s">
        <v>4971</v>
      </c>
    </row>
    <row r="949" ht="15.75" hidden="1" customHeight="1">
      <c r="A949" s="9">
        <v>7266677.0</v>
      </c>
      <c r="B949" s="2" t="s">
        <v>4974</v>
      </c>
      <c r="C949" s="2" t="s">
        <v>4975</v>
      </c>
      <c r="D949" s="2" t="s">
        <v>4976</v>
      </c>
      <c r="E949" s="10" t="s">
        <v>4977</v>
      </c>
      <c r="F949" s="2" t="s">
        <v>346</v>
      </c>
      <c r="G949" s="2"/>
      <c r="H949" s="2"/>
      <c r="I949" s="2" t="s">
        <v>4975</v>
      </c>
    </row>
    <row r="950" ht="15.75" hidden="1" customHeight="1">
      <c r="A950" s="9">
        <v>7266678.0</v>
      </c>
      <c r="B950" s="2" t="s">
        <v>4978</v>
      </c>
      <c r="C950" s="2" t="s">
        <v>4979</v>
      </c>
      <c r="D950" s="2" t="s">
        <v>4980</v>
      </c>
      <c r="E950" s="10" t="s">
        <v>4981</v>
      </c>
      <c r="F950" s="2" t="s">
        <v>346</v>
      </c>
      <c r="G950" s="2"/>
      <c r="H950" s="2"/>
      <c r="I950" s="2" t="s">
        <v>4979</v>
      </c>
    </row>
    <row r="951" ht="15.75" hidden="1" customHeight="1">
      <c r="A951" s="9">
        <v>7266679.0</v>
      </c>
      <c r="B951" s="2" t="s">
        <v>4982</v>
      </c>
      <c r="C951" s="2" t="s">
        <v>4983</v>
      </c>
      <c r="D951" s="2" t="s">
        <v>3292</v>
      </c>
      <c r="E951" s="10" t="s">
        <v>3298</v>
      </c>
      <c r="F951" s="2" t="s">
        <v>346</v>
      </c>
      <c r="G951" s="2"/>
      <c r="H951" s="2"/>
      <c r="I951" s="2" t="s">
        <v>4983</v>
      </c>
    </row>
    <row r="952" ht="15.75" hidden="1" customHeight="1">
      <c r="A952" s="9">
        <v>7266680.0</v>
      </c>
      <c r="B952" s="2" t="s">
        <v>4984</v>
      </c>
      <c r="C952" s="2" t="s">
        <v>4985</v>
      </c>
      <c r="D952" s="2" t="s">
        <v>1473</v>
      </c>
      <c r="E952" s="10" t="s">
        <v>1480</v>
      </c>
      <c r="F952" s="2" t="s">
        <v>346</v>
      </c>
      <c r="G952" s="2"/>
      <c r="H952" s="2"/>
      <c r="I952" s="2" t="s">
        <v>4985</v>
      </c>
    </row>
    <row r="953" ht="15.75" hidden="1" customHeight="1">
      <c r="A953" s="9">
        <v>7266681.0</v>
      </c>
      <c r="B953" s="2" t="s">
        <v>4986</v>
      </c>
      <c r="C953" s="2" t="s">
        <v>4987</v>
      </c>
      <c r="D953" s="2" t="s">
        <v>645</v>
      </c>
      <c r="E953" s="10" t="s">
        <v>652</v>
      </c>
      <c r="F953" s="2" t="s">
        <v>346</v>
      </c>
      <c r="G953" s="2"/>
      <c r="H953" s="2"/>
      <c r="I953" s="2" t="s">
        <v>4987</v>
      </c>
    </row>
    <row r="954" ht="15.75" hidden="1" customHeight="1">
      <c r="A954" s="9">
        <v>7266682.0</v>
      </c>
      <c r="B954" s="2" t="s">
        <v>4988</v>
      </c>
      <c r="C954" s="2" t="s">
        <v>4989</v>
      </c>
      <c r="D954" s="2" t="s">
        <v>334</v>
      </c>
      <c r="E954" s="10" t="s">
        <v>340</v>
      </c>
      <c r="F954" s="2" t="s">
        <v>346</v>
      </c>
      <c r="G954" s="2"/>
      <c r="H954" s="2"/>
      <c r="I954" s="2" t="s">
        <v>4989</v>
      </c>
    </row>
    <row r="955" ht="15.75" hidden="1" customHeight="1">
      <c r="A955" s="9">
        <v>7266683.0</v>
      </c>
      <c r="B955" s="2" t="s">
        <v>4990</v>
      </c>
      <c r="C955" s="2" t="s">
        <v>4992</v>
      </c>
      <c r="D955" s="2" t="s">
        <v>4993</v>
      </c>
      <c r="E955" s="10" t="s">
        <v>4994</v>
      </c>
      <c r="F955" s="2" t="s">
        <v>346</v>
      </c>
      <c r="G955" s="2"/>
      <c r="H955" s="2"/>
      <c r="I955" s="2" t="s">
        <v>4992</v>
      </c>
    </row>
    <row r="956" ht="15.75" hidden="1" customHeight="1">
      <c r="A956" s="9">
        <v>7266684.0</v>
      </c>
      <c r="B956" s="2" t="s">
        <v>4995</v>
      </c>
      <c r="C956" s="2" t="s">
        <v>4996</v>
      </c>
      <c r="D956" s="2" t="s">
        <v>4997</v>
      </c>
      <c r="E956" s="10" t="s">
        <v>4998</v>
      </c>
      <c r="F956" s="2" t="s">
        <v>346</v>
      </c>
      <c r="G956" s="2"/>
      <c r="H956" s="2"/>
      <c r="I956" s="2" t="s">
        <v>4996</v>
      </c>
    </row>
    <row r="957" ht="15.75" hidden="1" customHeight="1">
      <c r="A957" s="9">
        <v>7266685.0</v>
      </c>
      <c r="B957" s="2" t="s">
        <v>2826</v>
      </c>
      <c r="C957" s="2" t="s">
        <v>5000</v>
      </c>
      <c r="D957" s="2" t="s">
        <v>5001</v>
      </c>
      <c r="E957" s="10" t="s">
        <v>5002</v>
      </c>
      <c r="F957" s="2" t="s">
        <v>346</v>
      </c>
      <c r="G957" s="2"/>
      <c r="H957" s="2"/>
      <c r="I957" s="2" t="s">
        <v>5000</v>
      </c>
    </row>
    <row r="958" ht="15.75" hidden="1" customHeight="1">
      <c r="A958" s="9">
        <v>7266686.0</v>
      </c>
      <c r="B958" s="2" t="s">
        <v>5003</v>
      </c>
      <c r="C958" s="2" t="s">
        <v>5004</v>
      </c>
      <c r="D958" s="2" t="s">
        <v>1077</v>
      </c>
      <c r="E958" s="10" t="s">
        <v>1084</v>
      </c>
      <c r="F958" s="2" t="s">
        <v>346</v>
      </c>
      <c r="G958" s="2"/>
      <c r="H958" s="2"/>
      <c r="I958" s="2" t="s">
        <v>5004</v>
      </c>
    </row>
    <row r="959" ht="15.75" hidden="1" customHeight="1">
      <c r="A959" s="9">
        <v>7266687.0</v>
      </c>
      <c r="B959" s="2" t="s">
        <v>5006</v>
      </c>
      <c r="C959" s="2" t="s">
        <v>5007</v>
      </c>
      <c r="D959" s="2" t="s">
        <v>5008</v>
      </c>
      <c r="E959" s="10" t="s">
        <v>5009</v>
      </c>
      <c r="F959" s="2" t="s">
        <v>1064</v>
      </c>
      <c r="G959" s="2"/>
      <c r="H959" s="2"/>
      <c r="I959" s="2" t="s">
        <v>5007</v>
      </c>
    </row>
    <row r="960" ht="15.75" hidden="1" customHeight="1">
      <c r="A960" s="9">
        <v>7266688.0</v>
      </c>
      <c r="B960" s="2" t="s">
        <v>5011</v>
      </c>
      <c r="C960" s="2" t="s">
        <v>5013</v>
      </c>
      <c r="D960" s="2" t="s">
        <v>5014</v>
      </c>
      <c r="E960" s="10" t="s">
        <v>5015</v>
      </c>
      <c r="F960" s="2" t="s">
        <v>1064</v>
      </c>
      <c r="G960" s="2"/>
      <c r="H960" s="2"/>
      <c r="I960" s="2" t="s">
        <v>5013</v>
      </c>
    </row>
    <row r="961" ht="15.75" hidden="1" customHeight="1">
      <c r="A961" s="9">
        <v>7266689.0</v>
      </c>
      <c r="B961" s="2" t="s">
        <v>5017</v>
      </c>
      <c r="C961" s="2" t="s">
        <v>5018</v>
      </c>
      <c r="D961" s="2" t="s">
        <v>5019</v>
      </c>
      <c r="E961" s="10" t="s">
        <v>5020</v>
      </c>
      <c r="F961" s="2" t="s">
        <v>1064</v>
      </c>
      <c r="G961" s="2"/>
      <c r="H961" s="2"/>
      <c r="I961" s="2" t="s">
        <v>5018</v>
      </c>
    </row>
    <row r="962" ht="15.75" hidden="1" customHeight="1">
      <c r="A962" s="9">
        <v>7266690.0</v>
      </c>
      <c r="B962" s="2" t="s">
        <v>5021</v>
      </c>
      <c r="C962" s="2" t="s">
        <v>5022</v>
      </c>
      <c r="D962" s="2" t="s">
        <v>5023</v>
      </c>
      <c r="E962" s="10" t="s">
        <v>2406</v>
      </c>
      <c r="F962" s="2" t="s">
        <v>1064</v>
      </c>
      <c r="G962" s="2"/>
      <c r="H962" s="2"/>
      <c r="I962" s="2" t="s">
        <v>5022</v>
      </c>
    </row>
    <row r="963" ht="15.75" hidden="1" customHeight="1">
      <c r="A963" s="9">
        <v>7266691.0</v>
      </c>
      <c r="B963" s="2" t="s">
        <v>5024</v>
      </c>
      <c r="C963" s="2" t="s">
        <v>5025</v>
      </c>
      <c r="D963" s="2" t="s">
        <v>5026</v>
      </c>
      <c r="E963" s="10" t="s">
        <v>5027</v>
      </c>
      <c r="F963" s="2" t="s">
        <v>1064</v>
      </c>
      <c r="G963" s="2"/>
      <c r="H963" s="2"/>
      <c r="I963" s="2" t="s">
        <v>5025</v>
      </c>
    </row>
    <row r="964" ht="15.75" hidden="1" customHeight="1">
      <c r="A964" s="9">
        <v>7266692.0</v>
      </c>
      <c r="B964" s="2" t="s">
        <v>5028</v>
      </c>
      <c r="C964" s="2" t="s">
        <v>5029</v>
      </c>
      <c r="D964" s="2" t="s">
        <v>5030</v>
      </c>
      <c r="E964" s="10" t="s">
        <v>5032</v>
      </c>
      <c r="F964" s="2" t="s">
        <v>1064</v>
      </c>
      <c r="G964" s="2"/>
      <c r="H964" s="2"/>
      <c r="I964" s="2" t="s">
        <v>5029</v>
      </c>
    </row>
    <row r="965" ht="15.75" hidden="1" customHeight="1">
      <c r="A965" s="9">
        <v>7266693.0</v>
      </c>
      <c r="B965" s="2" t="s">
        <v>5033</v>
      </c>
      <c r="C965" s="2" t="s">
        <v>5034</v>
      </c>
      <c r="D965" s="2" t="s">
        <v>5035</v>
      </c>
      <c r="E965" s="10" t="s">
        <v>5036</v>
      </c>
      <c r="F965" s="2" t="s">
        <v>1064</v>
      </c>
      <c r="G965" s="2"/>
      <c r="H965" s="2"/>
      <c r="I965" s="2" t="s">
        <v>5034</v>
      </c>
    </row>
    <row r="966" ht="15.75" hidden="1" customHeight="1">
      <c r="A966" s="9">
        <v>7266694.0</v>
      </c>
      <c r="B966" s="2" t="s">
        <v>5038</v>
      </c>
      <c r="C966" s="2" t="s">
        <v>5039</v>
      </c>
      <c r="D966" s="2" t="s">
        <v>5040</v>
      </c>
      <c r="E966" s="10" t="s">
        <v>5041</v>
      </c>
      <c r="F966" s="2" t="s">
        <v>1064</v>
      </c>
      <c r="G966" s="2"/>
      <c r="H966" s="2"/>
      <c r="I966" s="2" t="s">
        <v>5039</v>
      </c>
    </row>
    <row r="967" ht="15.75" hidden="1" customHeight="1">
      <c r="A967" s="9">
        <v>7266695.0</v>
      </c>
      <c r="B967" s="2" t="s">
        <v>5043</v>
      </c>
      <c r="C967" s="2" t="s">
        <v>5044</v>
      </c>
      <c r="D967" s="2" t="s">
        <v>5045</v>
      </c>
      <c r="E967" s="10" t="s">
        <v>5046</v>
      </c>
      <c r="F967" s="2" t="s">
        <v>1064</v>
      </c>
      <c r="G967" s="2"/>
      <c r="H967" s="2"/>
      <c r="I967" s="2" t="s">
        <v>5044</v>
      </c>
    </row>
    <row r="968" ht="15.75" hidden="1" customHeight="1">
      <c r="A968" s="9">
        <v>7266696.0</v>
      </c>
      <c r="B968" s="2" t="s">
        <v>5047</v>
      </c>
      <c r="C968" s="2" t="s">
        <v>5048</v>
      </c>
      <c r="D968" s="2" t="s">
        <v>5049</v>
      </c>
      <c r="E968" s="10" t="s">
        <v>5051</v>
      </c>
      <c r="F968" s="2" t="s">
        <v>1064</v>
      </c>
      <c r="G968" s="2"/>
      <c r="H968" s="2"/>
      <c r="I968" s="2" t="s">
        <v>5048</v>
      </c>
    </row>
    <row r="969" ht="15.75" hidden="1" customHeight="1">
      <c r="A969" s="9">
        <v>7266697.0</v>
      </c>
      <c r="B969" s="2" t="s">
        <v>5052</v>
      </c>
      <c r="C969" s="2" t="s">
        <v>5053</v>
      </c>
      <c r="D969" s="2" t="s">
        <v>5054</v>
      </c>
      <c r="E969" s="10" t="s">
        <v>5055</v>
      </c>
      <c r="F969" s="2" t="s">
        <v>1064</v>
      </c>
      <c r="G969" s="2"/>
      <c r="H969" s="2"/>
      <c r="I969" s="2" t="s">
        <v>5053</v>
      </c>
    </row>
    <row r="970" ht="15.75" hidden="1" customHeight="1">
      <c r="A970" s="9">
        <v>7266698.0</v>
      </c>
      <c r="B970" s="2" t="s">
        <v>5057</v>
      </c>
      <c r="C970" s="2" t="s">
        <v>5058</v>
      </c>
      <c r="D970" s="2" t="s">
        <v>5059</v>
      </c>
      <c r="E970" s="10" t="s">
        <v>5060</v>
      </c>
      <c r="F970" s="2" t="s">
        <v>1064</v>
      </c>
      <c r="G970" s="2"/>
      <c r="H970" s="2"/>
      <c r="I970" s="2" t="s">
        <v>5058</v>
      </c>
    </row>
    <row r="971" ht="15.75" hidden="1" customHeight="1">
      <c r="A971" s="9">
        <v>7266699.0</v>
      </c>
      <c r="B971" s="2" t="s">
        <v>5061</v>
      </c>
      <c r="C971" s="2" t="s">
        <v>5062</v>
      </c>
      <c r="D971" s="2" t="s">
        <v>5063</v>
      </c>
      <c r="E971" s="10" t="s">
        <v>5064</v>
      </c>
      <c r="F971" s="2" t="s">
        <v>1064</v>
      </c>
      <c r="G971" s="2"/>
      <c r="H971" s="2"/>
      <c r="I971" s="2" t="s">
        <v>5062</v>
      </c>
    </row>
    <row r="972" ht="15.75" hidden="1" customHeight="1">
      <c r="A972" s="9">
        <v>7266700.0</v>
      </c>
      <c r="B972" s="2" t="s">
        <v>5065</v>
      </c>
      <c r="C972" s="2" t="s">
        <v>5066</v>
      </c>
      <c r="D972" s="2" t="s">
        <v>5067</v>
      </c>
      <c r="E972" s="10" t="s">
        <v>5068</v>
      </c>
      <c r="F972" s="2" t="s">
        <v>1064</v>
      </c>
      <c r="G972" s="2"/>
      <c r="H972" s="2"/>
      <c r="I972" s="2" t="s">
        <v>5066</v>
      </c>
    </row>
    <row r="973" ht="15.75" hidden="1" customHeight="1">
      <c r="A973" s="9">
        <v>7266701.0</v>
      </c>
      <c r="B973" s="2" t="s">
        <v>5069</v>
      </c>
      <c r="C973" s="2" t="s">
        <v>5070</v>
      </c>
      <c r="D973" s="2" t="s">
        <v>5071</v>
      </c>
      <c r="E973" s="10" t="s">
        <v>5073</v>
      </c>
      <c r="F973" s="2" t="s">
        <v>1064</v>
      </c>
      <c r="G973" s="2"/>
      <c r="H973" s="2"/>
      <c r="I973" s="2" t="s">
        <v>5070</v>
      </c>
    </row>
    <row r="974" ht="15.75" hidden="1" customHeight="1">
      <c r="A974" s="9">
        <v>7266702.0</v>
      </c>
      <c r="B974" s="2" t="s">
        <v>5074</v>
      </c>
      <c r="C974" s="2" t="s">
        <v>5075</v>
      </c>
      <c r="D974" s="2" t="s">
        <v>5076</v>
      </c>
      <c r="E974" s="10" t="s">
        <v>5077</v>
      </c>
      <c r="F974" s="2" t="s">
        <v>1064</v>
      </c>
      <c r="G974" s="2"/>
      <c r="H974" s="2"/>
      <c r="I974" s="2" t="s">
        <v>5075</v>
      </c>
    </row>
    <row r="975" ht="15.75" hidden="1" customHeight="1">
      <c r="A975" s="9">
        <v>7266703.0</v>
      </c>
      <c r="B975" s="2" t="s">
        <v>5079</v>
      </c>
      <c r="C975" s="2" t="s">
        <v>5080</v>
      </c>
      <c r="D975" s="2" t="s">
        <v>5081</v>
      </c>
      <c r="E975" s="10" t="s">
        <v>5082</v>
      </c>
      <c r="F975" s="2" t="s">
        <v>1064</v>
      </c>
      <c r="G975" s="2"/>
      <c r="H975" s="2"/>
      <c r="I975" s="2" t="s">
        <v>5080</v>
      </c>
    </row>
    <row r="976" ht="15.75" hidden="1" customHeight="1">
      <c r="A976" s="9">
        <v>7266704.0</v>
      </c>
      <c r="B976" s="2" t="s">
        <v>5083</v>
      </c>
      <c r="C976" s="2" t="s">
        <v>5084</v>
      </c>
      <c r="D976" s="2" t="s">
        <v>5085</v>
      </c>
      <c r="E976" s="10" t="s">
        <v>5086</v>
      </c>
      <c r="F976" s="2" t="s">
        <v>1064</v>
      </c>
      <c r="G976" s="2"/>
      <c r="H976" s="2"/>
      <c r="I976" s="2" t="s">
        <v>5084</v>
      </c>
    </row>
    <row r="977" ht="15.75" hidden="1" customHeight="1">
      <c r="A977" s="9">
        <v>7266705.0</v>
      </c>
      <c r="B977" s="2" t="s">
        <v>5088</v>
      </c>
      <c r="C977" s="2" t="s">
        <v>5089</v>
      </c>
      <c r="D977" s="2" t="s">
        <v>5090</v>
      </c>
      <c r="E977" s="10" t="s">
        <v>5091</v>
      </c>
      <c r="F977" s="2" t="s">
        <v>1064</v>
      </c>
      <c r="G977" s="2"/>
      <c r="H977" s="2"/>
      <c r="I977" s="2" t="s">
        <v>5089</v>
      </c>
    </row>
    <row r="978" ht="15.75" hidden="1" customHeight="1">
      <c r="A978" s="9">
        <v>7266706.0</v>
      </c>
      <c r="B978" s="2" t="s">
        <v>5094</v>
      </c>
      <c r="C978" s="2" t="s">
        <v>5095</v>
      </c>
      <c r="D978" s="2" t="s">
        <v>5096</v>
      </c>
      <c r="E978" s="10" t="s">
        <v>5097</v>
      </c>
      <c r="F978" s="2" t="s">
        <v>1064</v>
      </c>
      <c r="G978" s="2"/>
      <c r="H978" s="2"/>
      <c r="I978" s="2" t="s">
        <v>5095</v>
      </c>
    </row>
    <row r="979" ht="15.75" hidden="1" customHeight="1">
      <c r="A979" s="9">
        <v>7266707.0</v>
      </c>
      <c r="B979" s="2" t="s">
        <v>5099</v>
      </c>
      <c r="C979" s="2" t="s">
        <v>5100</v>
      </c>
      <c r="D979" s="2" t="s">
        <v>5101</v>
      </c>
      <c r="E979" s="10" t="s">
        <v>5102</v>
      </c>
      <c r="F979" s="2" t="s">
        <v>1064</v>
      </c>
      <c r="G979" s="2"/>
      <c r="H979" s="2"/>
      <c r="I979" s="2" t="s">
        <v>5100</v>
      </c>
    </row>
    <row r="980" ht="15.75" hidden="1" customHeight="1">
      <c r="A980" s="9">
        <v>7266708.0</v>
      </c>
      <c r="B980" s="2" t="s">
        <v>5103</v>
      </c>
      <c r="C980" s="2" t="s">
        <v>5104</v>
      </c>
      <c r="D980" s="2" t="s">
        <v>2415</v>
      </c>
      <c r="E980" s="10" t="s">
        <v>2417</v>
      </c>
      <c r="F980" s="2" t="s">
        <v>1064</v>
      </c>
      <c r="G980" s="2"/>
      <c r="H980" s="2"/>
      <c r="I980" s="2" t="s">
        <v>5104</v>
      </c>
    </row>
    <row r="981" ht="15.75" hidden="1" customHeight="1">
      <c r="A981" s="9">
        <v>7266709.0</v>
      </c>
      <c r="B981" s="2" t="s">
        <v>5106</v>
      </c>
      <c r="C981" s="2" t="s">
        <v>5107</v>
      </c>
      <c r="D981" s="2" t="s">
        <v>5108</v>
      </c>
      <c r="E981" s="10" t="s">
        <v>5109</v>
      </c>
      <c r="F981" s="2" t="s">
        <v>1064</v>
      </c>
      <c r="G981" s="2"/>
      <c r="H981" s="2"/>
      <c r="I981" s="2" t="s">
        <v>5107</v>
      </c>
    </row>
    <row r="982" ht="15.75" customHeight="1">
      <c r="A982" s="9">
        <v>7266710.0</v>
      </c>
      <c r="B982" s="2" t="s">
        <v>213</v>
      </c>
      <c r="C982" s="2" t="s">
        <v>5113</v>
      </c>
      <c r="D982" s="2" t="s">
        <v>5114</v>
      </c>
      <c r="E982" s="10" t="s">
        <v>2199</v>
      </c>
      <c r="F982" s="2" t="s">
        <v>219</v>
      </c>
      <c r="G982" s="2"/>
      <c r="H982" s="2"/>
      <c r="I982" s="2" t="s">
        <v>5113</v>
      </c>
    </row>
    <row r="983" ht="15.75" customHeight="1">
      <c r="A983" s="9">
        <v>7266711.0</v>
      </c>
      <c r="B983" s="2" t="s">
        <v>582</v>
      </c>
      <c r="C983" s="2" t="s">
        <v>5116</v>
      </c>
      <c r="D983" s="2" t="s">
        <v>5117</v>
      </c>
      <c r="E983" s="10" t="s">
        <v>2219</v>
      </c>
      <c r="F983" s="2" t="s">
        <v>219</v>
      </c>
      <c r="G983" s="2"/>
      <c r="H983" s="2"/>
      <c r="I983" s="2" t="s">
        <v>5116</v>
      </c>
    </row>
    <row r="984" ht="15.75" customHeight="1">
      <c r="A984" s="9">
        <v>7266712.0</v>
      </c>
      <c r="B984" s="2" t="s">
        <v>593</v>
      </c>
      <c r="C984" s="2" t="s">
        <v>5118</v>
      </c>
      <c r="D984" s="2" t="s">
        <v>5119</v>
      </c>
      <c r="E984" s="10" t="s">
        <v>2226</v>
      </c>
      <c r="F984" s="2" t="s">
        <v>219</v>
      </c>
      <c r="G984" s="2"/>
      <c r="H984" s="2"/>
      <c r="I984" s="2" t="s">
        <v>5118</v>
      </c>
    </row>
    <row r="985" ht="15.75" customHeight="1">
      <c r="A985" s="9">
        <v>7266713.0</v>
      </c>
      <c r="B985" s="2" t="s">
        <v>602</v>
      </c>
      <c r="C985" s="2" t="s">
        <v>5120</v>
      </c>
      <c r="D985" s="2" t="s">
        <v>5121</v>
      </c>
      <c r="E985" s="10" t="s">
        <v>2232</v>
      </c>
      <c r="F985" s="2" t="s">
        <v>219</v>
      </c>
      <c r="G985" s="2"/>
      <c r="H985" s="2"/>
      <c r="I985" s="2" t="s">
        <v>5120</v>
      </c>
    </row>
    <row r="986" ht="15.75" customHeight="1">
      <c r="A986" s="9">
        <v>7266714.0</v>
      </c>
      <c r="B986" s="2" t="s">
        <v>631</v>
      </c>
      <c r="C986" s="2" t="s">
        <v>5122</v>
      </c>
      <c r="D986" s="2" t="s">
        <v>5123</v>
      </c>
      <c r="E986" s="10" t="s">
        <v>2250</v>
      </c>
      <c r="F986" s="2" t="s">
        <v>219</v>
      </c>
      <c r="G986" s="2"/>
      <c r="H986" s="2"/>
      <c r="I986" s="2" t="s">
        <v>5122</v>
      </c>
    </row>
    <row r="987" ht="15.75" customHeight="1">
      <c r="A987" s="9">
        <v>7266715.0</v>
      </c>
      <c r="B987" s="2" t="s">
        <v>640</v>
      </c>
      <c r="C987" s="2" t="s">
        <v>5125</v>
      </c>
      <c r="D987" s="2" t="s">
        <v>5126</v>
      </c>
      <c r="E987" s="10" t="s">
        <v>2256</v>
      </c>
      <c r="F987" s="2" t="s">
        <v>219</v>
      </c>
      <c r="G987" s="2"/>
      <c r="H987" s="2"/>
      <c r="I987" s="2" t="s">
        <v>5125</v>
      </c>
    </row>
    <row r="988" ht="15.75" customHeight="1">
      <c r="A988" s="9">
        <v>7266716.0</v>
      </c>
      <c r="B988" s="2" t="s">
        <v>651</v>
      </c>
      <c r="C988" s="2" t="s">
        <v>5127</v>
      </c>
      <c r="D988" s="2" t="s">
        <v>3588</v>
      </c>
      <c r="E988" s="10" t="s">
        <v>2262</v>
      </c>
      <c r="F988" s="2" t="s">
        <v>219</v>
      </c>
      <c r="G988" s="2"/>
      <c r="H988" s="2"/>
      <c r="I988" s="2" t="s">
        <v>5127</v>
      </c>
    </row>
    <row r="989" ht="15.75" customHeight="1">
      <c r="A989" s="9">
        <v>7266717.0</v>
      </c>
      <c r="B989" s="2" t="s">
        <v>659</v>
      </c>
      <c r="C989" s="2" t="s">
        <v>5128</v>
      </c>
      <c r="D989" s="2" t="s">
        <v>5129</v>
      </c>
      <c r="E989" s="10" t="s">
        <v>2267</v>
      </c>
      <c r="F989" s="2" t="s">
        <v>219</v>
      </c>
      <c r="G989" s="2"/>
      <c r="H989" s="2"/>
      <c r="I989" s="2" t="s">
        <v>5128</v>
      </c>
    </row>
    <row r="990" ht="15.75" customHeight="1">
      <c r="A990" s="9">
        <v>7266718.0</v>
      </c>
      <c r="B990" s="2" t="s">
        <v>665</v>
      </c>
      <c r="C990" s="2" t="s">
        <v>5130</v>
      </c>
      <c r="D990" s="2" t="s">
        <v>5131</v>
      </c>
      <c r="E990" s="10" t="s">
        <v>2272</v>
      </c>
      <c r="F990" s="2" t="s">
        <v>219</v>
      </c>
      <c r="G990" s="2"/>
      <c r="H990" s="2"/>
      <c r="I990" s="2" t="s">
        <v>5130</v>
      </c>
    </row>
    <row r="991" ht="15.75" customHeight="1">
      <c r="A991" s="9">
        <v>7266719.0</v>
      </c>
      <c r="B991" s="2" t="s">
        <v>677</v>
      </c>
      <c r="C991" s="2" t="s">
        <v>5133</v>
      </c>
      <c r="D991" s="2" t="s">
        <v>4613</v>
      </c>
      <c r="E991" s="10" t="s">
        <v>2276</v>
      </c>
      <c r="F991" s="2" t="s">
        <v>219</v>
      </c>
      <c r="G991" s="2"/>
      <c r="H991" s="2"/>
      <c r="I991" s="2" t="s">
        <v>5133</v>
      </c>
    </row>
    <row r="992" ht="15.75" customHeight="1">
      <c r="A992" s="9">
        <v>7266720.0</v>
      </c>
      <c r="B992" s="2" t="s">
        <v>687</v>
      </c>
      <c r="C992" s="2" t="s">
        <v>5135</v>
      </c>
      <c r="D992" s="2" t="s">
        <v>5136</v>
      </c>
      <c r="E992" s="10" t="s">
        <v>2282</v>
      </c>
      <c r="F992" s="2" t="s">
        <v>219</v>
      </c>
      <c r="G992" s="2"/>
      <c r="H992" s="2"/>
      <c r="I992" s="2" t="s">
        <v>5135</v>
      </c>
    </row>
    <row r="993" ht="15.75" customHeight="1">
      <c r="A993" s="9">
        <v>7266721.0</v>
      </c>
      <c r="B993" s="2" t="s">
        <v>697</v>
      </c>
      <c r="C993" s="2" t="s">
        <v>5137</v>
      </c>
      <c r="D993" s="2" t="s">
        <v>3794</v>
      </c>
      <c r="E993" s="10" t="s">
        <v>2287</v>
      </c>
      <c r="F993" s="2" t="s">
        <v>219</v>
      </c>
      <c r="G993" s="2"/>
      <c r="H993" s="2"/>
      <c r="I993" s="2" t="s">
        <v>5137</v>
      </c>
    </row>
    <row r="994" ht="15.75" customHeight="1">
      <c r="A994" s="9">
        <v>7266722.0</v>
      </c>
      <c r="B994" s="2" t="s">
        <v>708</v>
      </c>
      <c r="C994" s="2" t="s">
        <v>5138</v>
      </c>
      <c r="D994" s="2" t="s">
        <v>5139</v>
      </c>
      <c r="E994" s="10" t="s">
        <v>2293</v>
      </c>
      <c r="F994" s="2" t="s">
        <v>219</v>
      </c>
      <c r="G994" s="2"/>
      <c r="H994" s="2"/>
      <c r="I994" s="2" t="s">
        <v>5138</v>
      </c>
    </row>
    <row r="995" ht="15.75" customHeight="1">
      <c r="A995" s="9">
        <v>7266723.0</v>
      </c>
      <c r="B995" s="2" t="s">
        <v>718</v>
      </c>
      <c r="C995" s="2" t="s">
        <v>5141</v>
      </c>
      <c r="D995" s="2" t="s">
        <v>5142</v>
      </c>
      <c r="E995" s="10" t="s">
        <v>2300</v>
      </c>
      <c r="F995" s="2" t="s">
        <v>219</v>
      </c>
      <c r="G995" s="2"/>
      <c r="H995" s="2"/>
      <c r="I995" s="2" t="s">
        <v>5141</v>
      </c>
    </row>
    <row r="996" ht="15.75" customHeight="1">
      <c r="A996" s="9">
        <v>7266724.0</v>
      </c>
      <c r="B996" s="2" t="s">
        <v>735</v>
      </c>
      <c r="C996" s="2" t="s">
        <v>5144</v>
      </c>
      <c r="D996" s="2" t="s">
        <v>5145</v>
      </c>
      <c r="E996" s="10" t="s">
        <v>2305</v>
      </c>
      <c r="F996" s="2" t="s">
        <v>219</v>
      </c>
      <c r="G996" s="2"/>
      <c r="H996" s="2"/>
      <c r="I996" s="2" t="s">
        <v>5144</v>
      </c>
    </row>
    <row r="997" ht="15.75" customHeight="1">
      <c r="A997" s="9">
        <v>7266725.0</v>
      </c>
      <c r="B997" s="2" t="s">
        <v>748</v>
      </c>
      <c r="C997" s="2" t="s">
        <v>5146</v>
      </c>
      <c r="D997" s="2" t="s">
        <v>5147</v>
      </c>
      <c r="E997" s="10" t="s">
        <v>2313</v>
      </c>
      <c r="F997" s="2" t="s">
        <v>219</v>
      </c>
      <c r="G997" s="2"/>
      <c r="H997" s="2"/>
      <c r="I997" s="2" t="s">
        <v>5146</v>
      </c>
    </row>
    <row r="998" ht="15.75" customHeight="1">
      <c r="A998" s="9">
        <v>7266726.0</v>
      </c>
      <c r="B998" s="2" t="s">
        <v>759</v>
      </c>
      <c r="C998" s="2" t="s">
        <v>5148</v>
      </c>
      <c r="D998" s="2" t="s">
        <v>5149</v>
      </c>
      <c r="E998" s="10" t="s">
        <v>2319</v>
      </c>
      <c r="F998" s="2" t="s">
        <v>219</v>
      </c>
      <c r="G998" s="2"/>
      <c r="H998" s="2"/>
      <c r="I998" s="2" t="s">
        <v>5148</v>
      </c>
    </row>
    <row r="999" ht="15.75" customHeight="1">
      <c r="A999" s="9">
        <v>7266727.0</v>
      </c>
      <c r="B999" s="2" t="s">
        <v>768</v>
      </c>
      <c r="C999" s="2" t="s">
        <v>5152</v>
      </c>
      <c r="D999" s="2" t="s">
        <v>5153</v>
      </c>
      <c r="E999" s="10" t="s">
        <v>2325</v>
      </c>
      <c r="F999" s="2" t="s">
        <v>219</v>
      </c>
      <c r="G999" s="2"/>
      <c r="H999" s="2"/>
      <c r="I999" s="2" t="s">
        <v>5152</v>
      </c>
    </row>
    <row r="1000" ht="15.75" customHeight="1">
      <c r="A1000" s="9">
        <v>7266728.0</v>
      </c>
      <c r="B1000" s="2" t="s">
        <v>775</v>
      </c>
      <c r="C1000" s="2" t="s">
        <v>5156</v>
      </c>
      <c r="D1000" s="2" t="s">
        <v>5158</v>
      </c>
      <c r="E1000" s="10" t="s">
        <v>2330</v>
      </c>
      <c r="F1000" s="2" t="s">
        <v>219</v>
      </c>
      <c r="G1000" s="2"/>
      <c r="H1000" s="2"/>
      <c r="I1000" s="2" t="s">
        <v>5156</v>
      </c>
    </row>
    <row r="1001" ht="15.75" customHeight="1">
      <c r="A1001" s="9">
        <v>7266729.0</v>
      </c>
      <c r="B1001" s="2" t="s">
        <v>791</v>
      </c>
      <c r="C1001" s="2" t="s">
        <v>5159</v>
      </c>
      <c r="D1001" s="2" t="s">
        <v>5160</v>
      </c>
      <c r="E1001" s="10" t="s">
        <v>2334</v>
      </c>
      <c r="F1001" s="2" t="s">
        <v>219</v>
      </c>
      <c r="G1001" s="2"/>
      <c r="H1001" s="2"/>
      <c r="I1001" s="2" t="s">
        <v>5159</v>
      </c>
    </row>
    <row r="1002" ht="15.75" customHeight="1">
      <c r="A1002" s="9">
        <v>7266730.0</v>
      </c>
      <c r="B1002" s="2" t="s">
        <v>799</v>
      </c>
      <c r="C1002" s="2" t="s">
        <v>5161</v>
      </c>
      <c r="D1002" s="2" t="s">
        <v>5162</v>
      </c>
      <c r="E1002" s="10" t="s">
        <v>2339</v>
      </c>
      <c r="F1002" s="2" t="s">
        <v>219</v>
      </c>
      <c r="G1002" s="2"/>
      <c r="H1002" s="2"/>
      <c r="I1002" s="2" t="s">
        <v>5161</v>
      </c>
    </row>
    <row r="1003" ht="15.75" customHeight="1">
      <c r="A1003" s="9">
        <v>7266731.0</v>
      </c>
      <c r="B1003" s="2" t="s">
        <v>812</v>
      </c>
      <c r="C1003" s="2" t="s">
        <v>5165</v>
      </c>
      <c r="D1003" s="2" t="s">
        <v>5166</v>
      </c>
      <c r="E1003" s="10" t="s">
        <v>2347</v>
      </c>
      <c r="F1003" s="2" t="s">
        <v>219</v>
      </c>
      <c r="G1003" s="2"/>
      <c r="H1003" s="2"/>
      <c r="I1003" s="2" t="s">
        <v>5165</v>
      </c>
    </row>
    <row r="1004" ht="15.75" customHeight="1">
      <c r="A1004" s="9">
        <v>7266732.0</v>
      </c>
      <c r="B1004" s="2" t="s">
        <v>818</v>
      </c>
      <c r="C1004" s="2" t="s">
        <v>5168</v>
      </c>
      <c r="D1004" s="2" t="s">
        <v>5169</v>
      </c>
      <c r="E1004" s="10" t="s">
        <v>2351</v>
      </c>
      <c r="F1004" s="2" t="s">
        <v>184</v>
      </c>
      <c r="G1004" s="2"/>
      <c r="H1004" s="2"/>
      <c r="I1004" s="2" t="s">
        <v>5168</v>
      </c>
    </row>
    <row r="1005" ht="15.75" customHeight="1">
      <c r="A1005" s="9">
        <v>7266733.0</v>
      </c>
      <c r="B1005" s="2" t="s">
        <v>824</v>
      </c>
      <c r="C1005" s="2" t="s">
        <v>5170</v>
      </c>
      <c r="D1005" s="2" t="s">
        <v>5171</v>
      </c>
      <c r="E1005" s="10" t="s">
        <v>2355</v>
      </c>
      <c r="F1005" s="2" t="s">
        <v>184</v>
      </c>
      <c r="G1005" s="2"/>
      <c r="H1005" s="2"/>
      <c r="I1005" s="2" t="s">
        <v>5170</v>
      </c>
    </row>
    <row r="1006" ht="15.75" customHeight="1">
      <c r="A1006" s="9">
        <v>7266734.0</v>
      </c>
      <c r="B1006" s="2" t="s">
        <v>834</v>
      </c>
      <c r="C1006" s="2" t="s">
        <v>5172</v>
      </c>
      <c r="D1006" s="2" t="s">
        <v>5173</v>
      </c>
      <c r="E1006" s="10" t="s">
        <v>2360</v>
      </c>
      <c r="F1006" s="2" t="s">
        <v>184</v>
      </c>
      <c r="G1006" s="2"/>
      <c r="H1006" s="2"/>
      <c r="I1006" s="2" t="s">
        <v>5172</v>
      </c>
    </row>
    <row r="1007" ht="15.75" customHeight="1">
      <c r="A1007" s="9">
        <v>7266735.0</v>
      </c>
      <c r="B1007" s="2" t="s">
        <v>845</v>
      </c>
      <c r="C1007" s="2" t="s">
        <v>5176</v>
      </c>
      <c r="D1007" s="2" t="s">
        <v>5177</v>
      </c>
      <c r="E1007" s="10" t="s">
        <v>2366</v>
      </c>
      <c r="F1007" s="2" t="s">
        <v>184</v>
      </c>
      <c r="G1007" s="2"/>
      <c r="H1007" s="2"/>
      <c r="I1007" s="2" t="s">
        <v>5176</v>
      </c>
    </row>
    <row r="1008" ht="15.75" customHeight="1">
      <c r="A1008" s="9">
        <v>7266736.0</v>
      </c>
      <c r="B1008" s="2" t="s">
        <v>853</v>
      </c>
      <c r="C1008" s="2" t="s">
        <v>5180</v>
      </c>
      <c r="D1008" s="2" t="s">
        <v>5181</v>
      </c>
      <c r="E1008" s="10" t="s">
        <v>2373</v>
      </c>
      <c r="F1008" s="2" t="s">
        <v>184</v>
      </c>
      <c r="G1008" s="2"/>
      <c r="H1008" s="2"/>
      <c r="I1008" s="2" t="s">
        <v>5180</v>
      </c>
    </row>
    <row r="1009" ht="15.75" customHeight="1">
      <c r="A1009" s="9">
        <v>7266737.0</v>
      </c>
      <c r="B1009" s="2" t="s">
        <v>866</v>
      </c>
      <c r="C1009" s="2" t="s">
        <v>5182</v>
      </c>
      <c r="D1009" s="2" t="s">
        <v>5183</v>
      </c>
      <c r="E1009" s="10" t="s">
        <v>2379</v>
      </c>
      <c r="F1009" s="2" t="s">
        <v>184</v>
      </c>
      <c r="G1009" s="2"/>
      <c r="H1009" s="2"/>
      <c r="I1009" s="2" t="s">
        <v>5182</v>
      </c>
    </row>
    <row r="1010" ht="15.75" customHeight="1">
      <c r="A1010" s="9">
        <v>7266738.0</v>
      </c>
      <c r="B1010" s="2" t="s">
        <v>875</v>
      </c>
      <c r="C1010" s="2" t="s">
        <v>5184</v>
      </c>
      <c r="D1010" s="2" t="s">
        <v>5185</v>
      </c>
      <c r="E1010" s="10" t="s">
        <v>2385</v>
      </c>
      <c r="F1010" s="2" t="s">
        <v>184</v>
      </c>
      <c r="G1010" s="2"/>
      <c r="H1010" s="2"/>
      <c r="I1010" s="2" t="s">
        <v>5184</v>
      </c>
    </row>
    <row r="1011" ht="15.75" customHeight="1">
      <c r="A1011" s="9">
        <v>7266739.0</v>
      </c>
      <c r="B1011" s="2" t="s">
        <v>888</v>
      </c>
      <c r="C1011" s="2" t="s">
        <v>5188</v>
      </c>
      <c r="D1011" s="2" t="s">
        <v>4909</v>
      </c>
      <c r="E1011" s="10" t="s">
        <v>2393</v>
      </c>
      <c r="F1011" s="2" t="s">
        <v>184</v>
      </c>
      <c r="G1011" s="2"/>
      <c r="H1011" s="2"/>
      <c r="I1011" s="2" t="s">
        <v>5188</v>
      </c>
    </row>
    <row r="1012" ht="15.75" customHeight="1">
      <c r="A1012" s="9">
        <v>7266740.0</v>
      </c>
      <c r="B1012" s="2" t="s">
        <v>900</v>
      </c>
      <c r="C1012" s="2" t="s">
        <v>5191</v>
      </c>
      <c r="D1012" s="2" t="s">
        <v>5192</v>
      </c>
      <c r="E1012" s="10" t="s">
        <v>2397</v>
      </c>
      <c r="F1012" s="2" t="s">
        <v>184</v>
      </c>
      <c r="G1012" s="2"/>
      <c r="H1012" s="2"/>
      <c r="I1012" s="2" t="s">
        <v>5191</v>
      </c>
    </row>
    <row r="1013" ht="15.75" customHeight="1">
      <c r="A1013" s="9">
        <v>7266741.0</v>
      </c>
      <c r="B1013" s="2" t="s">
        <v>914</v>
      </c>
      <c r="C1013" s="2" t="s">
        <v>5194</v>
      </c>
      <c r="D1013" s="2" t="s">
        <v>5195</v>
      </c>
      <c r="E1013" s="10" t="s">
        <v>2403</v>
      </c>
      <c r="F1013" s="2" t="s">
        <v>184</v>
      </c>
      <c r="G1013" s="2"/>
      <c r="H1013" s="2"/>
      <c r="I1013" s="2" t="s">
        <v>5194</v>
      </c>
    </row>
    <row r="1014" ht="15.75" customHeight="1">
      <c r="A1014" s="9">
        <v>7266742.0</v>
      </c>
      <c r="B1014" s="2" t="s">
        <v>921</v>
      </c>
      <c r="C1014" s="2" t="s">
        <v>5196</v>
      </c>
      <c r="D1014" s="2" t="s">
        <v>5197</v>
      </c>
      <c r="E1014" s="10" t="s">
        <v>2409</v>
      </c>
      <c r="F1014" s="2" t="s">
        <v>184</v>
      </c>
      <c r="G1014" s="2"/>
      <c r="H1014" s="2"/>
      <c r="I1014" s="2" t="s">
        <v>5196</v>
      </c>
    </row>
    <row r="1015" ht="15.75" customHeight="1">
      <c r="A1015" s="9">
        <v>7266743.0</v>
      </c>
      <c r="B1015" s="2" t="s">
        <v>929</v>
      </c>
      <c r="C1015" s="2" t="s">
        <v>5199</v>
      </c>
      <c r="D1015" s="2" t="s">
        <v>5200</v>
      </c>
      <c r="E1015" s="10" t="s">
        <v>2413</v>
      </c>
      <c r="F1015" s="2" t="s">
        <v>184</v>
      </c>
      <c r="G1015" s="2"/>
      <c r="H1015" s="2"/>
      <c r="I1015" s="2" t="s">
        <v>5199</v>
      </c>
    </row>
    <row r="1016" ht="15.75" customHeight="1">
      <c r="A1016" s="9">
        <v>7266744.0</v>
      </c>
      <c r="B1016" s="2" t="s">
        <v>939</v>
      </c>
      <c r="C1016" s="2" t="s">
        <v>5201</v>
      </c>
      <c r="D1016" s="2" t="s">
        <v>172</v>
      </c>
      <c r="E1016" s="10" t="s">
        <v>178</v>
      </c>
      <c r="F1016" s="2" t="s">
        <v>184</v>
      </c>
      <c r="G1016" s="2"/>
      <c r="H1016" s="2"/>
      <c r="I1016" s="2" t="s">
        <v>5201</v>
      </c>
    </row>
    <row r="1017" ht="15.75" customHeight="1">
      <c r="A1017" s="9">
        <v>7266745.0</v>
      </c>
      <c r="B1017" s="2" t="s">
        <v>950</v>
      </c>
      <c r="C1017" s="2" t="s">
        <v>5203</v>
      </c>
      <c r="D1017" s="2" t="s">
        <v>5204</v>
      </c>
      <c r="E1017" s="10" t="s">
        <v>2420</v>
      </c>
      <c r="F1017" s="2" t="s">
        <v>184</v>
      </c>
      <c r="G1017" s="2"/>
      <c r="H1017" s="2"/>
      <c r="I1017" s="2" t="s">
        <v>5203</v>
      </c>
    </row>
    <row r="1018" ht="15.75" customHeight="1">
      <c r="A1018" s="9">
        <v>7266746.0</v>
      </c>
      <c r="B1018" s="2" t="s">
        <v>959</v>
      </c>
      <c r="C1018" s="2" t="s">
        <v>5205</v>
      </c>
      <c r="D1018" s="2" t="s">
        <v>5206</v>
      </c>
      <c r="E1018" s="10" t="s">
        <v>2424</v>
      </c>
      <c r="F1018" s="2" t="s">
        <v>184</v>
      </c>
      <c r="G1018" s="2"/>
      <c r="H1018" s="2"/>
      <c r="I1018" s="2" t="s">
        <v>5205</v>
      </c>
    </row>
    <row r="1019" ht="15.75" customHeight="1">
      <c r="A1019" s="9">
        <v>7266747.0</v>
      </c>
      <c r="B1019" s="2" t="s">
        <v>969</v>
      </c>
      <c r="C1019" s="2" t="s">
        <v>5209</v>
      </c>
      <c r="D1019" s="2" t="s">
        <v>5210</v>
      </c>
      <c r="E1019" s="10" t="s">
        <v>2431</v>
      </c>
      <c r="F1019" s="2" t="s">
        <v>184</v>
      </c>
      <c r="G1019" s="2"/>
      <c r="H1019" s="2"/>
      <c r="I1019" s="2" t="s">
        <v>5209</v>
      </c>
    </row>
    <row r="1020" ht="15.75" customHeight="1">
      <c r="A1020" s="9">
        <v>7266748.0</v>
      </c>
      <c r="B1020" s="2" t="s">
        <v>980</v>
      </c>
      <c r="C1020" s="2" t="s">
        <v>5213</v>
      </c>
      <c r="D1020" s="2" t="s">
        <v>5214</v>
      </c>
      <c r="E1020" s="10" t="s">
        <v>2436</v>
      </c>
      <c r="F1020" s="2" t="s">
        <v>184</v>
      </c>
      <c r="G1020" s="2"/>
      <c r="H1020" s="2"/>
      <c r="I1020" s="2" t="s">
        <v>5213</v>
      </c>
    </row>
    <row r="1021" ht="15.75" customHeight="1">
      <c r="A1021" s="9">
        <v>7266749.0</v>
      </c>
      <c r="B1021" s="2" t="s">
        <v>987</v>
      </c>
      <c r="C1021" s="2" t="s">
        <v>5215</v>
      </c>
      <c r="D1021" s="2" t="s">
        <v>5216</v>
      </c>
      <c r="E1021" s="10" t="s">
        <v>2442</v>
      </c>
      <c r="F1021" s="2" t="s">
        <v>184</v>
      </c>
      <c r="G1021" s="2"/>
      <c r="H1021" s="2"/>
      <c r="I1021" s="2" t="s">
        <v>5215</v>
      </c>
    </row>
    <row r="1022" ht="15.75" customHeight="1">
      <c r="A1022" s="9">
        <v>7266750.0</v>
      </c>
      <c r="B1022" s="2" t="s">
        <v>995</v>
      </c>
      <c r="C1022" s="2" t="s">
        <v>5217</v>
      </c>
      <c r="D1022" s="2" t="s">
        <v>2558</v>
      </c>
      <c r="E1022" s="10" t="s">
        <v>2450</v>
      </c>
      <c r="F1022" s="2" t="s">
        <v>184</v>
      </c>
      <c r="G1022" s="2"/>
      <c r="H1022" s="2"/>
      <c r="I1022" s="2" t="s">
        <v>5217</v>
      </c>
    </row>
    <row r="1023" ht="15.75" customHeight="1">
      <c r="A1023" s="9">
        <v>7266751.0</v>
      </c>
      <c r="B1023" s="2" t="s">
        <v>1006</v>
      </c>
      <c r="C1023" s="2" t="s">
        <v>5220</v>
      </c>
      <c r="D1023" s="2" t="s">
        <v>5221</v>
      </c>
      <c r="E1023" s="10" t="s">
        <v>2453</v>
      </c>
      <c r="F1023" s="2" t="s">
        <v>184</v>
      </c>
      <c r="G1023" s="2"/>
      <c r="H1023" s="2"/>
      <c r="I1023" s="2" t="s">
        <v>5220</v>
      </c>
    </row>
    <row r="1024" ht="15.75" customHeight="1">
      <c r="A1024" s="9">
        <v>7266752.0</v>
      </c>
      <c r="B1024" s="2" t="s">
        <v>1016</v>
      </c>
      <c r="C1024" s="2" t="s">
        <v>5224</v>
      </c>
      <c r="D1024" s="2" t="s">
        <v>5225</v>
      </c>
      <c r="E1024" s="10" t="s">
        <v>2457</v>
      </c>
      <c r="F1024" s="2" t="s">
        <v>184</v>
      </c>
      <c r="G1024" s="2"/>
      <c r="H1024" s="2"/>
      <c r="I1024" s="2" t="s">
        <v>5224</v>
      </c>
    </row>
    <row r="1025" ht="15.75" customHeight="1">
      <c r="A1025" s="9">
        <v>7266753.0</v>
      </c>
      <c r="B1025" s="2" t="s">
        <v>1024</v>
      </c>
      <c r="C1025" s="2" t="s">
        <v>5226</v>
      </c>
      <c r="D1025" s="2" t="s">
        <v>5227</v>
      </c>
      <c r="E1025" s="10" t="s">
        <v>2463</v>
      </c>
      <c r="F1025" s="2" t="s">
        <v>184</v>
      </c>
      <c r="G1025" s="2"/>
      <c r="H1025" s="2"/>
      <c r="I1025" s="2" t="s">
        <v>5226</v>
      </c>
    </row>
    <row r="1026" ht="15.75" customHeight="1">
      <c r="A1026" s="9">
        <v>7266754.0</v>
      </c>
      <c r="B1026" s="2" t="s">
        <v>1032</v>
      </c>
      <c r="C1026" s="2" t="s">
        <v>5228</v>
      </c>
      <c r="D1026" s="2" t="s">
        <v>5230</v>
      </c>
      <c r="E1026" s="10" t="s">
        <v>2468</v>
      </c>
      <c r="F1026" s="2" t="s">
        <v>184</v>
      </c>
      <c r="G1026" s="2"/>
      <c r="H1026" s="2"/>
      <c r="I1026" s="2" t="s">
        <v>5228</v>
      </c>
    </row>
    <row r="1027" ht="15.75" customHeight="1">
      <c r="A1027" s="9">
        <v>7266755.0</v>
      </c>
      <c r="B1027" s="2" t="s">
        <v>1042</v>
      </c>
      <c r="C1027" s="2" t="s">
        <v>5232</v>
      </c>
      <c r="D1027" s="2" t="s">
        <v>5233</v>
      </c>
      <c r="E1027" s="10" t="s">
        <v>2476</v>
      </c>
      <c r="F1027" s="2" t="s">
        <v>184</v>
      </c>
      <c r="G1027" s="2"/>
      <c r="H1027" s="2"/>
      <c r="I1027" s="2" t="s">
        <v>5232</v>
      </c>
    </row>
    <row r="1028" ht="15.75" customHeight="1">
      <c r="A1028" s="9">
        <v>7266756.0</v>
      </c>
      <c r="B1028" s="2" t="s">
        <v>1048</v>
      </c>
      <c r="C1028" s="2" t="s">
        <v>5236</v>
      </c>
      <c r="D1028" s="2" t="s">
        <v>5237</v>
      </c>
      <c r="E1028" s="10" t="s">
        <v>2482</v>
      </c>
      <c r="F1028" s="2" t="s">
        <v>184</v>
      </c>
      <c r="G1028" s="2"/>
      <c r="H1028" s="2"/>
      <c r="I1028" s="2" t="s">
        <v>5236</v>
      </c>
    </row>
    <row r="1029" ht="15.75" customHeight="1">
      <c r="A1029" s="9">
        <v>7266757.0</v>
      </c>
      <c r="B1029" s="2" t="s">
        <v>1059</v>
      </c>
      <c r="C1029" s="2" t="s">
        <v>5238</v>
      </c>
      <c r="D1029" s="2" t="s">
        <v>5239</v>
      </c>
      <c r="E1029" s="10" t="s">
        <v>2487</v>
      </c>
      <c r="F1029" s="2" t="s">
        <v>184</v>
      </c>
      <c r="G1029" s="2"/>
      <c r="H1029" s="2"/>
      <c r="I1029" s="2" t="s">
        <v>5238</v>
      </c>
    </row>
    <row r="1030" ht="15.75" customHeight="1">
      <c r="A1030" s="9">
        <v>7266758.0</v>
      </c>
      <c r="B1030" s="2" t="s">
        <v>1070</v>
      </c>
      <c r="C1030" s="2" t="s">
        <v>5240</v>
      </c>
      <c r="D1030" s="2" t="s">
        <v>5241</v>
      </c>
      <c r="E1030" s="10" t="s">
        <v>2493</v>
      </c>
      <c r="F1030" s="2" t="s">
        <v>1071</v>
      </c>
      <c r="G1030" s="2"/>
      <c r="H1030" s="2"/>
      <c r="I1030" s="2" t="s">
        <v>5240</v>
      </c>
    </row>
    <row r="1031" ht="15.75" customHeight="1">
      <c r="A1031" s="9">
        <v>7266759.0</v>
      </c>
      <c r="B1031" s="2" t="s">
        <v>1079</v>
      </c>
      <c r="C1031" s="2" t="s">
        <v>5242</v>
      </c>
      <c r="D1031" s="2" t="s">
        <v>5243</v>
      </c>
      <c r="E1031" s="10" t="s">
        <v>2499</v>
      </c>
      <c r="F1031" s="2" t="s">
        <v>1071</v>
      </c>
      <c r="G1031" s="2"/>
      <c r="H1031" s="2"/>
      <c r="I1031" s="2" t="s">
        <v>5242</v>
      </c>
    </row>
    <row r="1032" ht="15.75" customHeight="1">
      <c r="A1032" s="9">
        <v>7266760.0</v>
      </c>
      <c r="B1032" s="2" t="s">
        <v>1091</v>
      </c>
      <c r="C1032" s="2" t="s">
        <v>5244</v>
      </c>
      <c r="D1032" s="2" t="s">
        <v>5245</v>
      </c>
      <c r="E1032" s="10" t="s">
        <v>2505</v>
      </c>
      <c r="F1032" s="2" t="s">
        <v>1071</v>
      </c>
      <c r="G1032" s="2"/>
      <c r="H1032" s="2"/>
      <c r="I1032" s="2" t="s">
        <v>5244</v>
      </c>
    </row>
    <row r="1033" ht="15.75" customHeight="1">
      <c r="A1033" s="9">
        <v>7266761.0</v>
      </c>
      <c r="B1033" s="2" t="s">
        <v>1106</v>
      </c>
      <c r="C1033" s="2" t="s">
        <v>5247</v>
      </c>
      <c r="D1033" s="2" t="s">
        <v>2324</v>
      </c>
      <c r="E1033" s="10" t="s">
        <v>2329</v>
      </c>
      <c r="F1033" s="2" t="s">
        <v>1071</v>
      </c>
      <c r="G1033" s="2"/>
      <c r="H1033" s="2"/>
      <c r="I1033" s="2" t="s">
        <v>5247</v>
      </c>
    </row>
    <row r="1034" ht="15.75" customHeight="1">
      <c r="A1034" s="9">
        <v>7266762.0</v>
      </c>
      <c r="B1034" s="2" t="s">
        <v>1116</v>
      </c>
      <c r="C1034" s="2" t="s">
        <v>5249</v>
      </c>
      <c r="D1034" s="2" t="s">
        <v>5250</v>
      </c>
      <c r="E1034" s="10" t="s">
        <v>2521</v>
      </c>
      <c r="F1034" s="2" t="s">
        <v>1071</v>
      </c>
      <c r="G1034" s="2"/>
      <c r="H1034" s="2"/>
      <c r="I1034" s="2" t="s">
        <v>5249</v>
      </c>
    </row>
    <row r="1035" ht="15.75" customHeight="1">
      <c r="A1035" s="9">
        <v>7266763.0</v>
      </c>
      <c r="B1035" s="2" t="s">
        <v>1129</v>
      </c>
      <c r="C1035" s="2" t="s">
        <v>5251</v>
      </c>
      <c r="D1035" s="2" t="s">
        <v>5252</v>
      </c>
      <c r="E1035" s="10" t="s">
        <v>2527</v>
      </c>
      <c r="F1035" s="2" t="s">
        <v>1071</v>
      </c>
      <c r="G1035" s="2"/>
      <c r="H1035" s="2"/>
      <c r="I1035" s="2" t="s">
        <v>5251</v>
      </c>
    </row>
    <row r="1036" ht="15.75" customHeight="1">
      <c r="A1036" s="9">
        <v>7266764.0</v>
      </c>
      <c r="B1036" s="2" t="s">
        <v>1141</v>
      </c>
      <c r="C1036" s="2" t="s">
        <v>5253</v>
      </c>
      <c r="D1036" s="2" t="s">
        <v>5254</v>
      </c>
      <c r="E1036" s="10" t="s">
        <v>2534</v>
      </c>
      <c r="F1036" s="2" t="s">
        <v>1071</v>
      </c>
      <c r="G1036" s="2"/>
      <c r="H1036" s="2"/>
      <c r="I1036" s="2" t="s">
        <v>5253</v>
      </c>
    </row>
    <row r="1037" ht="15.75" customHeight="1">
      <c r="A1037" s="9">
        <v>7266765.0</v>
      </c>
      <c r="B1037" s="2" t="s">
        <v>1151</v>
      </c>
      <c r="C1037" s="2" t="s">
        <v>5256</v>
      </c>
      <c r="D1037" s="2" t="s">
        <v>5257</v>
      </c>
      <c r="E1037" s="10" t="s">
        <v>2545</v>
      </c>
      <c r="F1037" s="2" t="s">
        <v>1071</v>
      </c>
      <c r="G1037" s="2"/>
      <c r="H1037" s="2"/>
      <c r="I1037" s="2" t="s">
        <v>5256</v>
      </c>
    </row>
    <row r="1038" ht="15.75" customHeight="1">
      <c r="A1038" s="9">
        <v>7266766.0</v>
      </c>
      <c r="B1038" s="2" t="s">
        <v>1160</v>
      </c>
      <c r="C1038" s="2" t="s">
        <v>5258</v>
      </c>
      <c r="D1038" s="2" t="s">
        <v>5259</v>
      </c>
      <c r="E1038" s="10" t="s">
        <v>2550</v>
      </c>
      <c r="F1038" s="2" t="s">
        <v>1071</v>
      </c>
      <c r="G1038" s="2"/>
      <c r="H1038" s="2"/>
      <c r="I1038" s="2" t="s">
        <v>5258</v>
      </c>
    </row>
    <row r="1039" ht="15.75" customHeight="1">
      <c r="A1039" s="9">
        <v>7266767.0</v>
      </c>
      <c r="B1039" s="2" t="s">
        <v>1171</v>
      </c>
      <c r="C1039" s="2" t="s">
        <v>5261</v>
      </c>
      <c r="D1039" s="2" t="s">
        <v>5262</v>
      </c>
      <c r="E1039" s="10" t="s">
        <v>2555</v>
      </c>
      <c r="F1039" s="2" t="s">
        <v>1071</v>
      </c>
      <c r="G1039" s="2"/>
      <c r="H1039" s="2"/>
      <c r="I1039" s="2" t="s">
        <v>5261</v>
      </c>
    </row>
    <row r="1040" ht="15.75" customHeight="1">
      <c r="A1040" s="9">
        <v>7266768.0</v>
      </c>
      <c r="B1040" s="2" t="s">
        <v>1182</v>
      </c>
      <c r="C1040" s="2" t="s">
        <v>5264</v>
      </c>
      <c r="D1040" s="2" t="s">
        <v>5266</v>
      </c>
      <c r="E1040" s="10" t="s">
        <v>2565</v>
      </c>
      <c r="F1040" s="2" t="s">
        <v>1071</v>
      </c>
      <c r="G1040" s="2"/>
      <c r="H1040" s="2"/>
      <c r="I1040" s="2" t="s">
        <v>5264</v>
      </c>
    </row>
    <row r="1041" ht="15.75" customHeight="1">
      <c r="A1041" s="9">
        <v>7266769.0</v>
      </c>
      <c r="B1041" s="2" t="s">
        <v>1192</v>
      </c>
      <c r="C1041" s="2" t="s">
        <v>5268</v>
      </c>
      <c r="D1041" s="2" t="s">
        <v>5269</v>
      </c>
      <c r="E1041" s="10" t="s">
        <v>2571</v>
      </c>
      <c r="F1041" s="2" t="s">
        <v>1071</v>
      </c>
      <c r="G1041" s="2"/>
      <c r="H1041" s="2"/>
      <c r="I1041" s="2" t="s">
        <v>5268</v>
      </c>
    </row>
    <row r="1042" ht="15.75" customHeight="1">
      <c r="A1042" s="9">
        <v>7266770.0</v>
      </c>
      <c r="B1042" s="2" t="s">
        <v>1203</v>
      </c>
      <c r="C1042" s="2" t="s">
        <v>5270</v>
      </c>
      <c r="D1042" s="2" t="s">
        <v>5271</v>
      </c>
      <c r="E1042" s="10" t="s">
        <v>2579</v>
      </c>
      <c r="F1042" s="2" t="s">
        <v>1071</v>
      </c>
      <c r="G1042" s="2"/>
      <c r="H1042" s="2"/>
      <c r="I1042" s="2" t="s">
        <v>5270</v>
      </c>
    </row>
    <row r="1043" ht="15.75" customHeight="1">
      <c r="A1043" s="9">
        <v>7266771.0</v>
      </c>
      <c r="B1043" s="2" t="s">
        <v>1211</v>
      </c>
      <c r="C1043" s="2" t="s">
        <v>5272</v>
      </c>
      <c r="D1043" s="2" t="s">
        <v>2469</v>
      </c>
      <c r="E1043" s="10" t="s">
        <v>2475</v>
      </c>
      <c r="F1043" s="2" t="s">
        <v>1071</v>
      </c>
      <c r="G1043" s="2"/>
      <c r="H1043" s="2"/>
      <c r="I1043" s="2" t="s">
        <v>5272</v>
      </c>
    </row>
    <row r="1044" ht="15.75" customHeight="1">
      <c r="A1044" s="9">
        <v>7266772.0</v>
      </c>
      <c r="B1044" s="2" t="s">
        <v>1220</v>
      </c>
      <c r="C1044" s="2" t="s">
        <v>5274</v>
      </c>
      <c r="D1044" s="2" t="s">
        <v>5275</v>
      </c>
      <c r="E1044" s="10" t="s">
        <v>2595</v>
      </c>
      <c r="F1044" s="2" t="s">
        <v>1071</v>
      </c>
      <c r="G1044" s="2"/>
      <c r="H1044" s="2"/>
      <c r="I1044" s="2" t="s">
        <v>5274</v>
      </c>
    </row>
    <row r="1045" ht="15.75" customHeight="1">
      <c r="A1045" s="9">
        <v>7266774.0</v>
      </c>
      <c r="B1045" s="2" t="s">
        <v>1237</v>
      </c>
      <c r="C1045" s="2" t="s">
        <v>5277</v>
      </c>
      <c r="D1045" s="2" t="s">
        <v>5278</v>
      </c>
      <c r="E1045" s="10" t="s">
        <v>2604</v>
      </c>
      <c r="F1045" s="2" t="s">
        <v>1071</v>
      </c>
      <c r="G1045" s="2"/>
      <c r="H1045" s="2"/>
      <c r="I1045" s="2" t="s">
        <v>5277</v>
      </c>
    </row>
    <row r="1046" ht="15.75" customHeight="1">
      <c r="A1046" s="9">
        <v>7266775.0</v>
      </c>
      <c r="B1046" s="2" t="s">
        <v>1249</v>
      </c>
      <c r="C1046" s="2" t="s">
        <v>5279</v>
      </c>
      <c r="D1046" s="2" t="s">
        <v>5280</v>
      </c>
      <c r="E1046" s="10" t="s">
        <v>2612</v>
      </c>
      <c r="F1046" s="2" t="s">
        <v>1071</v>
      </c>
      <c r="G1046" s="2"/>
      <c r="H1046" s="2"/>
      <c r="I1046" s="2" t="s">
        <v>5279</v>
      </c>
    </row>
    <row r="1047" ht="15.75" customHeight="1">
      <c r="A1047" s="9">
        <v>7266776.0</v>
      </c>
      <c r="B1047" s="2" t="s">
        <v>1257</v>
      </c>
      <c r="C1047" s="2" t="s">
        <v>5281</v>
      </c>
      <c r="D1047" s="2" t="s">
        <v>5282</v>
      </c>
      <c r="E1047" s="10" t="s">
        <v>2623</v>
      </c>
      <c r="F1047" s="2" t="s">
        <v>1071</v>
      </c>
      <c r="G1047" s="2"/>
      <c r="H1047" s="2"/>
      <c r="I1047" s="2" t="s">
        <v>5281</v>
      </c>
    </row>
    <row r="1048" ht="15.75" customHeight="1">
      <c r="A1048" s="9">
        <v>7266777.0</v>
      </c>
      <c r="B1048" s="2" t="s">
        <v>1267</v>
      </c>
      <c r="C1048" s="2" t="s">
        <v>5285</v>
      </c>
      <c r="D1048" s="2" t="s">
        <v>5286</v>
      </c>
      <c r="E1048" s="10" t="s">
        <v>2629</v>
      </c>
      <c r="F1048" s="2" t="s">
        <v>1071</v>
      </c>
      <c r="G1048" s="2"/>
      <c r="H1048" s="2"/>
      <c r="I1048" s="2" t="s">
        <v>5285</v>
      </c>
    </row>
    <row r="1049" ht="15.75" customHeight="1">
      <c r="A1049" s="9">
        <v>7266778.0</v>
      </c>
      <c r="B1049" s="2" t="s">
        <v>1276</v>
      </c>
      <c r="C1049" s="2" t="s">
        <v>5289</v>
      </c>
      <c r="D1049" s="2" t="s">
        <v>5290</v>
      </c>
      <c r="E1049" s="10" t="s">
        <v>2635</v>
      </c>
      <c r="F1049" s="2" t="s">
        <v>1071</v>
      </c>
      <c r="G1049" s="2"/>
      <c r="H1049" s="2"/>
      <c r="I1049" s="2" t="s">
        <v>5289</v>
      </c>
    </row>
    <row r="1050" ht="15.75" customHeight="1">
      <c r="A1050" s="9">
        <v>7266779.0</v>
      </c>
      <c r="B1050" s="2" t="s">
        <v>1283</v>
      </c>
      <c r="C1050" s="2" t="s">
        <v>5291</v>
      </c>
      <c r="D1050" s="2" t="s">
        <v>5292</v>
      </c>
      <c r="E1050" s="10" t="s">
        <v>2643</v>
      </c>
      <c r="F1050" s="2" t="s">
        <v>1071</v>
      </c>
      <c r="G1050" s="2"/>
      <c r="H1050" s="2"/>
      <c r="I1050" s="2" t="s">
        <v>5291</v>
      </c>
    </row>
    <row r="1051" ht="15.75" customHeight="1">
      <c r="A1051" s="9">
        <v>7266780.0</v>
      </c>
      <c r="B1051" s="2" t="s">
        <v>1295</v>
      </c>
      <c r="C1051" s="2" t="s">
        <v>5293</v>
      </c>
      <c r="D1051" s="2" t="s">
        <v>5295</v>
      </c>
      <c r="E1051" s="10" t="s">
        <v>2650</v>
      </c>
      <c r="F1051" s="2" t="s">
        <v>1071</v>
      </c>
      <c r="G1051" s="2"/>
      <c r="H1051" s="2"/>
      <c r="I1051" s="2" t="s">
        <v>5293</v>
      </c>
    </row>
    <row r="1052" ht="15.75" customHeight="1">
      <c r="A1052" s="9">
        <v>7266781.0</v>
      </c>
      <c r="B1052" s="2" t="s">
        <v>1305</v>
      </c>
      <c r="C1052" s="2" t="s">
        <v>5296</v>
      </c>
      <c r="D1052" s="2" t="s">
        <v>5298</v>
      </c>
      <c r="E1052" s="10" t="s">
        <v>2657</v>
      </c>
      <c r="F1052" s="2" t="s">
        <v>1071</v>
      </c>
      <c r="G1052" s="2"/>
      <c r="H1052" s="2"/>
      <c r="I1052" s="2" t="s">
        <v>5296</v>
      </c>
    </row>
    <row r="1053" ht="15.75" customHeight="1">
      <c r="A1053" s="9">
        <v>7266782.0</v>
      </c>
      <c r="B1053" s="2" t="s">
        <v>1316</v>
      </c>
      <c r="C1053" s="2" t="s">
        <v>5300</v>
      </c>
      <c r="D1053" s="2" t="s">
        <v>5301</v>
      </c>
      <c r="E1053" s="10" t="s">
        <v>2663</v>
      </c>
      <c r="F1053" s="2" t="s">
        <v>1071</v>
      </c>
      <c r="G1053" s="2"/>
      <c r="H1053" s="2"/>
      <c r="I1053" s="2" t="s">
        <v>5300</v>
      </c>
    </row>
    <row r="1054" ht="15.75" customHeight="1">
      <c r="A1054" s="9">
        <v>7266783.0</v>
      </c>
      <c r="B1054" s="2" t="s">
        <v>1325</v>
      </c>
      <c r="C1054" s="2" t="s">
        <v>5303</v>
      </c>
      <c r="D1054" s="2" t="s">
        <v>5304</v>
      </c>
      <c r="E1054" s="10" t="s">
        <v>2210</v>
      </c>
      <c r="F1054" s="2" t="s">
        <v>1071</v>
      </c>
      <c r="G1054" s="2"/>
      <c r="H1054" s="2"/>
      <c r="I1054" s="2" t="s">
        <v>5303</v>
      </c>
    </row>
    <row r="1055" ht="15.75" customHeight="1">
      <c r="A1055" s="9">
        <v>7266784.0</v>
      </c>
      <c r="B1055" s="2" t="s">
        <v>1333</v>
      </c>
      <c r="C1055" s="2" t="s">
        <v>5305</v>
      </c>
      <c r="D1055" s="2" t="s">
        <v>5306</v>
      </c>
      <c r="E1055" s="10" t="s">
        <v>2677</v>
      </c>
      <c r="F1055" s="2" t="s">
        <v>1071</v>
      </c>
      <c r="G1055" s="2"/>
      <c r="H1055" s="2"/>
      <c r="I1055" s="2" t="s">
        <v>5305</v>
      </c>
    </row>
    <row r="1056" ht="15.75" customHeight="1">
      <c r="A1056" s="9">
        <v>7266785.0</v>
      </c>
      <c r="B1056" s="2" t="s">
        <v>1344</v>
      </c>
      <c r="C1056" s="2" t="s">
        <v>5308</v>
      </c>
      <c r="D1056" s="2" t="s">
        <v>5309</v>
      </c>
      <c r="E1056" s="10" t="s">
        <v>2683</v>
      </c>
      <c r="F1056" s="2" t="s">
        <v>1071</v>
      </c>
      <c r="G1056" s="2"/>
      <c r="H1056" s="2"/>
      <c r="I1056" s="2" t="s">
        <v>5308</v>
      </c>
    </row>
    <row r="1057" ht="15.75" customHeight="1">
      <c r="A1057" s="9">
        <v>7266786.0</v>
      </c>
      <c r="B1057" s="2" t="s">
        <v>5311</v>
      </c>
      <c r="C1057" s="2" t="s">
        <v>5312</v>
      </c>
      <c r="D1057" s="2" t="s">
        <v>5313</v>
      </c>
      <c r="E1057" s="10" t="s">
        <v>2695</v>
      </c>
      <c r="F1057" s="2" t="s">
        <v>1071</v>
      </c>
      <c r="G1057" s="2"/>
      <c r="H1057" s="2"/>
      <c r="I1057" s="2" t="s">
        <v>5312</v>
      </c>
    </row>
    <row r="1058" ht="15.75" customHeight="1">
      <c r="A1058" s="9">
        <v>7266787.0</v>
      </c>
      <c r="B1058" s="2" t="s">
        <v>1359</v>
      </c>
      <c r="C1058" s="2" t="s">
        <v>5314</v>
      </c>
      <c r="D1058" s="2" t="s">
        <v>5315</v>
      </c>
      <c r="E1058" s="10" t="s">
        <v>5316</v>
      </c>
      <c r="F1058" s="2" t="s">
        <v>1071</v>
      </c>
      <c r="G1058" s="2"/>
      <c r="H1058" s="2"/>
      <c r="I1058" s="2" t="s">
        <v>5314</v>
      </c>
    </row>
    <row r="1059" ht="15.75" customHeight="1">
      <c r="A1059" s="9">
        <v>7266788.0</v>
      </c>
      <c r="B1059" s="2" t="s">
        <v>1372</v>
      </c>
      <c r="C1059" s="2" t="s">
        <v>5317</v>
      </c>
      <c r="D1059" s="2" t="s">
        <v>5318</v>
      </c>
      <c r="E1059" s="10" t="s">
        <v>2712</v>
      </c>
      <c r="F1059" s="2" t="s">
        <v>1071</v>
      </c>
      <c r="G1059" s="2"/>
      <c r="H1059" s="2"/>
      <c r="I1059" s="2" t="s">
        <v>5317</v>
      </c>
    </row>
    <row r="1060" ht="15.75" customHeight="1">
      <c r="A1060" s="9">
        <v>7266789.0</v>
      </c>
      <c r="B1060" s="2" t="s">
        <v>1378</v>
      </c>
      <c r="C1060" s="2" t="s">
        <v>5319</v>
      </c>
      <c r="D1060" s="2" t="s">
        <v>5320</v>
      </c>
      <c r="E1060" s="10" t="s">
        <v>2721</v>
      </c>
      <c r="F1060" s="2" t="s">
        <v>1379</v>
      </c>
      <c r="G1060" s="2"/>
      <c r="H1060" s="2"/>
      <c r="I1060" s="2" t="s">
        <v>5319</v>
      </c>
    </row>
    <row r="1061" ht="15.75" customHeight="1">
      <c r="A1061" s="9">
        <v>7266790.0</v>
      </c>
      <c r="B1061" s="2" t="s">
        <v>1390</v>
      </c>
      <c r="C1061" s="2" t="s">
        <v>5322</v>
      </c>
      <c r="D1061" s="2" t="s">
        <v>5323</v>
      </c>
      <c r="E1061" s="10" t="s">
        <v>2731</v>
      </c>
      <c r="F1061" s="2" t="s">
        <v>1379</v>
      </c>
      <c r="G1061" s="2"/>
      <c r="H1061" s="2"/>
      <c r="I1061" s="2" t="s">
        <v>5322</v>
      </c>
    </row>
    <row r="1062" ht="15.75" customHeight="1">
      <c r="A1062" s="9">
        <v>7266791.0</v>
      </c>
      <c r="B1062" s="2" t="s">
        <v>1400</v>
      </c>
      <c r="C1062" s="2" t="s">
        <v>5324</v>
      </c>
      <c r="D1062" s="2" t="s">
        <v>5325</v>
      </c>
      <c r="E1062" s="10" t="s">
        <v>2743</v>
      </c>
      <c r="F1062" s="2" t="s">
        <v>1379</v>
      </c>
      <c r="G1062" s="2"/>
      <c r="H1062" s="2"/>
      <c r="I1062" s="2" t="s">
        <v>5324</v>
      </c>
    </row>
    <row r="1063" ht="15.75" customHeight="1">
      <c r="A1063" s="9">
        <v>7266792.0</v>
      </c>
      <c r="B1063" s="2" t="s">
        <v>1409</v>
      </c>
      <c r="C1063" s="2" t="s">
        <v>5326</v>
      </c>
      <c r="D1063" s="2" t="s">
        <v>5327</v>
      </c>
      <c r="E1063" s="10" t="s">
        <v>2751</v>
      </c>
      <c r="F1063" s="2" t="s">
        <v>1379</v>
      </c>
      <c r="G1063" s="2"/>
      <c r="H1063" s="2"/>
      <c r="I1063" s="2" t="s">
        <v>5326</v>
      </c>
    </row>
    <row r="1064" ht="15.75" customHeight="1">
      <c r="A1064" s="9">
        <v>7266793.0</v>
      </c>
      <c r="B1064" s="2" t="s">
        <v>1420</v>
      </c>
      <c r="C1064" s="2" t="s">
        <v>5328</v>
      </c>
      <c r="D1064" s="2" t="s">
        <v>5329</v>
      </c>
      <c r="E1064" s="10" t="s">
        <v>2761</v>
      </c>
      <c r="F1064" s="2" t="s">
        <v>1379</v>
      </c>
      <c r="G1064" s="2"/>
      <c r="H1064" s="2"/>
      <c r="I1064" s="2" t="s">
        <v>5328</v>
      </c>
    </row>
    <row r="1065" ht="15.75" customHeight="1">
      <c r="A1065" s="9">
        <v>7266794.0</v>
      </c>
      <c r="B1065" s="2" t="s">
        <v>1429</v>
      </c>
      <c r="C1065" s="2" t="s">
        <v>5331</v>
      </c>
      <c r="D1065" s="2" t="s">
        <v>5332</v>
      </c>
      <c r="E1065" s="10" t="s">
        <v>2766</v>
      </c>
      <c r="F1065" s="2" t="s">
        <v>1379</v>
      </c>
      <c r="G1065" s="2"/>
      <c r="H1065" s="2"/>
      <c r="I1065" s="2" t="s">
        <v>5331</v>
      </c>
    </row>
    <row r="1066" ht="15.75" customHeight="1">
      <c r="A1066" s="9">
        <v>7266795.0</v>
      </c>
      <c r="B1066" s="2" t="s">
        <v>1447</v>
      </c>
      <c r="C1066" s="2" t="s">
        <v>5333</v>
      </c>
      <c r="D1066" s="2" t="s">
        <v>5334</v>
      </c>
      <c r="E1066" s="10" t="s">
        <v>2775</v>
      </c>
      <c r="F1066" s="2" t="s">
        <v>1379</v>
      </c>
      <c r="G1066" s="2"/>
      <c r="H1066" s="2"/>
      <c r="I1066" s="2" t="s">
        <v>5333</v>
      </c>
    </row>
    <row r="1067" ht="15.75" customHeight="1">
      <c r="A1067" s="9">
        <v>7266796.0</v>
      </c>
      <c r="B1067" s="2" t="s">
        <v>1461</v>
      </c>
      <c r="C1067" s="2" t="s">
        <v>5336</v>
      </c>
      <c r="D1067" s="2" t="s">
        <v>5337</v>
      </c>
      <c r="E1067" s="10" t="s">
        <v>2782</v>
      </c>
      <c r="F1067" s="2" t="s">
        <v>1379</v>
      </c>
      <c r="G1067" s="2"/>
      <c r="H1067" s="2"/>
      <c r="I1067" s="2" t="s">
        <v>5336</v>
      </c>
    </row>
    <row r="1068" ht="15.75" customHeight="1">
      <c r="A1068" s="9">
        <v>7266797.0</v>
      </c>
      <c r="B1068" s="2" t="s">
        <v>1472</v>
      </c>
      <c r="C1068" s="2" t="s">
        <v>5339</v>
      </c>
      <c r="D1068" s="2" t="s">
        <v>5340</v>
      </c>
      <c r="E1068" s="10" t="s">
        <v>2792</v>
      </c>
      <c r="F1068" s="2" t="s">
        <v>1379</v>
      </c>
      <c r="G1068" s="2"/>
      <c r="H1068" s="2"/>
      <c r="I1068" s="2" t="s">
        <v>5339</v>
      </c>
    </row>
    <row r="1069" ht="15.75" customHeight="1">
      <c r="A1069" s="9">
        <v>7266798.0</v>
      </c>
      <c r="B1069" s="2" t="s">
        <v>1481</v>
      </c>
      <c r="C1069" s="2" t="s">
        <v>5341</v>
      </c>
      <c r="D1069" s="2" t="s">
        <v>5342</v>
      </c>
      <c r="E1069" s="10" t="s">
        <v>2800</v>
      </c>
      <c r="F1069" s="2" t="s">
        <v>1379</v>
      </c>
      <c r="G1069" s="2"/>
      <c r="H1069" s="2"/>
      <c r="I1069" s="2" t="s">
        <v>5341</v>
      </c>
    </row>
    <row r="1070" ht="15.75" customHeight="1">
      <c r="A1070" s="9">
        <v>7266799.0</v>
      </c>
      <c r="B1070" s="2" t="s">
        <v>1490</v>
      </c>
      <c r="C1070" s="2" t="s">
        <v>5344</v>
      </c>
      <c r="D1070" s="2" t="s">
        <v>5345</v>
      </c>
      <c r="E1070" s="10" t="s">
        <v>2810</v>
      </c>
      <c r="F1070" s="2" t="s">
        <v>1379</v>
      </c>
      <c r="G1070" s="2"/>
      <c r="H1070" s="2"/>
      <c r="I1070" s="2" t="s">
        <v>5344</v>
      </c>
    </row>
    <row r="1071" ht="15.75" customHeight="1">
      <c r="A1071" s="9">
        <v>7266801.0</v>
      </c>
      <c r="B1071" s="2" t="s">
        <v>1500</v>
      </c>
      <c r="C1071" s="2" t="s">
        <v>5347</v>
      </c>
      <c r="D1071" s="2" t="s">
        <v>5348</v>
      </c>
      <c r="E1071" s="10" t="s">
        <v>2821</v>
      </c>
      <c r="F1071" s="2" t="s">
        <v>1379</v>
      </c>
      <c r="G1071" s="2"/>
      <c r="H1071" s="2"/>
      <c r="I1071" s="2" t="s">
        <v>5347</v>
      </c>
    </row>
    <row r="1072" ht="15.75" customHeight="1">
      <c r="A1072" s="9">
        <v>7266802.0</v>
      </c>
      <c r="B1072" s="2" t="s">
        <v>1513</v>
      </c>
      <c r="C1072" s="2" t="s">
        <v>5349</v>
      </c>
      <c r="D1072" s="2" t="s">
        <v>5350</v>
      </c>
      <c r="E1072" s="10" t="s">
        <v>2829</v>
      </c>
      <c r="F1072" s="2" t="s">
        <v>1379</v>
      </c>
      <c r="G1072" s="2"/>
      <c r="H1072" s="2"/>
      <c r="I1072" s="2" t="s">
        <v>5349</v>
      </c>
    </row>
    <row r="1073" ht="15.75" customHeight="1">
      <c r="A1073" s="9">
        <v>7266803.0</v>
      </c>
      <c r="B1073" s="2" t="s">
        <v>1521</v>
      </c>
      <c r="C1073" s="2" t="s">
        <v>5352</v>
      </c>
      <c r="D1073" s="2" t="s">
        <v>5353</v>
      </c>
      <c r="E1073" s="10" t="s">
        <v>2836</v>
      </c>
      <c r="F1073" s="2" t="s">
        <v>1379</v>
      </c>
      <c r="G1073" s="2"/>
      <c r="H1073" s="2"/>
      <c r="I1073" s="2" t="s">
        <v>5352</v>
      </c>
    </row>
    <row r="1074" ht="15.75" customHeight="1">
      <c r="A1074" s="9">
        <v>7266804.0</v>
      </c>
      <c r="B1074" s="2" t="s">
        <v>1531</v>
      </c>
      <c r="C1074" s="2" t="s">
        <v>5356</v>
      </c>
      <c r="D1074" s="2" t="s">
        <v>5357</v>
      </c>
      <c r="E1074" s="10" t="s">
        <v>2846</v>
      </c>
      <c r="F1074" s="2" t="s">
        <v>1379</v>
      </c>
      <c r="G1074" s="2"/>
      <c r="H1074" s="2"/>
      <c r="I1074" s="2" t="s">
        <v>5356</v>
      </c>
    </row>
    <row r="1075" ht="15.75" customHeight="1">
      <c r="A1075" s="9">
        <v>7266805.0</v>
      </c>
      <c r="B1075" s="2" t="s">
        <v>1538</v>
      </c>
      <c r="C1075" s="2" t="s">
        <v>5359</v>
      </c>
      <c r="D1075" s="2" t="s">
        <v>2975</v>
      </c>
      <c r="E1075" s="10" t="s">
        <v>2850</v>
      </c>
      <c r="F1075" s="2" t="s">
        <v>1379</v>
      </c>
      <c r="G1075" s="2"/>
      <c r="H1075" s="2"/>
      <c r="I1075" s="2" t="s">
        <v>5359</v>
      </c>
    </row>
    <row r="1076" ht="15.75" customHeight="1">
      <c r="A1076" s="9">
        <v>7266806.0</v>
      </c>
      <c r="B1076" s="2" t="s">
        <v>1545</v>
      </c>
      <c r="C1076" s="2" t="s">
        <v>5360</v>
      </c>
      <c r="D1076" s="2" t="s">
        <v>5361</v>
      </c>
      <c r="E1076" s="10" t="s">
        <v>2856</v>
      </c>
      <c r="F1076" s="2" t="s">
        <v>1379</v>
      </c>
      <c r="G1076" s="2"/>
      <c r="H1076" s="2"/>
      <c r="I1076" s="2" t="s">
        <v>5360</v>
      </c>
    </row>
    <row r="1077" ht="15.75" customHeight="1">
      <c r="A1077" s="9">
        <v>7266807.0</v>
      </c>
      <c r="B1077" s="2" t="s">
        <v>1552</v>
      </c>
      <c r="C1077" s="2" t="s">
        <v>5362</v>
      </c>
      <c r="D1077" s="2" t="s">
        <v>2808</v>
      </c>
      <c r="E1077" s="10" t="s">
        <v>2816</v>
      </c>
      <c r="F1077" s="2" t="s">
        <v>1379</v>
      </c>
      <c r="G1077" s="2"/>
      <c r="H1077" s="2"/>
      <c r="I1077" s="2" t="s">
        <v>5362</v>
      </c>
    </row>
    <row r="1078" ht="15.75" customHeight="1">
      <c r="A1078" s="9">
        <v>7266808.0</v>
      </c>
      <c r="B1078" s="2" t="s">
        <v>1560</v>
      </c>
      <c r="C1078" s="2" t="s">
        <v>5364</v>
      </c>
      <c r="D1078" s="2" t="s">
        <v>5365</v>
      </c>
      <c r="E1078" s="10" t="s">
        <v>2868</v>
      </c>
      <c r="F1078" s="2" t="s">
        <v>1379</v>
      </c>
      <c r="G1078" s="2"/>
      <c r="H1078" s="2"/>
      <c r="I1078" s="2" t="s">
        <v>5364</v>
      </c>
    </row>
    <row r="1079" ht="15.75" customHeight="1">
      <c r="A1079" s="9">
        <v>7266809.0</v>
      </c>
      <c r="B1079" s="2" t="s">
        <v>914</v>
      </c>
      <c r="C1079" s="2" t="s">
        <v>5367</v>
      </c>
      <c r="D1079" s="2" t="s">
        <v>5368</v>
      </c>
      <c r="E1079" s="10" t="s">
        <v>2876</v>
      </c>
      <c r="F1079" s="2" t="s">
        <v>1379</v>
      </c>
      <c r="G1079" s="2"/>
      <c r="H1079" s="2"/>
      <c r="I1079" s="2" t="s">
        <v>5367</v>
      </c>
    </row>
    <row r="1080" ht="15.75" customHeight="1">
      <c r="A1080" s="9">
        <v>7266810.0</v>
      </c>
      <c r="B1080" s="2" t="s">
        <v>1581</v>
      </c>
      <c r="C1080" s="2" t="s">
        <v>5369</v>
      </c>
      <c r="D1080" s="2" t="s">
        <v>5370</v>
      </c>
      <c r="E1080" s="10" t="s">
        <v>2883</v>
      </c>
      <c r="F1080" s="2" t="s">
        <v>1379</v>
      </c>
      <c r="G1080" s="2"/>
      <c r="H1080" s="2"/>
      <c r="I1080" s="2" t="s">
        <v>5369</v>
      </c>
    </row>
    <row r="1081" ht="15.75" customHeight="1">
      <c r="A1081" s="9">
        <v>7266811.0</v>
      </c>
      <c r="B1081" s="2" t="s">
        <v>1591</v>
      </c>
      <c r="C1081" s="2" t="s">
        <v>5371</v>
      </c>
      <c r="D1081" s="2" t="s">
        <v>5372</v>
      </c>
      <c r="E1081" s="10" t="s">
        <v>2888</v>
      </c>
      <c r="F1081" s="2" t="s">
        <v>1379</v>
      </c>
      <c r="G1081" s="2"/>
      <c r="H1081" s="2"/>
      <c r="I1081" s="2" t="s">
        <v>5371</v>
      </c>
    </row>
    <row r="1082" ht="15.75" customHeight="1">
      <c r="A1082" s="9">
        <v>7266812.0</v>
      </c>
      <c r="B1082" s="2" t="s">
        <v>1601</v>
      </c>
      <c r="C1082" s="2" t="s">
        <v>5374</v>
      </c>
      <c r="D1082" s="2" t="s">
        <v>5375</v>
      </c>
      <c r="E1082" s="10" t="s">
        <v>2897</v>
      </c>
      <c r="F1082" s="2" t="s">
        <v>1379</v>
      </c>
      <c r="G1082" s="2"/>
      <c r="H1082" s="2"/>
      <c r="I1082" s="2" t="s">
        <v>5374</v>
      </c>
    </row>
    <row r="1083" ht="15.75" customHeight="1">
      <c r="A1083" s="9">
        <v>7266813.0</v>
      </c>
      <c r="B1083" s="2" t="s">
        <v>1613</v>
      </c>
      <c r="C1083" s="2" t="s">
        <v>5378</v>
      </c>
      <c r="D1083" s="2" t="s">
        <v>5379</v>
      </c>
      <c r="E1083" s="10" t="s">
        <v>2906</v>
      </c>
      <c r="F1083" s="2" t="s">
        <v>1379</v>
      </c>
      <c r="G1083" s="2"/>
      <c r="H1083" s="2"/>
      <c r="I1083" s="2" t="s">
        <v>5378</v>
      </c>
    </row>
    <row r="1084" ht="15.75" customHeight="1">
      <c r="A1084" s="9">
        <v>7266814.0</v>
      </c>
      <c r="B1084" s="2" t="s">
        <v>1620</v>
      </c>
      <c r="C1084" s="2" t="s">
        <v>5380</v>
      </c>
      <c r="D1084" s="2" t="s">
        <v>5381</v>
      </c>
      <c r="E1084" s="10" t="s">
        <v>2912</v>
      </c>
      <c r="F1084" s="2" t="s">
        <v>1622</v>
      </c>
      <c r="G1084" s="2"/>
      <c r="H1084" s="2"/>
      <c r="I1084" s="2" t="s">
        <v>5380</v>
      </c>
    </row>
    <row r="1085" ht="15.75" customHeight="1">
      <c r="A1085" s="9">
        <v>7266815.0</v>
      </c>
      <c r="B1085" s="2" t="s">
        <v>1632</v>
      </c>
      <c r="C1085" s="2" t="s">
        <v>5382</v>
      </c>
      <c r="D1085" s="2" t="s">
        <v>5384</v>
      </c>
      <c r="E1085" s="10" t="s">
        <v>2920</v>
      </c>
      <c r="F1085" s="2" t="s">
        <v>1622</v>
      </c>
      <c r="G1085" s="2"/>
      <c r="H1085" s="2"/>
      <c r="I1085" s="2" t="s">
        <v>5382</v>
      </c>
    </row>
    <row r="1086" ht="15.75" customHeight="1">
      <c r="A1086" s="9">
        <v>7266816.0</v>
      </c>
      <c r="B1086" s="2" t="s">
        <v>1640</v>
      </c>
      <c r="C1086" s="2" t="s">
        <v>5387</v>
      </c>
      <c r="D1086" s="2" t="s">
        <v>5388</v>
      </c>
      <c r="E1086" s="10" t="s">
        <v>2927</v>
      </c>
      <c r="F1086" s="2" t="s">
        <v>1622</v>
      </c>
      <c r="G1086" s="2"/>
      <c r="H1086" s="2"/>
      <c r="I1086" s="2" t="s">
        <v>5387</v>
      </c>
    </row>
    <row r="1087" ht="15.75" customHeight="1">
      <c r="A1087" s="9">
        <v>7266817.0</v>
      </c>
      <c r="B1087" s="2" t="s">
        <v>1652</v>
      </c>
      <c r="C1087" s="2" t="s">
        <v>5390</v>
      </c>
      <c r="D1087" s="2" t="s">
        <v>5391</v>
      </c>
      <c r="E1087" s="10" t="s">
        <v>2934</v>
      </c>
      <c r="F1087" s="2" t="s">
        <v>1622</v>
      </c>
      <c r="G1087" s="2"/>
      <c r="H1087" s="2"/>
      <c r="I1087" s="2" t="s">
        <v>5390</v>
      </c>
    </row>
    <row r="1088" ht="15.75" customHeight="1">
      <c r="A1088" s="9">
        <v>7266818.0</v>
      </c>
      <c r="B1088" s="2" t="s">
        <v>1662</v>
      </c>
      <c r="C1088" s="2" t="s">
        <v>5392</v>
      </c>
      <c r="D1088" s="2" t="s">
        <v>5393</v>
      </c>
      <c r="E1088" s="10" t="s">
        <v>2941</v>
      </c>
      <c r="F1088" s="2" t="s">
        <v>1622</v>
      </c>
      <c r="G1088" s="2"/>
      <c r="H1088" s="2"/>
      <c r="I1088" s="2" t="s">
        <v>5392</v>
      </c>
    </row>
    <row r="1089" ht="15.75" customHeight="1">
      <c r="A1089" s="9">
        <v>7266819.0</v>
      </c>
      <c r="B1089" s="2" t="s">
        <v>1673</v>
      </c>
      <c r="C1089" s="2" t="s">
        <v>5394</v>
      </c>
      <c r="D1089" s="2" t="s">
        <v>5395</v>
      </c>
      <c r="E1089" s="10" t="s">
        <v>2946</v>
      </c>
      <c r="F1089" s="2" t="s">
        <v>1622</v>
      </c>
      <c r="G1089" s="2"/>
      <c r="H1089" s="2"/>
      <c r="I1089" s="2" t="s">
        <v>5394</v>
      </c>
    </row>
    <row r="1090" ht="15.75" customHeight="1">
      <c r="A1090" s="9">
        <v>7266820.0</v>
      </c>
      <c r="B1090" s="2" t="s">
        <v>1680</v>
      </c>
      <c r="C1090" s="2" t="s">
        <v>5397</v>
      </c>
      <c r="D1090" s="2" t="s">
        <v>5398</v>
      </c>
      <c r="E1090" s="10" t="s">
        <v>2953</v>
      </c>
      <c r="F1090" s="2" t="s">
        <v>1622</v>
      </c>
      <c r="G1090" s="2"/>
      <c r="H1090" s="2"/>
      <c r="I1090" s="2" t="s">
        <v>5397</v>
      </c>
    </row>
    <row r="1091" ht="15.75" customHeight="1">
      <c r="A1091" s="9">
        <v>7266821.0</v>
      </c>
      <c r="B1091" s="2" t="s">
        <v>1692</v>
      </c>
      <c r="C1091" s="2" t="s">
        <v>5400</v>
      </c>
      <c r="D1091" s="2" t="s">
        <v>5401</v>
      </c>
      <c r="E1091" s="10" t="s">
        <v>2962</v>
      </c>
      <c r="F1091" s="2" t="s">
        <v>1622</v>
      </c>
      <c r="G1091" s="2"/>
      <c r="H1091" s="2"/>
      <c r="I1091" s="2" t="s">
        <v>5400</v>
      </c>
    </row>
    <row r="1092" ht="15.75" customHeight="1">
      <c r="A1092" s="9">
        <v>7266822.0</v>
      </c>
      <c r="B1092" s="2" t="s">
        <v>1702</v>
      </c>
      <c r="C1092" s="2" t="s">
        <v>5402</v>
      </c>
      <c r="D1092" s="2" t="s">
        <v>5403</v>
      </c>
      <c r="E1092" s="10" t="s">
        <v>2972</v>
      </c>
      <c r="F1092" s="2" t="s">
        <v>1622</v>
      </c>
      <c r="G1092" s="2"/>
      <c r="H1092" s="2"/>
      <c r="I1092" s="2" t="s">
        <v>5402</v>
      </c>
    </row>
    <row r="1093" ht="15.75" customHeight="1">
      <c r="A1093" s="9">
        <v>7266823.0</v>
      </c>
      <c r="B1093" s="2" t="s">
        <v>1710</v>
      </c>
      <c r="C1093" s="2" t="s">
        <v>5406</v>
      </c>
      <c r="D1093" s="2" t="s">
        <v>3476</v>
      </c>
      <c r="E1093" s="10" t="s">
        <v>2979</v>
      </c>
      <c r="F1093" s="2" t="s">
        <v>1622</v>
      </c>
      <c r="G1093" s="2"/>
      <c r="H1093" s="2"/>
      <c r="I1093" s="2" t="s">
        <v>5406</v>
      </c>
    </row>
    <row r="1094" ht="15.75" customHeight="1">
      <c r="A1094" s="9">
        <v>7266824.0</v>
      </c>
      <c r="B1094" s="2" t="s">
        <v>1719</v>
      </c>
      <c r="C1094" s="2" t="s">
        <v>5408</v>
      </c>
      <c r="D1094" s="2" t="s">
        <v>5410</v>
      </c>
      <c r="E1094" s="10" t="s">
        <v>2992</v>
      </c>
      <c r="F1094" s="2" t="s">
        <v>1622</v>
      </c>
      <c r="G1094" s="2"/>
      <c r="H1094" s="2"/>
      <c r="I1094" s="2" t="s">
        <v>5408</v>
      </c>
    </row>
    <row r="1095" ht="15.75" customHeight="1">
      <c r="A1095" s="9">
        <v>7266825.0</v>
      </c>
      <c r="B1095" s="2" t="s">
        <v>1728</v>
      </c>
      <c r="C1095" s="2" t="s">
        <v>5412</v>
      </c>
      <c r="D1095" s="2" t="s">
        <v>5413</v>
      </c>
      <c r="E1095" s="10" t="s">
        <v>3004</v>
      </c>
      <c r="F1095" s="2" t="s">
        <v>1622</v>
      </c>
      <c r="G1095" s="2"/>
      <c r="H1095" s="2"/>
      <c r="I1095" s="2" t="s">
        <v>5412</v>
      </c>
    </row>
    <row r="1096" ht="15.75" customHeight="1">
      <c r="A1096" s="9">
        <v>7266826.0</v>
      </c>
      <c r="B1096" s="2" t="s">
        <v>1736</v>
      </c>
      <c r="C1096" s="2" t="s">
        <v>5414</v>
      </c>
      <c r="D1096" s="2" t="s">
        <v>5415</v>
      </c>
      <c r="E1096" s="10" t="s">
        <v>3010</v>
      </c>
      <c r="F1096" s="2" t="s">
        <v>1622</v>
      </c>
      <c r="G1096" s="2"/>
      <c r="H1096" s="2"/>
      <c r="I1096" s="2" t="s">
        <v>5414</v>
      </c>
    </row>
    <row r="1097" ht="15.75" customHeight="1">
      <c r="A1097" s="9">
        <v>7266827.0</v>
      </c>
      <c r="B1097" s="2" t="s">
        <v>1744</v>
      </c>
      <c r="C1097" s="2" t="s">
        <v>5416</v>
      </c>
      <c r="D1097" s="2" t="s">
        <v>5417</v>
      </c>
      <c r="E1097" s="10" t="s">
        <v>3020</v>
      </c>
      <c r="F1097" s="2" t="s">
        <v>1622</v>
      </c>
      <c r="G1097" s="2"/>
      <c r="H1097" s="2"/>
      <c r="I1097" s="2" t="s">
        <v>5416</v>
      </c>
    </row>
    <row r="1098" ht="15.75" customHeight="1">
      <c r="A1098" s="9">
        <v>7266828.0</v>
      </c>
      <c r="B1098" s="2" t="s">
        <v>1753</v>
      </c>
      <c r="C1098" s="2" t="s">
        <v>5418</v>
      </c>
      <c r="D1098" s="2" t="s">
        <v>3239</v>
      </c>
      <c r="E1098" s="10" t="s">
        <v>3027</v>
      </c>
      <c r="F1098" s="2" t="s">
        <v>1622</v>
      </c>
      <c r="G1098" s="2"/>
      <c r="H1098" s="2"/>
      <c r="I1098" s="2" t="s">
        <v>5418</v>
      </c>
    </row>
    <row r="1099" ht="15.75" customHeight="1">
      <c r="A1099" s="9">
        <v>7266829.0</v>
      </c>
      <c r="B1099" s="2" t="s">
        <v>1759</v>
      </c>
      <c r="C1099" s="2" t="s">
        <v>5420</v>
      </c>
      <c r="D1099" s="2" t="s">
        <v>5421</v>
      </c>
      <c r="E1099" s="10" t="s">
        <v>3032</v>
      </c>
      <c r="F1099" s="2" t="s">
        <v>1622</v>
      </c>
      <c r="G1099" s="2"/>
      <c r="H1099" s="2"/>
      <c r="I1099" s="2" t="s">
        <v>5420</v>
      </c>
    </row>
    <row r="1100" ht="15.75" customHeight="1">
      <c r="A1100" s="9">
        <v>7266830.0</v>
      </c>
      <c r="B1100" s="2" t="s">
        <v>1769</v>
      </c>
      <c r="C1100" s="2" t="s">
        <v>5422</v>
      </c>
      <c r="D1100" s="2" t="s">
        <v>5423</v>
      </c>
      <c r="E1100" s="10" t="s">
        <v>3039</v>
      </c>
      <c r="F1100" s="2" t="s">
        <v>1622</v>
      </c>
      <c r="G1100" s="2"/>
      <c r="H1100" s="2"/>
      <c r="I1100" s="2" t="s">
        <v>5422</v>
      </c>
    </row>
    <row r="1101" ht="15.75" customHeight="1">
      <c r="A1101" s="9">
        <v>7266831.0</v>
      </c>
      <c r="B1101" s="2" t="s">
        <v>1779</v>
      </c>
      <c r="C1101" s="2" t="s">
        <v>5424</v>
      </c>
      <c r="D1101" s="2" t="s">
        <v>5425</v>
      </c>
      <c r="E1101" s="10" t="s">
        <v>3044</v>
      </c>
      <c r="F1101" s="2" t="s">
        <v>1622</v>
      </c>
      <c r="G1101" s="2"/>
      <c r="H1101" s="2"/>
      <c r="I1101" s="2" t="s">
        <v>5424</v>
      </c>
    </row>
    <row r="1102" ht="15.75" customHeight="1">
      <c r="A1102" s="9">
        <v>7266832.0</v>
      </c>
      <c r="B1102" s="2" t="s">
        <v>1785</v>
      </c>
      <c r="C1102" s="2" t="s">
        <v>5427</v>
      </c>
      <c r="D1102" s="2" t="s">
        <v>5428</v>
      </c>
      <c r="E1102" s="10" t="s">
        <v>3048</v>
      </c>
      <c r="F1102" s="2" t="s">
        <v>1622</v>
      </c>
      <c r="G1102" s="2"/>
      <c r="H1102" s="2"/>
      <c r="I1102" s="2" t="s">
        <v>5427</v>
      </c>
    </row>
    <row r="1103" ht="15.75" customHeight="1">
      <c r="A1103" s="9">
        <v>7266833.0</v>
      </c>
      <c r="B1103" s="2" t="s">
        <v>1793</v>
      </c>
      <c r="C1103" s="2" t="s">
        <v>5429</v>
      </c>
      <c r="D1103" s="2" t="s">
        <v>2016</v>
      </c>
      <c r="E1103" s="10" t="s">
        <v>2023</v>
      </c>
      <c r="F1103" s="2" t="s">
        <v>1622</v>
      </c>
      <c r="G1103" s="2"/>
      <c r="H1103" s="2"/>
      <c r="I1103" s="2" t="s">
        <v>5429</v>
      </c>
    </row>
    <row r="1104" ht="15.75" customHeight="1">
      <c r="A1104" s="9">
        <v>7266834.0</v>
      </c>
      <c r="B1104" s="2" t="s">
        <v>1796</v>
      </c>
      <c r="C1104" s="2" t="s">
        <v>5431</v>
      </c>
      <c r="D1104" s="2" t="s">
        <v>5432</v>
      </c>
      <c r="E1104" s="10" t="s">
        <v>3060</v>
      </c>
      <c r="F1104" s="2" t="s">
        <v>1622</v>
      </c>
      <c r="G1104" s="2"/>
      <c r="H1104" s="2"/>
      <c r="I1104" s="2" t="s">
        <v>5431</v>
      </c>
    </row>
    <row r="1105" ht="15.75" customHeight="1">
      <c r="A1105" s="9">
        <v>7266835.0</v>
      </c>
      <c r="B1105" s="2" t="s">
        <v>1801</v>
      </c>
      <c r="C1105" s="2" t="s">
        <v>5433</v>
      </c>
      <c r="D1105" s="2" t="s">
        <v>5434</v>
      </c>
      <c r="E1105" s="10" t="s">
        <v>3062</v>
      </c>
      <c r="F1105" s="2" t="s">
        <v>1622</v>
      </c>
      <c r="G1105" s="2"/>
      <c r="H1105" s="2"/>
      <c r="I1105" s="2" t="s">
        <v>5433</v>
      </c>
    </row>
    <row r="1106" ht="15.75" customHeight="1">
      <c r="A1106" s="9">
        <v>7266836.0</v>
      </c>
      <c r="B1106" s="2" t="s">
        <v>1808</v>
      </c>
      <c r="C1106" s="2" t="s">
        <v>5437</v>
      </c>
      <c r="D1106" s="2" t="s">
        <v>5438</v>
      </c>
      <c r="E1106" s="10" t="s">
        <v>3068</v>
      </c>
      <c r="F1106" s="2" t="s">
        <v>1622</v>
      </c>
      <c r="G1106" s="2"/>
      <c r="H1106" s="2"/>
      <c r="I1106" s="2" t="s">
        <v>5437</v>
      </c>
    </row>
    <row r="1107" ht="15.75" customHeight="1">
      <c r="A1107" s="9">
        <v>7266837.0</v>
      </c>
      <c r="B1107" s="2" t="s">
        <v>1813</v>
      </c>
      <c r="C1107" s="2" t="s">
        <v>5440</v>
      </c>
      <c r="D1107" s="2" t="s">
        <v>5441</v>
      </c>
      <c r="E1107" s="10" t="s">
        <v>3072</v>
      </c>
      <c r="F1107" s="2" t="s">
        <v>1622</v>
      </c>
      <c r="G1107" s="2"/>
      <c r="H1107" s="2"/>
      <c r="I1107" s="2" t="s">
        <v>5440</v>
      </c>
    </row>
    <row r="1108" ht="15.75" customHeight="1">
      <c r="A1108" s="9">
        <v>7266838.0</v>
      </c>
      <c r="B1108" s="2" t="s">
        <v>1820</v>
      </c>
      <c r="C1108" s="2" t="s">
        <v>5442</v>
      </c>
      <c r="D1108" s="2" t="s">
        <v>5443</v>
      </c>
      <c r="E1108" s="10" t="s">
        <v>3074</v>
      </c>
      <c r="F1108" s="2" t="s">
        <v>1622</v>
      </c>
      <c r="G1108" s="2"/>
      <c r="H1108" s="2"/>
      <c r="I1108" s="2" t="s">
        <v>5442</v>
      </c>
    </row>
    <row r="1109" ht="15.75" customHeight="1">
      <c r="A1109" s="9">
        <v>7266839.0</v>
      </c>
      <c r="B1109" s="2" t="s">
        <v>1827</v>
      </c>
      <c r="C1109" s="2" t="s">
        <v>5444</v>
      </c>
      <c r="D1109" s="2" t="s">
        <v>5445</v>
      </c>
      <c r="E1109" s="10" t="s">
        <v>3076</v>
      </c>
      <c r="F1109" s="2" t="s">
        <v>1622</v>
      </c>
      <c r="G1109" s="2"/>
      <c r="H1109" s="2"/>
      <c r="I1109" s="2" t="s">
        <v>5444</v>
      </c>
    </row>
    <row r="1110" ht="15.75" customHeight="1">
      <c r="A1110" s="9">
        <v>7266840.0</v>
      </c>
      <c r="B1110" s="2" t="s">
        <v>1832</v>
      </c>
      <c r="C1110" s="2" t="s">
        <v>5448</v>
      </c>
      <c r="D1110" s="2" t="s">
        <v>5449</v>
      </c>
      <c r="E1110" s="10" t="s">
        <v>3080</v>
      </c>
      <c r="F1110" s="2" t="s">
        <v>1622</v>
      </c>
      <c r="G1110" s="2"/>
      <c r="H1110" s="2"/>
      <c r="I1110" s="2" t="s">
        <v>5448</v>
      </c>
    </row>
    <row r="1111" ht="15.75" customHeight="1">
      <c r="A1111" s="9">
        <v>7266842.0</v>
      </c>
      <c r="B1111" s="2" t="s">
        <v>1835</v>
      </c>
      <c r="C1111" s="2" t="s">
        <v>5451</v>
      </c>
      <c r="D1111" s="2" t="s">
        <v>5452</v>
      </c>
      <c r="E1111" s="10" t="s">
        <v>3086</v>
      </c>
      <c r="F1111" s="2" t="s">
        <v>1622</v>
      </c>
      <c r="G1111" s="2"/>
      <c r="H1111" s="2"/>
      <c r="I1111" s="2" t="s">
        <v>5451</v>
      </c>
    </row>
    <row r="1112" ht="15.75" hidden="1" customHeight="1">
      <c r="A1112" s="9">
        <v>7266843.0</v>
      </c>
      <c r="B1112" s="2" t="s">
        <v>5453</v>
      </c>
      <c r="C1112" s="2" t="s">
        <v>5454</v>
      </c>
      <c r="D1112" s="2" t="s">
        <v>5455</v>
      </c>
      <c r="E1112" s="10" t="s">
        <v>5456</v>
      </c>
      <c r="F1112" s="2" t="s">
        <v>512</v>
      </c>
      <c r="G1112" s="2"/>
      <c r="H1112" s="2"/>
      <c r="I1112" s="2" t="s">
        <v>5454</v>
      </c>
    </row>
    <row r="1113" ht="15.75" hidden="1" customHeight="1">
      <c r="A1113" s="9">
        <v>7266844.0</v>
      </c>
      <c r="B1113" s="2" t="s">
        <v>5457</v>
      </c>
      <c r="C1113" s="2" t="s">
        <v>5458</v>
      </c>
      <c r="D1113" s="2" t="s">
        <v>5459</v>
      </c>
      <c r="E1113" s="10" t="s">
        <v>5460</v>
      </c>
      <c r="F1113" s="2" t="s">
        <v>512</v>
      </c>
      <c r="G1113" s="2"/>
      <c r="H1113" s="2"/>
      <c r="I1113" s="2" t="s">
        <v>5458</v>
      </c>
    </row>
    <row r="1114" ht="15.75" hidden="1" customHeight="1">
      <c r="A1114" s="9">
        <v>7266845.0</v>
      </c>
      <c r="B1114" s="2" t="s">
        <v>5462</v>
      </c>
      <c r="C1114" s="2" t="s">
        <v>5463</v>
      </c>
      <c r="D1114" s="2" t="s">
        <v>5464</v>
      </c>
      <c r="E1114" s="10" t="s">
        <v>5465</v>
      </c>
      <c r="F1114" s="2" t="s">
        <v>512</v>
      </c>
      <c r="G1114" s="2"/>
      <c r="H1114" s="2"/>
      <c r="I1114" s="2" t="s">
        <v>5463</v>
      </c>
    </row>
    <row r="1115" ht="15.75" hidden="1" customHeight="1">
      <c r="A1115" s="9">
        <v>7266846.0</v>
      </c>
      <c r="B1115" s="2" t="s">
        <v>3422</v>
      </c>
      <c r="C1115" s="2" t="s">
        <v>5467</v>
      </c>
      <c r="D1115" s="2" t="s">
        <v>3419</v>
      </c>
      <c r="E1115" s="10" t="s">
        <v>3424</v>
      </c>
      <c r="F1115" s="2" t="s">
        <v>512</v>
      </c>
      <c r="G1115" s="2"/>
      <c r="H1115" s="2"/>
      <c r="I1115" s="2" t="s">
        <v>5467</v>
      </c>
    </row>
    <row r="1116" ht="15.75" hidden="1" customHeight="1">
      <c r="A1116" s="9">
        <v>7266848.0</v>
      </c>
      <c r="B1116" s="2" t="s">
        <v>5469</v>
      </c>
      <c r="C1116" s="2" t="s">
        <v>5470</v>
      </c>
      <c r="D1116" s="2" t="s">
        <v>5471</v>
      </c>
      <c r="E1116" s="10" t="s">
        <v>5472</v>
      </c>
      <c r="F1116" s="2" t="s">
        <v>512</v>
      </c>
      <c r="G1116" s="2"/>
      <c r="H1116" s="2"/>
      <c r="I1116" s="2" t="s">
        <v>5470</v>
      </c>
    </row>
    <row r="1117" ht="15.75" hidden="1" customHeight="1">
      <c r="A1117" s="9">
        <v>7266849.0</v>
      </c>
      <c r="B1117" s="2" t="s">
        <v>5473</v>
      </c>
      <c r="C1117" s="2" t="s">
        <v>5474</v>
      </c>
      <c r="D1117" s="2" t="s">
        <v>5475</v>
      </c>
      <c r="E1117" s="10" t="s">
        <v>5476</v>
      </c>
      <c r="F1117" s="2" t="s">
        <v>512</v>
      </c>
      <c r="G1117" s="2"/>
      <c r="H1117" s="2"/>
      <c r="I1117" s="2" t="s">
        <v>5474</v>
      </c>
    </row>
    <row r="1118" ht="15.75" hidden="1" customHeight="1">
      <c r="A1118" s="9">
        <v>7266850.0</v>
      </c>
      <c r="B1118" s="2" t="s">
        <v>5477</v>
      </c>
      <c r="C1118" s="2" t="s">
        <v>5478</v>
      </c>
      <c r="D1118" s="2" t="s">
        <v>5479</v>
      </c>
      <c r="E1118" s="10" t="s">
        <v>5480</v>
      </c>
      <c r="F1118" s="2" t="s">
        <v>512</v>
      </c>
      <c r="G1118" s="2"/>
      <c r="H1118" s="2"/>
      <c r="I1118" s="2" t="s">
        <v>5478</v>
      </c>
    </row>
    <row r="1119" ht="15.75" hidden="1" customHeight="1">
      <c r="A1119" s="9">
        <v>7266851.0</v>
      </c>
      <c r="B1119" s="2" t="s">
        <v>5482</v>
      </c>
      <c r="C1119" s="2" t="s">
        <v>5483</v>
      </c>
      <c r="D1119" s="2" t="s">
        <v>5484</v>
      </c>
      <c r="E1119" s="10" t="s">
        <v>5485</v>
      </c>
      <c r="F1119" s="2" t="s">
        <v>512</v>
      </c>
      <c r="G1119" s="2"/>
      <c r="H1119" s="2"/>
      <c r="I1119" s="2" t="s">
        <v>5483</v>
      </c>
    </row>
    <row r="1120" ht="15.75" hidden="1" customHeight="1">
      <c r="A1120" s="9">
        <v>7266852.0</v>
      </c>
      <c r="B1120" s="2" t="s">
        <v>5487</v>
      </c>
      <c r="C1120" s="2" t="s">
        <v>5488</v>
      </c>
      <c r="D1120" s="2" t="s">
        <v>5489</v>
      </c>
      <c r="E1120" s="10" t="s">
        <v>5490</v>
      </c>
      <c r="F1120" s="2" t="s">
        <v>512</v>
      </c>
      <c r="G1120" s="2"/>
      <c r="H1120" s="2"/>
      <c r="I1120" s="2" t="s">
        <v>5488</v>
      </c>
    </row>
    <row r="1121" ht="15.75" hidden="1" customHeight="1">
      <c r="A1121" s="9">
        <v>7266853.0</v>
      </c>
      <c r="B1121" s="2" t="s">
        <v>5491</v>
      </c>
      <c r="C1121" s="2" t="s">
        <v>5492</v>
      </c>
      <c r="D1121" s="2" t="s">
        <v>5493</v>
      </c>
      <c r="E1121" s="10" t="s">
        <v>5494</v>
      </c>
      <c r="F1121" s="2" t="s">
        <v>512</v>
      </c>
      <c r="G1121" s="2"/>
      <c r="H1121" s="2"/>
      <c r="I1121" s="2" t="s">
        <v>5492</v>
      </c>
    </row>
    <row r="1122" ht="15.75" hidden="1" customHeight="1">
      <c r="A1122" s="9">
        <v>7266854.0</v>
      </c>
      <c r="B1122" s="2" t="s">
        <v>5495</v>
      </c>
      <c r="C1122" s="2" t="s">
        <v>5496</v>
      </c>
      <c r="D1122" s="2" t="s">
        <v>5497</v>
      </c>
      <c r="E1122" s="10" t="s">
        <v>5498</v>
      </c>
      <c r="F1122" s="2" t="s">
        <v>512</v>
      </c>
      <c r="G1122" s="2"/>
      <c r="H1122" s="2"/>
      <c r="I1122" s="2" t="s">
        <v>5496</v>
      </c>
    </row>
    <row r="1123" ht="15.75" hidden="1" customHeight="1">
      <c r="A1123" s="9">
        <v>7266855.0</v>
      </c>
      <c r="B1123" s="2" t="s">
        <v>5500</v>
      </c>
      <c r="C1123" s="2" t="s">
        <v>5501</v>
      </c>
      <c r="D1123" s="2" t="s">
        <v>5502</v>
      </c>
      <c r="E1123" s="10" t="s">
        <v>5503</v>
      </c>
      <c r="F1123" s="2" t="s">
        <v>512</v>
      </c>
      <c r="G1123" s="2"/>
      <c r="H1123" s="2"/>
      <c r="I1123" s="2" t="s">
        <v>5501</v>
      </c>
    </row>
    <row r="1124" ht="15.75" hidden="1" customHeight="1">
      <c r="A1124" s="9">
        <v>7266856.0</v>
      </c>
      <c r="B1124" s="2" t="s">
        <v>5504</v>
      </c>
      <c r="C1124" s="2" t="s">
        <v>5505</v>
      </c>
      <c r="D1124" s="2" t="s">
        <v>5506</v>
      </c>
      <c r="E1124" s="10" t="s">
        <v>5507</v>
      </c>
      <c r="F1124" s="2" t="s">
        <v>512</v>
      </c>
      <c r="G1124" s="2"/>
      <c r="H1124" s="2"/>
      <c r="I1124" s="2" t="s">
        <v>5505</v>
      </c>
    </row>
    <row r="1125" ht="15.75" hidden="1" customHeight="1">
      <c r="A1125" s="9">
        <v>7266857.0</v>
      </c>
      <c r="B1125" s="2" t="s">
        <v>5508</v>
      </c>
      <c r="C1125" s="2" t="s">
        <v>5509</v>
      </c>
      <c r="D1125" s="2" t="s">
        <v>5510</v>
      </c>
      <c r="E1125" s="10" t="s">
        <v>5511</v>
      </c>
      <c r="F1125" s="2" t="s">
        <v>512</v>
      </c>
      <c r="G1125" s="2"/>
      <c r="H1125" s="2"/>
      <c r="I1125" s="2" t="s">
        <v>5509</v>
      </c>
    </row>
    <row r="1126" ht="15.75" hidden="1" customHeight="1">
      <c r="A1126" s="9">
        <v>7266858.0</v>
      </c>
      <c r="B1126" s="2" t="s">
        <v>5513</v>
      </c>
      <c r="C1126" s="2" t="s">
        <v>5514</v>
      </c>
      <c r="D1126" s="2" t="s">
        <v>5515</v>
      </c>
      <c r="E1126" s="10" t="s">
        <v>5517</v>
      </c>
      <c r="F1126" s="2" t="s">
        <v>512</v>
      </c>
      <c r="G1126" s="2"/>
      <c r="H1126" s="2"/>
      <c r="I1126" s="2" t="s">
        <v>5514</v>
      </c>
    </row>
    <row r="1127" ht="15.75" hidden="1" customHeight="1">
      <c r="A1127" s="9">
        <v>7266859.0</v>
      </c>
      <c r="B1127" s="2" t="s">
        <v>5519</v>
      </c>
      <c r="C1127" s="2" t="s">
        <v>5520</v>
      </c>
      <c r="D1127" s="2" t="s">
        <v>5521</v>
      </c>
      <c r="E1127" s="10" t="s">
        <v>5522</v>
      </c>
      <c r="F1127" s="2" t="s">
        <v>512</v>
      </c>
      <c r="G1127" s="2"/>
      <c r="H1127" s="2"/>
      <c r="I1127" s="2" t="s">
        <v>5520</v>
      </c>
    </row>
    <row r="1128" ht="15.75" hidden="1" customHeight="1">
      <c r="A1128" s="9">
        <v>7266860.0</v>
      </c>
      <c r="B1128" s="2" t="s">
        <v>5524</v>
      </c>
      <c r="C1128" s="2" t="s">
        <v>5526</v>
      </c>
      <c r="D1128" s="2" t="s">
        <v>5527</v>
      </c>
      <c r="E1128" s="10" t="s">
        <v>5528</v>
      </c>
      <c r="F1128" s="2" t="s">
        <v>512</v>
      </c>
      <c r="G1128" s="2"/>
      <c r="H1128" s="2"/>
      <c r="I1128" s="2" t="s">
        <v>5526</v>
      </c>
    </row>
    <row r="1129" ht="15.75" hidden="1" customHeight="1">
      <c r="A1129" s="9">
        <v>7266861.0</v>
      </c>
      <c r="B1129" s="2" t="s">
        <v>5529</v>
      </c>
      <c r="C1129" s="2" t="s">
        <v>5530</v>
      </c>
      <c r="D1129" s="2" t="s">
        <v>5531</v>
      </c>
      <c r="E1129" s="10" t="s">
        <v>5532</v>
      </c>
      <c r="F1129" s="2" t="s">
        <v>512</v>
      </c>
      <c r="G1129" s="2"/>
      <c r="H1129" s="2"/>
      <c r="I1129" s="2" t="s">
        <v>5530</v>
      </c>
    </row>
    <row r="1130" ht="15.75" hidden="1" customHeight="1">
      <c r="A1130" s="9">
        <v>7266862.0</v>
      </c>
      <c r="B1130" s="2" t="s">
        <v>5533</v>
      </c>
      <c r="C1130" s="2" t="s">
        <v>5534</v>
      </c>
      <c r="D1130" s="2" t="s">
        <v>5535</v>
      </c>
      <c r="E1130" s="10" t="s">
        <v>5536</v>
      </c>
      <c r="F1130" s="2" t="s">
        <v>512</v>
      </c>
      <c r="G1130" s="2"/>
      <c r="H1130" s="2"/>
      <c r="I1130" s="2" t="s">
        <v>5534</v>
      </c>
    </row>
    <row r="1131" ht="15.75" hidden="1" customHeight="1">
      <c r="A1131" s="9">
        <v>7266863.0</v>
      </c>
      <c r="B1131" s="2" t="s">
        <v>5538</v>
      </c>
      <c r="C1131" s="2" t="s">
        <v>5539</v>
      </c>
      <c r="D1131" s="2" t="s">
        <v>5540</v>
      </c>
      <c r="E1131" s="10" t="s">
        <v>5541</v>
      </c>
      <c r="F1131" s="2" t="s">
        <v>689</v>
      </c>
      <c r="G1131" s="2"/>
      <c r="H1131" s="2"/>
      <c r="I1131" s="2" t="s">
        <v>5539</v>
      </c>
    </row>
    <row r="1132" ht="15.75" hidden="1" customHeight="1">
      <c r="A1132" s="9">
        <v>7266864.0</v>
      </c>
      <c r="B1132" s="2" t="s">
        <v>5543</v>
      </c>
      <c r="C1132" s="2" t="s">
        <v>5544</v>
      </c>
      <c r="D1132" s="2" t="s">
        <v>5545</v>
      </c>
      <c r="E1132" s="10" t="s">
        <v>5546</v>
      </c>
      <c r="F1132" s="2" t="s">
        <v>689</v>
      </c>
      <c r="G1132" s="2"/>
      <c r="H1132" s="2"/>
      <c r="I1132" s="2" t="s">
        <v>5544</v>
      </c>
    </row>
    <row r="1133" ht="15.75" hidden="1" customHeight="1">
      <c r="A1133" s="9">
        <v>7266865.0</v>
      </c>
      <c r="B1133" s="2" t="s">
        <v>507</v>
      </c>
      <c r="C1133" s="2" t="s">
        <v>5547</v>
      </c>
      <c r="D1133" s="2" t="s">
        <v>2274</v>
      </c>
      <c r="E1133" s="10" t="s">
        <v>2279</v>
      </c>
      <c r="F1133" s="2" t="s">
        <v>689</v>
      </c>
      <c r="G1133" s="2"/>
      <c r="H1133" s="2"/>
      <c r="I1133" s="2" t="s">
        <v>5547</v>
      </c>
    </row>
    <row r="1134" ht="15.75" hidden="1" customHeight="1">
      <c r="A1134" s="9">
        <v>7266866.0</v>
      </c>
      <c r="B1134" s="2" t="s">
        <v>5548</v>
      </c>
      <c r="C1134" s="2" t="s">
        <v>5549</v>
      </c>
      <c r="D1134" s="2" t="s">
        <v>5550</v>
      </c>
      <c r="E1134" s="10" t="s">
        <v>5551</v>
      </c>
      <c r="F1134" s="2" t="s">
        <v>689</v>
      </c>
      <c r="G1134" s="2"/>
      <c r="H1134" s="2"/>
      <c r="I1134" s="2" t="s">
        <v>5549</v>
      </c>
    </row>
    <row r="1135" ht="15.75" hidden="1" customHeight="1">
      <c r="A1135" s="9">
        <v>7266867.0</v>
      </c>
      <c r="B1135" s="2" t="s">
        <v>5552</v>
      </c>
      <c r="C1135" s="2" t="s">
        <v>5553</v>
      </c>
      <c r="D1135" s="2" t="s">
        <v>5555</v>
      </c>
      <c r="E1135" s="10" t="s">
        <v>5556</v>
      </c>
      <c r="F1135" s="2" t="s">
        <v>689</v>
      </c>
      <c r="G1135" s="2"/>
      <c r="H1135" s="2"/>
      <c r="I1135" s="2" t="s">
        <v>5553</v>
      </c>
    </row>
    <row r="1136" ht="15.75" hidden="1" customHeight="1">
      <c r="A1136" s="9">
        <v>7266868.0</v>
      </c>
      <c r="B1136" s="2" t="s">
        <v>5557</v>
      </c>
      <c r="C1136" s="2" t="s">
        <v>5558</v>
      </c>
      <c r="D1136" s="2" t="s">
        <v>4115</v>
      </c>
      <c r="E1136" s="10" t="s">
        <v>4125</v>
      </c>
      <c r="F1136" s="2" t="s">
        <v>689</v>
      </c>
      <c r="G1136" s="2"/>
      <c r="H1136" s="2"/>
      <c r="I1136" s="2" t="s">
        <v>5558</v>
      </c>
    </row>
    <row r="1137" ht="15.75" hidden="1" customHeight="1">
      <c r="A1137" s="9">
        <v>7266869.0</v>
      </c>
      <c r="B1137" s="2" t="s">
        <v>5560</v>
      </c>
      <c r="C1137" s="2" t="s">
        <v>5561</v>
      </c>
      <c r="D1137" s="2" t="s">
        <v>5562</v>
      </c>
      <c r="E1137" s="10" t="s">
        <v>5563</v>
      </c>
      <c r="F1137" s="2" t="s">
        <v>689</v>
      </c>
      <c r="G1137" s="2"/>
      <c r="H1137" s="2"/>
      <c r="I1137" s="2" t="s">
        <v>5561</v>
      </c>
    </row>
    <row r="1138" ht="15.75" hidden="1" customHeight="1">
      <c r="A1138" s="9">
        <v>7266870.0</v>
      </c>
      <c r="B1138" s="2" t="s">
        <v>5564</v>
      </c>
      <c r="C1138" s="2" t="s">
        <v>5565</v>
      </c>
      <c r="D1138" s="2" t="s">
        <v>5566</v>
      </c>
      <c r="E1138" s="10" t="s">
        <v>5567</v>
      </c>
      <c r="F1138" s="2" t="s">
        <v>689</v>
      </c>
      <c r="G1138" s="2"/>
      <c r="H1138" s="2"/>
      <c r="I1138" s="2" t="s">
        <v>5565</v>
      </c>
    </row>
    <row r="1139" ht="15.75" hidden="1" customHeight="1">
      <c r="A1139" s="9">
        <v>7266871.0</v>
      </c>
      <c r="B1139" s="2" t="s">
        <v>805</v>
      </c>
      <c r="C1139" s="2" t="s">
        <v>5570</v>
      </c>
      <c r="D1139" s="2" t="s">
        <v>802</v>
      </c>
      <c r="E1139" s="10" t="s">
        <v>809</v>
      </c>
      <c r="F1139" s="2" t="s">
        <v>689</v>
      </c>
      <c r="G1139" s="2"/>
      <c r="H1139" s="2"/>
      <c r="I1139" s="2" t="s">
        <v>5570</v>
      </c>
    </row>
    <row r="1140" ht="15.75" hidden="1" customHeight="1">
      <c r="A1140" s="9">
        <v>7266872.0</v>
      </c>
      <c r="B1140" s="2" t="s">
        <v>5573</v>
      </c>
      <c r="C1140" s="2" t="s">
        <v>5575</v>
      </c>
      <c r="D1140" s="2" t="s">
        <v>5576</v>
      </c>
      <c r="E1140" s="10" t="s">
        <v>5577</v>
      </c>
      <c r="F1140" s="2" t="s">
        <v>689</v>
      </c>
      <c r="G1140" s="2"/>
      <c r="H1140" s="2"/>
      <c r="I1140" s="2" t="s">
        <v>5575</v>
      </c>
    </row>
    <row r="1141" ht="15.75" hidden="1" customHeight="1">
      <c r="A1141" s="9">
        <v>7266873.0</v>
      </c>
      <c r="B1141" s="2" t="s">
        <v>5578</v>
      </c>
      <c r="C1141" s="2" t="s">
        <v>5579</v>
      </c>
      <c r="D1141" s="2" t="s">
        <v>4135</v>
      </c>
      <c r="E1141" s="10" t="s">
        <v>4141</v>
      </c>
      <c r="F1141" s="2" t="s">
        <v>689</v>
      </c>
      <c r="G1141" s="2"/>
      <c r="H1141" s="2"/>
      <c r="I1141" s="2" t="s">
        <v>5579</v>
      </c>
    </row>
    <row r="1142" ht="15.75" hidden="1" customHeight="1">
      <c r="A1142" s="9">
        <v>7266874.0</v>
      </c>
      <c r="B1142" s="2" t="s">
        <v>5580</v>
      </c>
      <c r="C1142" s="2" t="s">
        <v>5581</v>
      </c>
      <c r="D1142" s="2" t="s">
        <v>5582</v>
      </c>
      <c r="E1142" s="10" t="s">
        <v>5583</v>
      </c>
      <c r="F1142" s="2" t="s">
        <v>689</v>
      </c>
      <c r="G1142" s="2"/>
      <c r="H1142" s="2"/>
      <c r="I1142" s="2" t="s">
        <v>5581</v>
      </c>
    </row>
    <row r="1143" ht="15.75" hidden="1" customHeight="1">
      <c r="A1143" s="9">
        <v>7266875.0</v>
      </c>
      <c r="B1143" s="2" t="s">
        <v>5585</v>
      </c>
      <c r="C1143" s="2" t="s">
        <v>5586</v>
      </c>
      <c r="D1143" s="2" t="s">
        <v>5587</v>
      </c>
      <c r="E1143" s="10" t="s">
        <v>5588</v>
      </c>
      <c r="F1143" s="2" t="s">
        <v>689</v>
      </c>
      <c r="G1143" s="2"/>
      <c r="H1143" s="2"/>
      <c r="I1143" s="2" t="s">
        <v>5586</v>
      </c>
    </row>
    <row r="1144" ht="15.75" hidden="1" customHeight="1">
      <c r="A1144" s="9">
        <v>7266876.0</v>
      </c>
      <c r="B1144" s="2" t="s">
        <v>5590</v>
      </c>
      <c r="C1144" s="2" t="s">
        <v>5591</v>
      </c>
      <c r="D1144" s="2" t="s">
        <v>3666</v>
      </c>
      <c r="E1144" s="10" t="s">
        <v>3671</v>
      </c>
      <c r="F1144" s="2" t="s">
        <v>689</v>
      </c>
      <c r="G1144" s="2"/>
      <c r="H1144" s="2"/>
      <c r="I1144" s="2" t="s">
        <v>5591</v>
      </c>
    </row>
    <row r="1145" ht="15.75" hidden="1" customHeight="1">
      <c r="A1145" s="9">
        <v>7266877.0</v>
      </c>
      <c r="B1145" s="2" t="s">
        <v>5592</v>
      </c>
      <c r="C1145" s="2" t="s">
        <v>5593</v>
      </c>
      <c r="D1145" s="2" t="s">
        <v>5594</v>
      </c>
      <c r="E1145" s="10" t="s">
        <v>5595</v>
      </c>
      <c r="F1145" s="2" t="s">
        <v>689</v>
      </c>
      <c r="G1145" s="2"/>
      <c r="H1145" s="2"/>
      <c r="I1145" s="2" t="s">
        <v>5593</v>
      </c>
    </row>
    <row r="1146" ht="15.75" hidden="1" customHeight="1">
      <c r="A1146" s="9">
        <v>7266878.0</v>
      </c>
      <c r="B1146" s="2" t="s">
        <v>5596</v>
      </c>
      <c r="C1146" s="2" t="s">
        <v>5597</v>
      </c>
      <c r="D1146" s="2" t="s">
        <v>5598</v>
      </c>
      <c r="E1146" s="10" t="s">
        <v>5599</v>
      </c>
      <c r="F1146" s="2" t="s">
        <v>689</v>
      </c>
      <c r="G1146" s="2"/>
      <c r="H1146" s="2"/>
      <c r="I1146" s="2" t="s">
        <v>5597</v>
      </c>
    </row>
    <row r="1147" ht="15.75" hidden="1" customHeight="1">
      <c r="A1147" s="9">
        <v>7266879.0</v>
      </c>
      <c r="B1147" s="2" t="s">
        <v>5601</v>
      </c>
      <c r="C1147" s="2" t="s">
        <v>5602</v>
      </c>
      <c r="D1147" s="2" t="s">
        <v>5603</v>
      </c>
      <c r="E1147" s="10" t="s">
        <v>5604</v>
      </c>
      <c r="F1147" s="2" t="s">
        <v>689</v>
      </c>
      <c r="G1147" s="2"/>
      <c r="H1147" s="2"/>
      <c r="I1147" s="2" t="s">
        <v>5602</v>
      </c>
    </row>
    <row r="1148" ht="15.75" hidden="1" customHeight="1">
      <c r="A1148" s="9">
        <v>7266880.0</v>
      </c>
      <c r="B1148" s="2" t="s">
        <v>5606</v>
      </c>
      <c r="C1148" s="2" t="s">
        <v>5607</v>
      </c>
      <c r="D1148" s="2" t="s">
        <v>1816</v>
      </c>
      <c r="E1148" s="10" t="s">
        <v>1821</v>
      </c>
      <c r="F1148" s="2" t="s">
        <v>1243</v>
      </c>
      <c r="G1148" s="2"/>
      <c r="H1148" s="2"/>
      <c r="I1148" s="2" t="s">
        <v>5607</v>
      </c>
    </row>
    <row r="1149" ht="15.75" hidden="1" customHeight="1">
      <c r="A1149" s="9">
        <v>7266881.0</v>
      </c>
      <c r="B1149" s="2" t="s">
        <v>1613</v>
      </c>
      <c r="C1149" s="2" t="s">
        <v>5608</v>
      </c>
      <c r="D1149" s="2" t="s">
        <v>5609</v>
      </c>
      <c r="E1149" s="10" t="s">
        <v>5610</v>
      </c>
      <c r="F1149" s="2" t="s">
        <v>1243</v>
      </c>
      <c r="G1149" s="2"/>
      <c r="H1149" s="2"/>
      <c r="I1149" s="2" t="s">
        <v>5608</v>
      </c>
    </row>
    <row r="1150" ht="15.75" hidden="1" customHeight="1">
      <c r="A1150" s="9">
        <v>7266882.0</v>
      </c>
      <c r="B1150" s="2" t="s">
        <v>5612</v>
      </c>
      <c r="C1150" s="2" t="s">
        <v>5613</v>
      </c>
      <c r="D1150" s="2" t="s">
        <v>5614</v>
      </c>
      <c r="E1150" s="10" t="s">
        <v>5615</v>
      </c>
      <c r="F1150" s="2" t="s">
        <v>1243</v>
      </c>
      <c r="G1150" s="2"/>
      <c r="H1150" s="2"/>
      <c r="I1150" s="2" t="s">
        <v>5613</v>
      </c>
    </row>
    <row r="1151" ht="15.75" hidden="1" customHeight="1">
      <c r="A1151" s="9">
        <v>7266883.0</v>
      </c>
      <c r="B1151" s="2" t="s">
        <v>5617</v>
      </c>
      <c r="C1151" s="2" t="s">
        <v>5618</v>
      </c>
      <c r="D1151" s="2" t="s">
        <v>5620</v>
      </c>
      <c r="E1151" s="10" t="s">
        <v>5621</v>
      </c>
      <c r="F1151" s="2" t="s">
        <v>1243</v>
      </c>
      <c r="G1151" s="2"/>
      <c r="H1151" s="2"/>
      <c r="I1151" s="2" t="s">
        <v>5618</v>
      </c>
    </row>
    <row r="1152" ht="15.75" hidden="1" customHeight="1">
      <c r="A1152" s="9">
        <v>7266884.0</v>
      </c>
      <c r="B1152" s="2" t="s">
        <v>5623</v>
      </c>
      <c r="C1152" s="2" t="s">
        <v>5624</v>
      </c>
      <c r="D1152" s="2" t="s">
        <v>5625</v>
      </c>
      <c r="E1152" s="10" t="s">
        <v>5626</v>
      </c>
      <c r="F1152" s="2" t="s">
        <v>1243</v>
      </c>
      <c r="G1152" s="2"/>
      <c r="H1152" s="2"/>
      <c r="I1152" s="2" t="s">
        <v>5624</v>
      </c>
    </row>
    <row r="1153" ht="15.75" hidden="1" customHeight="1">
      <c r="A1153" s="9">
        <v>7266885.0</v>
      </c>
      <c r="B1153" s="2" t="s">
        <v>5628</v>
      </c>
      <c r="C1153" s="2" t="s">
        <v>5629</v>
      </c>
      <c r="D1153" s="2" t="s">
        <v>5630</v>
      </c>
      <c r="E1153" s="10" t="s">
        <v>5631</v>
      </c>
      <c r="F1153" s="2" t="s">
        <v>1243</v>
      </c>
      <c r="G1153" s="2"/>
      <c r="H1153" s="2"/>
      <c r="I1153" s="2" t="s">
        <v>5629</v>
      </c>
    </row>
    <row r="1154" ht="15.75" hidden="1" customHeight="1">
      <c r="A1154" s="9">
        <v>7266886.0</v>
      </c>
      <c r="B1154" s="2" t="s">
        <v>5632</v>
      </c>
      <c r="C1154" s="2" t="s">
        <v>5633</v>
      </c>
      <c r="D1154" s="2" t="s">
        <v>5634</v>
      </c>
      <c r="E1154" s="10" t="s">
        <v>5635</v>
      </c>
      <c r="F1154" s="2" t="s">
        <v>1243</v>
      </c>
      <c r="G1154" s="2"/>
      <c r="H1154" s="2"/>
      <c r="I1154" s="2" t="s">
        <v>5633</v>
      </c>
    </row>
    <row r="1155" ht="15.75" hidden="1" customHeight="1">
      <c r="A1155" s="9">
        <v>7266887.0</v>
      </c>
      <c r="B1155" s="2" t="s">
        <v>5637</v>
      </c>
      <c r="C1155" s="2" t="s">
        <v>5638</v>
      </c>
      <c r="D1155" s="2" t="s">
        <v>5639</v>
      </c>
      <c r="E1155" s="10" t="s">
        <v>5640</v>
      </c>
      <c r="F1155" s="2" t="s">
        <v>1243</v>
      </c>
      <c r="G1155" s="2"/>
      <c r="H1155" s="2"/>
      <c r="I1155" s="2" t="s">
        <v>5638</v>
      </c>
    </row>
    <row r="1156" ht="15.75" hidden="1" customHeight="1">
      <c r="A1156" s="9">
        <v>7266888.0</v>
      </c>
      <c r="B1156" s="2" t="s">
        <v>5642</v>
      </c>
      <c r="C1156" s="2" t="s">
        <v>5643</v>
      </c>
      <c r="D1156" s="2" t="s">
        <v>1229</v>
      </c>
      <c r="E1156" s="10" t="s">
        <v>1236</v>
      </c>
      <c r="F1156" s="2" t="s">
        <v>1243</v>
      </c>
      <c r="G1156" s="2"/>
      <c r="H1156" s="2"/>
      <c r="I1156" s="2" t="s">
        <v>5643</v>
      </c>
    </row>
    <row r="1157" ht="15.75" hidden="1" customHeight="1">
      <c r="A1157" s="9">
        <v>7266889.0</v>
      </c>
      <c r="B1157" s="2" t="s">
        <v>5644</v>
      </c>
      <c r="C1157" s="2" t="s">
        <v>5645</v>
      </c>
      <c r="D1157" s="2" t="s">
        <v>5646</v>
      </c>
      <c r="E1157" s="10" t="s">
        <v>5647</v>
      </c>
      <c r="F1157" s="2" t="s">
        <v>1243</v>
      </c>
      <c r="G1157" s="2"/>
      <c r="H1157" s="2"/>
      <c r="I1157" s="2" t="s">
        <v>5645</v>
      </c>
    </row>
    <row r="1158" ht="15.75" hidden="1" customHeight="1">
      <c r="A1158" s="9">
        <v>7266890.0</v>
      </c>
      <c r="B1158" s="2" t="s">
        <v>5649</v>
      </c>
      <c r="C1158" s="2" t="s">
        <v>5650</v>
      </c>
      <c r="D1158" s="2" t="s">
        <v>5651</v>
      </c>
      <c r="E1158" s="10" t="s">
        <v>5653</v>
      </c>
      <c r="F1158" s="2" t="s">
        <v>1243</v>
      </c>
      <c r="G1158" s="2"/>
      <c r="H1158" s="2"/>
      <c r="I1158" s="2" t="s">
        <v>5650</v>
      </c>
    </row>
    <row r="1159" ht="15.75" hidden="1" customHeight="1">
      <c r="A1159" s="9">
        <v>7266891.0</v>
      </c>
      <c r="B1159" s="2" t="s">
        <v>93</v>
      </c>
      <c r="C1159" s="2" t="s">
        <v>5655</v>
      </c>
      <c r="D1159" s="2" t="s">
        <v>5656</v>
      </c>
      <c r="E1159" s="10" t="s">
        <v>5657</v>
      </c>
      <c r="F1159" s="2" t="s">
        <v>1243</v>
      </c>
      <c r="G1159" s="2"/>
      <c r="H1159" s="2"/>
      <c r="I1159" s="2" t="s">
        <v>5655</v>
      </c>
    </row>
    <row r="1160" ht="15.75" hidden="1" customHeight="1">
      <c r="A1160" s="9">
        <v>7266892.0</v>
      </c>
      <c r="B1160" s="2" t="s">
        <v>5658</v>
      </c>
      <c r="C1160" s="2" t="s">
        <v>5659</v>
      </c>
      <c r="D1160" s="2" t="s">
        <v>2181</v>
      </c>
      <c r="E1160" s="10" t="s">
        <v>2195</v>
      </c>
      <c r="F1160" s="2" t="s">
        <v>1243</v>
      </c>
      <c r="G1160" s="2"/>
      <c r="H1160" s="2"/>
      <c r="I1160" s="2" t="s">
        <v>5659</v>
      </c>
    </row>
    <row r="1161" ht="15.75" hidden="1" customHeight="1">
      <c r="A1161" s="9">
        <v>7266893.0</v>
      </c>
      <c r="B1161" s="2" t="s">
        <v>5660</v>
      </c>
      <c r="C1161" s="2" t="s">
        <v>5661</v>
      </c>
      <c r="D1161" s="2" t="s">
        <v>5662</v>
      </c>
      <c r="E1161" s="10" t="s">
        <v>5663</v>
      </c>
      <c r="F1161" s="2" t="s">
        <v>1243</v>
      </c>
      <c r="G1161" s="2"/>
      <c r="H1161" s="2"/>
      <c r="I1161" s="2" t="s">
        <v>5661</v>
      </c>
    </row>
    <row r="1162" ht="15.75" hidden="1" customHeight="1">
      <c r="A1162" s="9">
        <v>7266894.0</v>
      </c>
      <c r="B1162" s="2" t="s">
        <v>5665</v>
      </c>
      <c r="C1162" s="2" t="s">
        <v>5666</v>
      </c>
      <c r="D1162" s="2" t="s">
        <v>5667</v>
      </c>
      <c r="E1162" s="10" t="s">
        <v>5668</v>
      </c>
      <c r="F1162" s="2" t="s">
        <v>1243</v>
      </c>
      <c r="G1162" s="2"/>
      <c r="H1162" s="2"/>
      <c r="I1162" s="2" t="s">
        <v>5666</v>
      </c>
    </row>
    <row r="1163" ht="15.75" hidden="1" customHeight="1">
      <c r="A1163" s="9">
        <v>7266895.0</v>
      </c>
      <c r="B1163" s="2" t="s">
        <v>5670</v>
      </c>
      <c r="C1163" s="2" t="s">
        <v>5671</v>
      </c>
      <c r="D1163" s="2" t="s">
        <v>5672</v>
      </c>
      <c r="E1163" s="10" t="s">
        <v>5673</v>
      </c>
      <c r="F1163" s="2" t="s">
        <v>1243</v>
      </c>
      <c r="G1163" s="2"/>
      <c r="H1163" s="2"/>
      <c r="I1163" s="2" t="s">
        <v>5671</v>
      </c>
    </row>
    <row r="1164" ht="15.75" hidden="1" customHeight="1">
      <c r="A1164" s="9">
        <v>7266896.0</v>
      </c>
      <c r="B1164" s="2" t="s">
        <v>5675</v>
      </c>
      <c r="C1164" s="2" t="s">
        <v>5676</v>
      </c>
      <c r="D1164" s="2" t="s">
        <v>5677</v>
      </c>
      <c r="E1164" s="10" t="s">
        <v>5678</v>
      </c>
      <c r="F1164" s="2" t="s">
        <v>1243</v>
      </c>
      <c r="G1164" s="2"/>
      <c r="H1164" s="2"/>
      <c r="I1164" s="2" t="s">
        <v>5676</v>
      </c>
    </row>
    <row r="1165" ht="15.75" hidden="1" customHeight="1">
      <c r="A1165" s="9">
        <v>7266897.0</v>
      </c>
      <c r="B1165" s="2" t="s">
        <v>5679</v>
      </c>
      <c r="C1165" s="2" t="s">
        <v>5680</v>
      </c>
      <c r="D1165" s="2" t="s">
        <v>5681</v>
      </c>
      <c r="E1165" s="10" t="s">
        <v>5682</v>
      </c>
      <c r="F1165" s="2" t="s">
        <v>1243</v>
      </c>
      <c r="G1165" s="2"/>
      <c r="H1165" s="2"/>
      <c r="I1165" s="2" t="s">
        <v>5680</v>
      </c>
    </row>
    <row r="1166" ht="15.75" hidden="1" customHeight="1">
      <c r="A1166" s="9">
        <v>7266898.0</v>
      </c>
      <c r="B1166" s="2" t="s">
        <v>5683</v>
      </c>
      <c r="C1166" s="2" t="s">
        <v>5684</v>
      </c>
      <c r="D1166" s="2" t="s">
        <v>5685</v>
      </c>
      <c r="E1166" s="10" t="s">
        <v>5686</v>
      </c>
      <c r="F1166" s="2" t="s">
        <v>1243</v>
      </c>
      <c r="G1166" s="2"/>
      <c r="H1166" s="2"/>
      <c r="I1166" s="2" t="s">
        <v>5684</v>
      </c>
    </row>
    <row r="1167" ht="15.75" hidden="1" customHeight="1">
      <c r="A1167" s="9">
        <v>7266899.0</v>
      </c>
      <c r="B1167" s="2" t="s">
        <v>5688</v>
      </c>
      <c r="C1167" s="2" t="s">
        <v>5689</v>
      </c>
      <c r="D1167" s="2" t="s">
        <v>5690</v>
      </c>
      <c r="E1167" s="10" t="s">
        <v>5691</v>
      </c>
      <c r="F1167" s="2" t="s">
        <v>1243</v>
      </c>
      <c r="G1167" s="2"/>
      <c r="H1167" s="2"/>
      <c r="I1167" s="2" t="s">
        <v>5689</v>
      </c>
    </row>
    <row r="1168" ht="15.75" hidden="1" customHeight="1">
      <c r="A1168" s="9">
        <v>7266900.0</v>
      </c>
      <c r="B1168" s="2" t="s">
        <v>5692</v>
      </c>
      <c r="C1168" s="2" t="s">
        <v>5693</v>
      </c>
      <c r="D1168" s="2" t="s">
        <v>5694</v>
      </c>
      <c r="E1168" s="10" t="s">
        <v>5695</v>
      </c>
      <c r="F1168" s="2" t="s">
        <v>1243</v>
      </c>
      <c r="G1168" s="2"/>
      <c r="H1168" s="2"/>
      <c r="I1168" s="2" t="s">
        <v>5693</v>
      </c>
    </row>
    <row r="1169" ht="15.75" hidden="1" customHeight="1">
      <c r="A1169" s="9">
        <v>7266901.0</v>
      </c>
      <c r="B1169" s="2" t="s">
        <v>5697</v>
      </c>
      <c r="C1169" s="2" t="s">
        <v>5698</v>
      </c>
      <c r="D1169" s="2" t="s">
        <v>5699</v>
      </c>
      <c r="E1169" s="10" t="s">
        <v>5700</v>
      </c>
      <c r="F1169" s="2" t="s">
        <v>1243</v>
      </c>
      <c r="G1169" s="2"/>
      <c r="H1169" s="2"/>
      <c r="I1169" s="2" t="s">
        <v>5698</v>
      </c>
    </row>
    <row r="1170" ht="15.75" hidden="1" customHeight="1">
      <c r="A1170" s="9">
        <v>7266902.0</v>
      </c>
      <c r="B1170" s="2" t="s">
        <v>5701</v>
      </c>
      <c r="C1170" s="2" t="s">
        <v>5702</v>
      </c>
      <c r="D1170" s="2" t="s">
        <v>5703</v>
      </c>
      <c r="E1170" s="10" t="s">
        <v>5571</v>
      </c>
      <c r="F1170" s="2" t="s">
        <v>1243</v>
      </c>
      <c r="G1170" s="2"/>
      <c r="H1170" s="2"/>
      <c r="I1170" s="2" t="s">
        <v>5702</v>
      </c>
    </row>
    <row r="1171" ht="15.75" hidden="1" customHeight="1">
      <c r="A1171" s="9">
        <v>7266903.0</v>
      </c>
      <c r="B1171" s="2" t="s">
        <v>5704</v>
      </c>
      <c r="C1171" s="2" t="s">
        <v>5705</v>
      </c>
      <c r="D1171" s="2" t="s">
        <v>5706</v>
      </c>
      <c r="E1171" s="10" t="s">
        <v>5707</v>
      </c>
      <c r="F1171" s="2" t="s">
        <v>1243</v>
      </c>
      <c r="G1171" s="2"/>
      <c r="H1171" s="2"/>
      <c r="I1171" s="2" t="s">
        <v>5705</v>
      </c>
    </row>
    <row r="1172" ht="15.75" hidden="1" customHeight="1">
      <c r="A1172" s="9">
        <v>7266904.0</v>
      </c>
      <c r="B1172" s="2" t="s">
        <v>5708</v>
      </c>
      <c r="C1172" s="2" t="s">
        <v>5709</v>
      </c>
      <c r="D1172" s="2" t="s">
        <v>5710</v>
      </c>
      <c r="E1172" s="10" t="s">
        <v>5711</v>
      </c>
      <c r="F1172" s="2" t="s">
        <v>1243</v>
      </c>
      <c r="G1172" s="2"/>
      <c r="H1172" s="2"/>
      <c r="I1172" s="2" t="s">
        <v>5709</v>
      </c>
    </row>
    <row r="1173" ht="15.75" hidden="1" customHeight="1">
      <c r="A1173" s="9">
        <v>7266905.0</v>
      </c>
      <c r="B1173" s="2" t="s">
        <v>5713</v>
      </c>
      <c r="C1173" s="2" t="s">
        <v>5714</v>
      </c>
      <c r="D1173" s="2" t="s">
        <v>5715</v>
      </c>
      <c r="E1173" s="10" t="s">
        <v>5716</v>
      </c>
      <c r="F1173" s="2" t="s">
        <v>1243</v>
      </c>
      <c r="G1173" s="2"/>
      <c r="H1173" s="2"/>
      <c r="I1173" s="2" t="s">
        <v>5714</v>
      </c>
    </row>
    <row r="1174" ht="15.75" hidden="1" customHeight="1">
      <c r="A1174" s="9">
        <v>7266906.0</v>
      </c>
      <c r="B1174" s="2" t="s">
        <v>5717</v>
      </c>
      <c r="C1174" s="2" t="s">
        <v>5719</v>
      </c>
      <c r="D1174" s="2" t="s">
        <v>5720</v>
      </c>
      <c r="E1174" s="10" t="s">
        <v>5721</v>
      </c>
      <c r="F1174" s="2" t="s">
        <v>1243</v>
      </c>
      <c r="G1174" s="2"/>
      <c r="H1174" s="2"/>
      <c r="I1174" s="2" t="s">
        <v>5719</v>
      </c>
    </row>
    <row r="1175" ht="15.75" hidden="1" customHeight="1">
      <c r="A1175" s="9">
        <v>7266907.0</v>
      </c>
      <c r="B1175" s="2" t="s">
        <v>5722</v>
      </c>
      <c r="C1175" s="2" t="s">
        <v>5723</v>
      </c>
      <c r="D1175" s="2" t="s">
        <v>5724</v>
      </c>
      <c r="E1175" s="10" t="s">
        <v>5725</v>
      </c>
      <c r="F1175" s="2" t="s">
        <v>1243</v>
      </c>
      <c r="G1175" s="2"/>
      <c r="H1175" s="2"/>
      <c r="I1175" s="2" t="s">
        <v>5723</v>
      </c>
    </row>
    <row r="1176" ht="15.75" hidden="1" customHeight="1">
      <c r="A1176" s="9">
        <v>7266908.0</v>
      </c>
      <c r="B1176" s="2" t="s">
        <v>5726</v>
      </c>
      <c r="C1176" s="2" t="s">
        <v>5727</v>
      </c>
      <c r="D1176" s="2" t="s">
        <v>5728</v>
      </c>
      <c r="E1176" s="10" t="s">
        <v>5729</v>
      </c>
      <c r="F1176" s="2" t="s">
        <v>1243</v>
      </c>
      <c r="G1176" s="2"/>
      <c r="H1176" s="2"/>
      <c r="I1176" s="2" t="s">
        <v>5727</v>
      </c>
    </row>
    <row r="1177" ht="15.75" hidden="1" customHeight="1">
      <c r="A1177" s="9">
        <v>7266909.0</v>
      </c>
      <c r="B1177" s="2" t="s">
        <v>5730</v>
      </c>
      <c r="C1177" s="2" t="s">
        <v>5732</v>
      </c>
      <c r="D1177" s="2" t="s">
        <v>5733</v>
      </c>
      <c r="E1177" s="10" t="s">
        <v>5734</v>
      </c>
      <c r="F1177" s="2" t="s">
        <v>1243</v>
      </c>
      <c r="G1177" s="2"/>
      <c r="H1177" s="2"/>
      <c r="I1177" s="2" t="s">
        <v>5732</v>
      </c>
    </row>
    <row r="1178" ht="15.75" hidden="1" customHeight="1">
      <c r="A1178" s="9">
        <v>7266910.0</v>
      </c>
      <c r="B1178" s="2" t="s">
        <v>5735</v>
      </c>
      <c r="C1178" s="2" t="s">
        <v>5736</v>
      </c>
      <c r="D1178" s="2" t="s">
        <v>5737</v>
      </c>
      <c r="E1178" s="10" t="s">
        <v>5738</v>
      </c>
      <c r="F1178" s="2" t="s">
        <v>1243</v>
      </c>
      <c r="G1178" s="2"/>
      <c r="H1178" s="2"/>
      <c r="I1178" s="2" t="s">
        <v>5736</v>
      </c>
    </row>
    <row r="1179" ht="15.75" hidden="1" customHeight="1">
      <c r="A1179" s="9">
        <v>7266911.0</v>
      </c>
      <c r="B1179" s="2" t="s">
        <v>5740</v>
      </c>
      <c r="C1179" s="2" t="s">
        <v>5741</v>
      </c>
      <c r="D1179" s="2" t="s">
        <v>5611</v>
      </c>
      <c r="E1179" s="10" t="s">
        <v>5619</v>
      </c>
      <c r="F1179" s="2" t="s">
        <v>42</v>
      </c>
      <c r="G1179" s="2"/>
      <c r="H1179" s="2"/>
      <c r="I1179" s="2" t="s">
        <v>5741</v>
      </c>
    </row>
    <row r="1180" ht="15.75" hidden="1" customHeight="1">
      <c r="A1180" s="9">
        <v>7266912.0</v>
      </c>
      <c r="B1180" s="2" t="s">
        <v>5742</v>
      </c>
      <c r="C1180" s="2" t="s">
        <v>5743</v>
      </c>
      <c r="D1180" s="2" t="s">
        <v>5744</v>
      </c>
      <c r="E1180" s="10" t="s">
        <v>5745</v>
      </c>
      <c r="F1180" s="2" t="s">
        <v>42</v>
      </c>
      <c r="G1180" s="2"/>
      <c r="H1180" s="2"/>
      <c r="I1180" s="2" t="s">
        <v>5743</v>
      </c>
    </row>
    <row r="1181" ht="15.75" hidden="1" customHeight="1">
      <c r="A1181" s="9">
        <v>7266913.0</v>
      </c>
      <c r="B1181" s="2" t="s">
        <v>5747</v>
      </c>
      <c r="C1181" s="2" t="s">
        <v>5748</v>
      </c>
      <c r="D1181" s="2" t="s">
        <v>264</v>
      </c>
      <c r="E1181" s="10" t="s">
        <v>271</v>
      </c>
      <c r="F1181" s="2" t="s">
        <v>42</v>
      </c>
      <c r="G1181" s="2"/>
      <c r="H1181" s="2"/>
      <c r="I1181" s="2" t="s">
        <v>5748</v>
      </c>
    </row>
    <row r="1182" ht="15.75" hidden="1" customHeight="1">
      <c r="A1182" s="9">
        <v>7266914.0</v>
      </c>
      <c r="B1182" s="2" t="s">
        <v>5751</v>
      </c>
      <c r="C1182" s="2" t="s">
        <v>5752</v>
      </c>
      <c r="D1182" s="2" t="s">
        <v>5753</v>
      </c>
      <c r="E1182" s="10" t="s">
        <v>5754</v>
      </c>
      <c r="F1182" s="2" t="s">
        <v>42</v>
      </c>
      <c r="G1182" s="2"/>
      <c r="H1182" s="2"/>
      <c r="I1182" s="2" t="s">
        <v>5752</v>
      </c>
    </row>
    <row r="1183" ht="15.75" hidden="1" customHeight="1">
      <c r="A1183" s="9">
        <v>7266915.0</v>
      </c>
      <c r="B1183" s="2" t="s">
        <v>5756</v>
      </c>
      <c r="C1183" s="2" t="s">
        <v>5757</v>
      </c>
      <c r="D1183" s="2" t="s">
        <v>5759</v>
      </c>
      <c r="E1183" s="10" t="s">
        <v>5760</v>
      </c>
      <c r="F1183" s="2" t="s">
        <v>42</v>
      </c>
      <c r="G1183" s="2"/>
      <c r="H1183" s="2"/>
      <c r="I1183" s="2" t="s">
        <v>5757</v>
      </c>
    </row>
    <row r="1184" ht="15.75" hidden="1" customHeight="1">
      <c r="A1184" s="9">
        <v>7266916.0</v>
      </c>
      <c r="B1184" s="2" t="s">
        <v>5761</v>
      </c>
      <c r="C1184" s="2" t="s">
        <v>5762</v>
      </c>
      <c r="D1184" s="2" t="s">
        <v>5763</v>
      </c>
      <c r="E1184" s="10" t="s">
        <v>5764</v>
      </c>
      <c r="F1184" s="2" t="s">
        <v>42</v>
      </c>
      <c r="G1184" s="2"/>
      <c r="H1184" s="2"/>
      <c r="I1184" s="2" t="s">
        <v>5762</v>
      </c>
    </row>
    <row r="1185" ht="15.75" hidden="1" customHeight="1">
      <c r="A1185" s="9">
        <v>7266918.0</v>
      </c>
      <c r="B1185" s="2" t="s">
        <v>5765</v>
      </c>
      <c r="C1185" s="2" t="s">
        <v>5766</v>
      </c>
      <c r="D1185" s="2" t="s">
        <v>5767</v>
      </c>
      <c r="E1185" s="10" t="s">
        <v>5768</v>
      </c>
      <c r="F1185" s="2" t="s">
        <v>42</v>
      </c>
      <c r="G1185" s="2"/>
      <c r="H1185" s="2"/>
      <c r="I1185" s="2" t="s">
        <v>5766</v>
      </c>
    </row>
    <row r="1186" ht="15.75" hidden="1" customHeight="1">
      <c r="A1186" s="9">
        <v>7266919.0</v>
      </c>
      <c r="B1186" s="2" t="s">
        <v>5769</v>
      </c>
      <c r="C1186" s="2" t="s">
        <v>5771</v>
      </c>
      <c r="D1186" s="2" t="s">
        <v>5772</v>
      </c>
      <c r="E1186" s="10" t="s">
        <v>5773</v>
      </c>
      <c r="F1186" s="2" t="s">
        <v>42</v>
      </c>
      <c r="G1186" s="2"/>
      <c r="H1186" s="2"/>
      <c r="I1186" s="2" t="s">
        <v>5771</v>
      </c>
    </row>
    <row r="1187" ht="15.75" hidden="1" customHeight="1">
      <c r="A1187" s="9">
        <v>7266920.0</v>
      </c>
      <c r="B1187" s="2" t="s">
        <v>5775</v>
      </c>
      <c r="C1187" s="2" t="s">
        <v>5777</v>
      </c>
      <c r="D1187" s="2" t="s">
        <v>4280</v>
      </c>
      <c r="E1187" s="10" t="s">
        <v>4286</v>
      </c>
      <c r="F1187" s="2" t="s">
        <v>42</v>
      </c>
      <c r="G1187" s="2"/>
      <c r="H1187" s="2"/>
      <c r="I1187" s="2" t="s">
        <v>5777</v>
      </c>
    </row>
    <row r="1188" ht="15.75" hidden="1" customHeight="1">
      <c r="A1188" s="9">
        <v>7266921.0</v>
      </c>
      <c r="B1188" s="2" t="s">
        <v>5779</v>
      </c>
      <c r="C1188" s="2" t="s">
        <v>5780</v>
      </c>
      <c r="D1188" s="2" t="s">
        <v>5781</v>
      </c>
      <c r="E1188" s="10" t="s">
        <v>5782</v>
      </c>
      <c r="F1188" s="2" t="s">
        <v>42</v>
      </c>
      <c r="G1188" s="2"/>
      <c r="H1188" s="2"/>
      <c r="I1188" s="2" t="s">
        <v>5780</v>
      </c>
    </row>
    <row r="1189" ht="15.75" hidden="1" customHeight="1">
      <c r="A1189" s="9">
        <v>7266922.0</v>
      </c>
      <c r="B1189" s="2" t="s">
        <v>5783</v>
      </c>
      <c r="C1189" s="2" t="s">
        <v>5784</v>
      </c>
      <c r="D1189" s="2" t="s">
        <v>5785</v>
      </c>
      <c r="E1189" s="10" t="s">
        <v>5654</v>
      </c>
      <c r="F1189" s="2" t="s">
        <v>42</v>
      </c>
      <c r="G1189" s="2"/>
      <c r="H1189" s="2"/>
      <c r="I1189" s="2" t="s">
        <v>5784</v>
      </c>
    </row>
    <row r="1190" ht="15.75" hidden="1" customHeight="1">
      <c r="A1190" s="9">
        <v>7266923.0</v>
      </c>
      <c r="B1190" s="2" t="s">
        <v>5786</v>
      </c>
      <c r="C1190" s="2" t="s">
        <v>5787</v>
      </c>
      <c r="D1190" s="2" t="s">
        <v>721</v>
      </c>
      <c r="E1190" s="10" t="s">
        <v>728</v>
      </c>
      <c r="F1190" s="2" t="s">
        <v>42</v>
      </c>
      <c r="G1190" s="2"/>
      <c r="H1190" s="2"/>
      <c r="I1190" s="2" t="s">
        <v>5787</v>
      </c>
    </row>
    <row r="1191" ht="15.75" hidden="1" customHeight="1">
      <c r="A1191" s="9">
        <v>7266924.0</v>
      </c>
      <c r="B1191" s="2" t="s">
        <v>5788</v>
      </c>
      <c r="C1191" s="2" t="s">
        <v>5789</v>
      </c>
      <c r="D1191" s="2" t="s">
        <v>5790</v>
      </c>
      <c r="E1191" s="10" t="s">
        <v>5791</v>
      </c>
      <c r="F1191" s="2" t="s">
        <v>42</v>
      </c>
      <c r="G1191" s="2"/>
      <c r="H1191" s="2"/>
      <c r="I1191" s="2" t="s">
        <v>5789</v>
      </c>
    </row>
    <row r="1192" ht="15.75" hidden="1" customHeight="1">
      <c r="A1192" s="9">
        <v>7266925.0</v>
      </c>
      <c r="B1192" s="2" t="s">
        <v>5792</v>
      </c>
      <c r="C1192" s="2" t="s">
        <v>5793</v>
      </c>
      <c r="D1192" s="2" t="s">
        <v>5794</v>
      </c>
      <c r="E1192" s="10" t="s">
        <v>5796</v>
      </c>
      <c r="F1192" s="2" t="s">
        <v>42</v>
      </c>
      <c r="G1192" s="2"/>
      <c r="H1192" s="2"/>
      <c r="I1192" s="2" t="s">
        <v>5793</v>
      </c>
    </row>
    <row r="1193" ht="15.75" hidden="1" customHeight="1">
      <c r="A1193" s="9">
        <v>7266926.0</v>
      </c>
      <c r="B1193" s="2" t="s">
        <v>5797</v>
      </c>
      <c r="C1193" s="2" t="s">
        <v>5798</v>
      </c>
      <c r="D1193" s="2" t="s">
        <v>2306</v>
      </c>
      <c r="E1193" s="10" t="s">
        <v>2312</v>
      </c>
      <c r="F1193" s="2" t="s">
        <v>42</v>
      </c>
      <c r="G1193" s="2"/>
      <c r="H1193" s="2"/>
      <c r="I1193" s="2" t="s">
        <v>5798</v>
      </c>
    </row>
    <row r="1194" ht="15.75" hidden="1" customHeight="1">
      <c r="A1194" s="9">
        <v>7266927.0</v>
      </c>
      <c r="B1194" s="2" t="s">
        <v>5799</v>
      </c>
      <c r="C1194" s="2" t="s">
        <v>5800</v>
      </c>
      <c r="D1194" s="2" t="s">
        <v>5801</v>
      </c>
      <c r="E1194" s="10" t="s">
        <v>5802</v>
      </c>
      <c r="F1194" s="2" t="s">
        <v>42</v>
      </c>
      <c r="G1194" s="2"/>
      <c r="H1194" s="2"/>
      <c r="I1194" s="2" t="s">
        <v>5800</v>
      </c>
    </row>
    <row r="1195" ht="15.75" hidden="1" customHeight="1">
      <c r="A1195" s="9">
        <v>7266928.0</v>
      </c>
      <c r="B1195" s="2" t="s">
        <v>5803</v>
      </c>
      <c r="C1195" s="2" t="s">
        <v>5804</v>
      </c>
      <c r="D1195" s="2" t="s">
        <v>5806</v>
      </c>
      <c r="E1195" s="10" t="s">
        <v>5807</v>
      </c>
      <c r="F1195" s="2" t="s">
        <v>42</v>
      </c>
      <c r="G1195" s="2"/>
      <c r="H1195" s="2"/>
      <c r="I1195" s="2" t="s">
        <v>5804</v>
      </c>
    </row>
    <row r="1196" ht="15.75" hidden="1" customHeight="1">
      <c r="A1196" s="9">
        <v>7266929.0</v>
      </c>
      <c r="B1196" s="2" t="s">
        <v>5809</v>
      </c>
      <c r="C1196" s="2" t="s">
        <v>5810</v>
      </c>
      <c r="D1196" s="2" t="s">
        <v>5811</v>
      </c>
      <c r="E1196" s="10" t="s">
        <v>5812</v>
      </c>
      <c r="F1196" s="2" t="s">
        <v>42</v>
      </c>
      <c r="G1196" s="2"/>
      <c r="H1196" s="2"/>
      <c r="I1196" s="2" t="s">
        <v>5810</v>
      </c>
    </row>
    <row r="1197" ht="15.75" hidden="1" customHeight="1">
      <c r="A1197" s="9">
        <v>7266930.0</v>
      </c>
      <c r="B1197" s="2" t="s">
        <v>5814</v>
      </c>
      <c r="C1197" s="2" t="s">
        <v>5815</v>
      </c>
      <c r="D1197" s="2" t="s">
        <v>5816</v>
      </c>
      <c r="E1197" s="10" t="s">
        <v>5817</v>
      </c>
      <c r="F1197" s="2" t="s">
        <v>42</v>
      </c>
      <c r="G1197" s="2"/>
      <c r="H1197" s="2"/>
      <c r="I1197" s="2" t="s">
        <v>5815</v>
      </c>
    </row>
    <row r="1198" ht="15.75" hidden="1" customHeight="1">
      <c r="A1198" s="9">
        <v>7266931.0</v>
      </c>
      <c r="B1198" s="2" t="s">
        <v>5818</v>
      </c>
      <c r="C1198" s="2" t="s">
        <v>5819</v>
      </c>
      <c r="D1198" s="2" t="s">
        <v>1358</v>
      </c>
      <c r="E1198" s="10" t="s">
        <v>1365</v>
      </c>
      <c r="F1198" s="2" t="s">
        <v>42</v>
      </c>
      <c r="G1198" s="2"/>
      <c r="H1198" s="2"/>
      <c r="I1198" s="2" t="s">
        <v>5819</v>
      </c>
    </row>
    <row r="1199" ht="15.75" hidden="1" customHeight="1">
      <c r="A1199" s="9">
        <v>7266932.0</v>
      </c>
      <c r="B1199" s="2" t="s">
        <v>5820</v>
      </c>
      <c r="C1199" s="2" t="s">
        <v>5821</v>
      </c>
      <c r="D1199" s="2" t="s">
        <v>5822</v>
      </c>
      <c r="E1199" s="10" t="s">
        <v>5823</v>
      </c>
      <c r="F1199" s="2" t="s">
        <v>42</v>
      </c>
      <c r="G1199" s="2"/>
      <c r="H1199" s="2"/>
      <c r="I1199" s="2" t="s">
        <v>5821</v>
      </c>
    </row>
    <row r="1200" ht="15.75" hidden="1" customHeight="1">
      <c r="A1200" s="9">
        <v>7266933.0</v>
      </c>
      <c r="B1200" s="2" t="s">
        <v>5824</v>
      </c>
      <c r="C1200" s="2" t="s">
        <v>5825</v>
      </c>
      <c r="D1200" s="2" t="s">
        <v>5827</v>
      </c>
      <c r="E1200" s="10" t="s">
        <v>5828</v>
      </c>
      <c r="F1200" s="2" t="s">
        <v>42</v>
      </c>
      <c r="G1200" s="2"/>
      <c r="H1200" s="2"/>
      <c r="I1200" s="2" t="s">
        <v>5825</v>
      </c>
    </row>
    <row r="1201" ht="15.75" hidden="1" customHeight="1">
      <c r="A1201" s="9">
        <v>7266934.0</v>
      </c>
      <c r="B1201" s="2" t="s">
        <v>5829</v>
      </c>
      <c r="C1201" s="2" t="s">
        <v>5830</v>
      </c>
      <c r="D1201" s="2" t="s">
        <v>5831</v>
      </c>
      <c r="E1201" s="10" t="s">
        <v>5832</v>
      </c>
      <c r="F1201" s="2" t="s">
        <v>42</v>
      </c>
      <c r="G1201" s="2"/>
      <c r="H1201" s="2"/>
      <c r="I1201" s="2" t="s">
        <v>5830</v>
      </c>
    </row>
    <row r="1202" ht="15.75" hidden="1" customHeight="1">
      <c r="A1202" s="9">
        <v>7266935.0</v>
      </c>
      <c r="B1202" s="2" t="s">
        <v>5833</v>
      </c>
      <c r="C1202" s="2" t="s">
        <v>5835</v>
      </c>
      <c r="D1202" s="2" t="s">
        <v>5836</v>
      </c>
      <c r="E1202" s="10" t="s">
        <v>5837</v>
      </c>
      <c r="F1202" s="2" t="s">
        <v>42</v>
      </c>
      <c r="G1202" s="2"/>
      <c r="H1202" s="2"/>
      <c r="I1202" s="2" t="s">
        <v>5835</v>
      </c>
    </row>
    <row r="1203" ht="15.75" hidden="1" customHeight="1">
      <c r="A1203" s="9">
        <v>7266936.0</v>
      </c>
      <c r="B1203" s="2" t="s">
        <v>5838</v>
      </c>
      <c r="C1203" s="2" t="s">
        <v>5839</v>
      </c>
      <c r="D1203" s="2" t="s">
        <v>5840</v>
      </c>
      <c r="E1203" s="10" t="s">
        <v>5841</v>
      </c>
      <c r="F1203" s="2" t="s">
        <v>42</v>
      </c>
      <c r="G1203" s="2"/>
      <c r="H1203" s="2"/>
      <c r="I1203" s="2" t="s">
        <v>5839</v>
      </c>
    </row>
    <row r="1204" ht="15.75" hidden="1" customHeight="1">
      <c r="A1204" s="9">
        <v>7266937.0</v>
      </c>
      <c r="B1204" s="2" t="s">
        <v>5842</v>
      </c>
      <c r="C1204" s="2" t="s">
        <v>5843</v>
      </c>
      <c r="D1204" s="2" t="s">
        <v>5844</v>
      </c>
      <c r="E1204" s="10" t="s">
        <v>5845</v>
      </c>
      <c r="F1204" s="2" t="s">
        <v>42</v>
      </c>
      <c r="G1204" s="2"/>
      <c r="H1204" s="2"/>
      <c r="I1204" s="2" t="s">
        <v>5843</v>
      </c>
    </row>
    <row r="1205" ht="15.75" hidden="1" customHeight="1">
      <c r="A1205" s="9">
        <v>7266938.0</v>
      </c>
      <c r="B1205" s="2" t="s">
        <v>2523</v>
      </c>
      <c r="C1205" s="2" t="s">
        <v>5846</v>
      </c>
      <c r="D1205" s="2" t="s">
        <v>5847</v>
      </c>
      <c r="E1205" s="10" t="s">
        <v>5848</v>
      </c>
      <c r="F1205" s="2" t="s">
        <v>42</v>
      </c>
      <c r="G1205" s="2"/>
      <c r="H1205" s="2"/>
      <c r="I1205" s="2" t="s">
        <v>5846</v>
      </c>
    </row>
    <row r="1206" ht="15.75" hidden="1" customHeight="1">
      <c r="A1206" s="9">
        <v>7266939.0</v>
      </c>
      <c r="B1206" s="2" t="s">
        <v>5849</v>
      </c>
      <c r="C1206" s="2" t="s">
        <v>5850</v>
      </c>
      <c r="D1206" s="2" t="s">
        <v>5851</v>
      </c>
      <c r="E1206" s="10" t="s">
        <v>5853</v>
      </c>
      <c r="F1206" s="2" t="s">
        <v>42</v>
      </c>
      <c r="G1206" s="2"/>
      <c r="H1206" s="2"/>
      <c r="I1206" s="2" t="s">
        <v>5850</v>
      </c>
    </row>
    <row r="1207" ht="15.75" hidden="1" customHeight="1">
      <c r="A1207" s="9">
        <v>7266940.0</v>
      </c>
      <c r="B1207" s="2" t="s">
        <v>5854</v>
      </c>
      <c r="C1207" s="2" t="s">
        <v>5855</v>
      </c>
      <c r="D1207" s="2" t="s">
        <v>2153</v>
      </c>
      <c r="E1207" s="10" t="s">
        <v>2157</v>
      </c>
      <c r="F1207" s="2" t="s">
        <v>277</v>
      </c>
      <c r="G1207" s="2"/>
      <c r="H1207" s="2"/>
      <c r="I1207" s="2" t="s">
        <v>5855</v>
      </c>
    </row>
    <row r="1208" ht="15.75" hidden="1" customHeight="1">
      <c r="A1208" s="9">
        <v>7266941.0</v>
      </c>
      <c r="B1208" s="2" t="s">
        <v>5856</v>
      </c>
      <c r="C1208" s="2" t="s">
        <v>5857</v>
      </c>
      <c r="D1208" s="2" t="s">
        <v>411</v>
      </c>
      <c r="E1208" s="10" t="s">
        <v>416</v>
      </c>
      <c r="F1208" s="2" t="s">
        <v>277</v>
      </c>
      <c r="G1208" s="2"/>
      <c r="H1208" s="2"/>
      <c r="I1208" s="2" t="s">
        <v>5857</v>
      </c>
    </row>
    <row r="1209" ht="15.75" hidden="1" customHeight="1">
      <c r="A1209" s="9">
        <v>7266942.0</v>
      </c>
      <c r="B1209" s="2" t="s">
        <v>5858</v>
      </c>
      <c r="C1209" s="2" t="s">
        <v>5859</v>
      </c>
      <c r="D1209" s="2" t="s">
        <v>5860</v>
      </c>
      <c r="E1209" s="10" t="s">
        <v>5863</v>
      </c>
      <c r="F1209" s="2" t="s">
        <v>277</v>
      </c>
      <c r="G1209" s="2"/>
      <c r="H1209" s="2"/>
      <c r="I1209" s="2" t="s">
        <v>5859</v>
      </c>
    </row>
    <row r="1210" ht="15.75" hidden="1" customHeight="1">
      <c r="A1210" s="9">
        <v>7266944.0</v>
      </c>
      <c r="B1210" s="2" t="s">
        <v>5864</v>
      </c>
      <c r="C1210" s="2" t="s">
        <v>5865</v>
      </c>
      <c r="D1210" s="2" t="s">
        <v>5866</v>
      </c>
      <c r="E1210" s="10" t="s">
        <v>5867</v>
      </c>
      <c r="F1210" s="2" t="s">
        <v>277</v>
      </c>
      <c r="G1210" s="2"/>
      <c r="H1210" s="2"/>
      <c r="I1210" s="2" t="s">
        <v>5865</v>
      </c>
    </row>
    <row r="1211" ht="15.75" hidden="1" customHeight="1">
      <c r="A1211" s="9">
        <v>7266945.0</v>
      </c>
      <c r="B1211" s="2" t="s">
        <v>5869</v>
      </c>
      <c r="C1211" s="2" t="s">
        <v>5870</v>
      </c>
      <c r="D1211" s="2" t="s">
        <v>5871</v>
      </c>
      <c r="E1211" s="10" t="s">
        <v>5872</v>
      </c>
      <c r="F1211" s="2" t="s">
        <v>277</v>
      </c>
      <c r="G1211" s="2"/>
      <c r="H1211" s="2"/>
      <c r="I1211" s="2" t="s">
        <v>5870</v>
      </c>
    </row>
    <row r="1212" ht="15.75" hidden="1" customHeight="1">
      <c r="A1212" s="9">
        <v>7266946.0</v>
      </c>
      <c r="B1212" s="2" t="s">
        <v>5873</v>
      </c>
      <c r="C1212" s="2" t="s">
        <v>5874</v>
      </c>
      <c r="D1212" s="2" t="s">
        <v>5875</v>
      </c>
      <c r="E1212" s="10" t="s">
        <v>5876</v>
      </c>
      <c r="F1212" s="2" t="s">
        <v>277</v>
      </c>
      <c r="G1212" s="2"/>
      <c r="H1212" s="2"/>
      <c r="I1212" s="2" t="s">
        <v>5874</v>
      </c>
    </row>
    <row r="1213" ht="15.75" hidden="1" customHeight="1">
      <c r="A1213" s="9">
        <v>7266947.0</v>
      </c>
      <c r="B1213" s="2" t="s">
        <v>5877</v>
      </c>
      <c r="C1213" s="2" t="s">
        <v>5879</v>
      </c>
      <c r="D1213" s="2" t="s">
        <v>392</v>
      </c>
      <c r="E1213" s="10" t="s">
        <v>399</v>
      </c>
      <c r="F1213" s="2" t="s">
        <v>277</v>
      </c>
      <c r="G1213" s="2"/>
      <c r="H1213" s="2"/>
      <c r="I1213" s="2" t="s">
        <v>5879</v>
      </c>
    </row>
    <row r="1214" ht="15.75" hidden="1" customHeight="1">
      <c r="A1214" s="9">
        <v>7266948.0</v>
      </c>
      <c r="B1214" s="2" t="s">
        <v>5881</v>
      </c>
      <c r="C1214" s="2" t="s">
        <v>5882</v>
      </c>
      <c r="D1214" s="2" t="s">
        <v>5884</v>
      </c>
      <c r="E1214" s="10" t="s">
        <v>5885</v>
      </c>
      <c r="F1214" s="2" t="s">
        <v>277</v>
      </c>
      <c r="G1214" s="2"/>
      <c r="H1214" s="2"/>
      <c r="I1214" s="2" t="s">
        <v>5882</v>
      </c>
    </row>
    <row r="1215" ht="15.75" hidden="1" customHeight="1">
      <c r="A1215" s="9">
        <v>7266949.0</v>
      </c>
      <c r="B1215" s="2" t="s">
        <v>5887</v>
      </c>
      <c r="C1215" s="2" t="s">
        <v>5888</v>
      </c>
      <c r="D1215" s="2" t="s">
        <v>5889</v>
      </c>
      <c r="E1215" s="10" t="s">
        <v>5890</v>
      </c>
      <c r="F1215" s="2" t="s">
        <v>277</v>
      </c>
      <c r="G1215" s="2"/>
      <c r="H1215" s="2"/>
      <c r="I1215" s="2" t="s">
        <v>5888</v>
      </c>
    </row>
    <row r="1216" ht="15.75" hidden="1" customHeight="1">
      <c r="A1216" s="9">
        <v>7266950.0</v>
      </c>
      <c r="B1216" s="2" t="s">
        <v>5891</v>
      </c>
      <c r="C1216" s="2" t="s">
        <v>5892</v>
      </c>
      <c r="D1216" s="2" t="s">
        <v>5893</v>
      </c>
      <c r="E1216" s="10" t="s">
        <v>5894</v>
      </c>
      <c r="F1216" s="2" t="s">
        <v>277</v>
      </c>
      <c r="G1216" s="2"/>
      <c r="H1216" s="2"/>
      <c r="I1216" s="2" t="s">
        <v>5892</v>
      </c>
    </row>
    <row r="1217" ht="15.75" hidden="1" customHeight="1">
      <c r="A1217" s="9">
        <v>7266951.0</v>
      </c>
      <c r="B1217" s="2" t="s">
        <v>5895</v>
      </c>
      <c r="C1217" s="2" t="s">
        <v>5896</v>
      </c>
      <c r="D1217" s="2" t="s">
        <v>5897</v>
      </c>
      <c r="E1217" s="10" t="s">
        <v>5898</v>
      </c>
      <c r="F1217" s="2" t="s">
        <v>277</v>
      </c>
      <c r="G1217" s="2"/>
      <c r="H1217" s="2"/>
      <c r="I1217" s="2" t="s">
        <v>5896</v>
      </c>
    </row>
    <row r="1218" ht="15.75" hidden="1" customHeight="1">
      <c r="A1218" s="9">
        <v>7266952.0</v>
      </c>
      <c r="B1218" s="2" t="s">
        <v>5899</v>
      </c>
      <c r="C1218" s="2" t="s">
        <v>5901</v>
      </c>
      <c r="D1218" s="2" t="s">
        <v>5902</v>
      </c>
      <c r="E1218" s="10" t="s">
        <v>5903</v>
      </c>
      <c r="F1218" s="2" t="s">
        <v>277</v>
      </c>
      <c r="G1218" s="2"/>
      <c r="H1218" s="2"/>
      <c r="I1218" s="2" t="s">
        <v>5901</v>
      </c>
    </row>
    <row r="1219" ht="15.75" hidden="1" customHeight="1">
      <c r="A1219" s="9">
        <v>7266953.0</v>
      </c>
      <c r="B1219" s="2" t="s">
        <v>5904</v>
      </c>
      <c r="C1219" s="2" t="s">
        <v>5905</v>
      </c>
      <c r="D1219" s="2" t="s">
        <v>5906</v>
      </c>
      <c r="E1219" s="10" t="s">
        <v>5907</v>
      </c>
      <c r="F1219" s="2" t="s">
        <v>277</v>
      </c>
      <c r="G1219" s="2"/>
      <c r="H1219" s="2"/>
      <c r="I1219" s="2" t="s">
        <v>5905</v>
      </c>
    </row>
    <row r="1220" ht="15.75" hidden="1" customHeight="1">
      <c r="A1220" s="9">
        <v>7266954.0</v>
      </c>
      <c r="B1220" s="2" t="s">
        <v>5909</v>
      </c>
      <c r="C1220" s="2" t="s">
        <v>5910</v>
      </c>
      <c r="D1220" s="2" t="s">
        <v>5911</v>
      </c>
      <c r="E1220" s="10" t="s">
        <v>5912</v>
      </c>
      <c r="F1220" s="2" t="s">
        <v>277</v>
      </c>
      <c r="G1220" s="2"/>
      <c r="H1220" s="2"/>
      <c r="I1220" s="2" t="s">
        <v>5910</v>
      </c>
    </row>
    <row r="1221" ht="15.75" hidden="1" customHeight="1">
      <c r="A1221" s="9">
        <v>7266955.0</v>
      </c>
      <c r="B1221" s="2" t="s">
        <v>5913</v>
      </c>
      <c r="C1221" s="2" t="s">
        <v>5914</v>
      </c>
      <c r="D1221" s="2" t="s">
        <v>5915</v>
      </c>
      <c r="E1221" s="10" t="s">
        <v>5916</v>
      </c>
      <c r="F1221" s="2" t="s">
        <v>277</v>
      </c>
      <c r="G1221" s="2"/>
      <c r="H1221" s="2"/>
      <c r="I1221" s="2" t="s">
        <v>5914</v>
      </c>
    </row>
    <row r="1222" ht="15.75" hidden="1" customHeight="1">
      <c r="A1222" s="9">
        <v>7266956.0</v>
      </c>
      <c r="B1222" s="2" t="s">
        <v>5917</v>
      </c>
      <c r="C1222" s="2" t="s">
        <v>5918</v>
      </c>
      <c r="D1222" s="2" t="s">
        <v>5919</v>
      </c>
      <c r="E1222" s="10" t="s">
        <v>5920</v>
      </c>
      <c r="F1222" s="2" t="s">
        <v>277</v>
      </c>
      <c r="G1222" s="2"/>
      <c r="H1222" s="2"/>
      <c r="I1222" s="2" t="s">
        <v>5918</v>
      </c>
    </row>
    <row r="1223" ht="15.75" hidden="1" customHeight="1">
      <c r="A1223" s="9">
        <v>7266957.0</v>
      </c>
      <c r="B1223" s="2" t="s">
        <v>5922</v>
      </c>
      <c r="C1223" s="2" t="s">
        <v>5923</v>
      </c>
      <c r="D1223" s="2" t="s">
        <v>5924</v>
      </c>
      <c r="E1223" s="10" t="s">
        <v>5925</v>
      </c>
      <c r="F1223" s="2" t="s">
        <v>277</v>
      </c>
      <c r="G1223" s="2"/>
      <c r="H1223" s="2"/>
      <c r="I1223" s="2" t="s">
        <v>5923</v>
      </c>
    </row>
    <row r="1224" ht="15.75" hidden="1" customHeight="1">
      <c r="A1224" s="9">
        <v>7266958.0</v>
      </c>
      <c r="B1224" s="2" t="s">
        <v>5927</v>
      </c>
      <c r="C1224" s="2" t="s">
        <v>5928</v>
      </c>
      <c r="D1224" s="2" t="s">
        <v>5929</v>
      </c>
      <c r="E1224" s="10" t="s">
        <v>5930</v>
      </c>
      <c r="F1224" s="2" t="s">
        <v>277</v>
      </c>
      <c r="G1224" s="2"/>
      <c r="H1224" s="2"/>
      <c r="I1224" s="2" t="s">
        <v>5928</v>
      </c>
    </row>
    <row r="1225" ht="15.75" hidden="1" customHeight="1">
      <c r="A1225" s="9">
        <v>7266959.0</v>
      </c>
      <c r="B1225" s="2" t="s">
        <v>5931</v>
      </c>
      <c r="C1225" s="2" t="s">
        <v>5932</v>
      </c>
      <c r="D1225" s="2" t="s">
        <v>5933</v>
      </c>
      <c r="E1225" s="10" t="s">
        <v>5934</v>
      </c>
      <c r="F1225" s="2" t="s">
        <v>277</v>
      </c>
      <c r="G1225" s="2"/>
      <c r="H1225" s="2"/>
      <c r="I1225" s="2" t="s">
        <v>5932</v>
      </c>
    </row>
    <row r="1226" ht="15.75" hidden="1" customHeight="1">
      <c r="A1226" s="9">
        <v>7266960.0</v>
      </c>
      <c r="B1226" s="2" t="s">
        <v>5935</v>
      </c>
      <c r="C1226" s="2" t="s">
        <v>5936</v>
      </c>
      <c r="D1226" s="2" t="s">
        <v>3961</v>
      </c>
      <c r="E1226" s="10" t="s">
        <v>3966</v>
      </c>
      <c r="F1226" s="2" t="s">
        <v>277</v>
      </c>
      <c r="G1226" s="2"/>
      <c r="H1226" s="2"/>
      <c r="I1226" s="2" t="s">
        <v>5936</v>
      </c>
    </row>
    <row r="1227" ht="15.75" hidden="1" customHeight="1">
      <c r="A1227" s="9">
        <v>7266961.0</v>
      </c>
      <c r="B1227" s="2" t="s">
        <v>5940</v>
      </c>
      <c r="C1227" s="2" t="s">
        <v>5941</v>
      </c>
      <c r="D1227" s="2" t="s">
        <v>5942</v>
      </c>
      <c r="E1227" s="10" t="s">
        <v>5943</v>
      </c>
      <c r="F1227" s="2" t="s">
        <v>277</v>
      </c>
      <c r="G1227" s="2"/>
      <c r="H1227" s="2"/>
      <c r="I1227" s="2" t="s">
        <v>5941</v>
      </c>
    </row>
    <row r="1228" ht="15.75" hidden="1" customHeight="1">
      <c r="A1228" s="9">
        <v>7266962.0</v>
      </c>
      <c r="B1228" s="2" t="s">
        <v>5945</v>
      </c>
      <c r="C1228" s="2" t="s">
        <v>5946</v>
      </c>
      <c r="D1228" s="2" t="s">
        <v>5948</v>
      </c>
      <c r="E1228" s="10" t="s">
        <v>5949</v>
      </c>
      <c r="F1228" s="2" t="s">
        <v>277</v>
      </c>
      <c r="G1228" s="2"/>
      <c r="H1228" s="2"/>
      <c r="I1228" s="2" t="s">
        <v>5946</v>
      </c>
    </row>
    <row r="1229" ht="15.75" hidden="1" customHeight="1">
      <c r="A1229" s="9">
        <v>7266963.0</v>
      </c>
      <c r="B1229" s="2" t="s">
        <v>5950</v>
      </c>
      <c r="C1229" s="2" t="s">
        <v>5951</v>
      </c>
      <c r="D1229" s="2" t="s">
        <v>5952</v>
      </c>
      <c r="E1229" s="10" t="s">
        <v>5953</v>
      </c>
      <c r="F1229" s="2" t="s">
        <v>277</v>
      </c>
      <c r="G1229" s="2"/>
      <c r="H1229" s="2"/>
      <c r="I1229" s="2" t="s">
        <v>5951</v>
      </c>
    </row>
    <row r="1230" ht="15.75" hidden="1" customHeight="1">
      <c r="A1230" s="9">
        <v>7266964.0</v>
      </c>
      <c r="B1230" s="2" t="s">
        <v>5954</v>
      </c>
      <c r="C1230" s="2" t="s">
        <v>5955</v>
      </c>
      <c r="D1230" s="2" t="s">
        <v>5956</v>
      </c>
      <c r="E1230" s="10" t="s">
        <v>5957</v>
      </c>
      <c r="F1230" s="2" t="s">
        <v>277</v>
      </c>
      <c r="G1230" s="2"/>
      <c r="H1230" s="2"/>
      <c r="I1230" s="2" t="s">
        <v>5955</v>
      </c>
    </row>
    <row r="1231" ht="15.75" hidden="1" customHeight="1">
      <c r="A1231" s="9">
        <v>7266965.0</v>
      </c>
      <c r="B1231" s="2" t="s">
        <v>5959</v>
      </c>
      <c r="C1231" s="2" t="s">
        <v>5960</v>
      </c>
      <c r="D1231" s="2" t="s">
        <v>5961</v>
      </c>
      <c r="E1231" s="10" t="s">
        <v>5962</v>
      </c>
      <c r="F1231" s="2" t="s">
        <v>277</v>
      </c>
      <c r="G1231" s="2"/>
      <c r="H1231" s="2"/>
      <c r="I1231" s="2" t="s">
        <v>5960</v>
      </c>
    </row>
    <row r="1232" ht="15.75" hidden="1" customHeight="1">
      <c r="A1232" s="9">
        <v>7266966.0</v>
      </c>
      <c r="B1232" s="2" t="s">
        <v>5963</v>
      </c>
      <c r="C1232" s="2" t="s">
        <v>5964</v>
      </c>
      <c r="D1232" s="2" t="s">
        <v>5965</v>
      </c>
      <c r="E1232" s="10" t="s">
        <v>5966</v>
      </c>
      <c r="F1232" s="2" t="s">
        <v>277</v>
      </c>
      <c r="G1232" s="2"/>
      <c r="H1232" s="2"/>
      <c r="I1232" s="2" t="s">
        <v>5964</v>
      </c>
    </row>
    <row r="1233" ht="15.75" hidden="1" customHeight="1">
      <c r="A1233" s="9">
        <v>7266967.0</v>
      </c>
      <c r="B1233" s="2" t="s">
        <v>5968</v>
      </c>
      <c r="C1233" s="2" t="s">
        <v>5969</v>
      </c>
      <c r="D1233" s="2" t="s">
        <v>5970</v>
      </c>
      <c r="E1233" s="10" t="s">
        <v>5971</v>
      </c>
      <c r="F1233" s="2" t="s">
        <v>277</v>
      </c>
      <c r="G1233" s="2"/>
      <c r="H1233" s="2"/>
      <c r="I1233" s="2" t="s">
        <v>5969</v>
      </c>
    </row>
    <row r="1234" ht="15.75" hidden="1" customHeight="1">
      <c r="A1234" s="9">
        <v>7266968.0</v>
      </c>
      <c r="B1234" s="2" t="s">
        <v>5972</v>
      </c>
      <c r="C1234" s="2" t="s">
        <v>5973</v>
      </c>
      <c r="D1234" s="2" t="s">
        <v>5974</v>
      </c>
      <c r="E1234" s="10" t="s">
        <v>5975</v>
      </c>
      <c r="F1234" s="2" t="s">
        <v>277</v>
      </c>
      <c r="G1234" s="2"/>
      <c r="H1234" s="2"/>
      <c r="I1234" s="2" t="s">
        <v>5973</v>
      </c>
    </row>
    <row r="1235" ht="15.75" hidden="1" customHeight="1">
      <c r="A1235" s="9">
        <v>7266969.0</v>
      </c>
      <c r="B1235" s="2" t="s">
        <v>5976</v>
      </c>
      <c r="C1235" s="2" t="s">
        <v>5977</v>
      </c>
      <c r="D1235" s="2" t="s">
        <v>2365</v>
      </c>
      <c r="E1235" s="10" t="s">
        <v>2372</v>
      </c>
      <c r="F1235" s="2" t="s">
        <v>277</v>
      </c>
      <c r="G1235" s="2"/>
      <c r="H1235" s="2"/>
      <c r="I1235" s="2" t="s">
        <v>5977</v>
      </c>
    </row>
    <row r="1236" ht="15.75" hidden="1" customHeight="1">
      <c r="A1236" s="9">
        <v>7266970.0</v>
      </c>
      <c r="B1236" s="2" t="s">
        <v>5978</v>
      </c>
      <c r="C1236" s="2" t="s">
        <v>5980</v>
      </c>
      <c r="D1236" s="2" t="s">
        <v>5981</v>
      </c>
      <c r="E1236" s="10" t="s">
        <v>5982</v>
      </c>
      <c r="F1236" s="2" t="s">
        <v>287</v>
      </c>
      <c r="G1236" s="2"/>
      <c r="H1236" s="2"/>
      <c r="I1236" s="2" t="s">
        <v>5980</v>
      </c>
    </row>
    <row r="1237" ht="15.75" hidden="1" customHeight="1">
      <c r="A1237" s="9">
        <v>7266971.0</v>
      </c>
      <c r="B1237" s="2" t="s">
        <v>5983</v>
      </c>
      <c r="C1237" s="2" t="s">
        <v>5984</v>
      </c>
      <c r="D1237" s="2" t="s">
        <v>5985</v>
      </c>
      <c r="E1237" s="10" t="s">
        <v>5986</v>
      </c>
      <c r="F1237" s="2" t="s">
        <v>287</v>
      </c>
      <c r="G1237" s="2"/>
      <c r="H1237" s="2"/>
      <c r="I1237" s="2" t="s">
        <v>5984</v>
      </c>
    </row>
    <row r="1238" ht="15.75" hidden="1" customHeight="1">
      <c r="A1238" s="9">
        <v>7266972.0</v>
      </c>
      <c r="B1238" s="2" t="s">
        <v>5988</v>
      </c>
      <c r="C1238" s="2" t="s">
        <v>5989</v>
      </c>
      <c r="D1238" s="2" t="s">
        <v>5260</v>
      </c>
      <c r="E1238" s="10" t="s">
        <v>5265</v>
      </c>
      <c r="F1238" s="2" t="s">
        <v>287</v>
      </c>
      <c r="G1238" s="2"/>
      <c r="H1238" s="2"/>
      <c r="I1238" s="2" t="s">
        <v>5989</v>
      </c>
    </row>
    <row r="1239" ht="15.75" hidden="1" customHeight="1">
      <c r="A1239" s="9">
        <v>7266973.0</v>
      </c>
      <c r="B1239" s="2" t="s">
        <v>5990</v>
      </c>
      <c r="C1239" s="2" t="s">
        <v>5991</v>
      </c>
      <c r="D1239" s="2" t="s">
        <v>5992</v>
      </c>
      <c r="E1239" s="10" t="s">
        <v>5993</v>
      </c>
      <c r="F1239" s="2" t="s">
        <v>287</v>
      </c>
      <c r="G1239" s="2"/>
      <c r="H1239" s="2"/>
      <c r="I1239" s="2" t="s">
        <v>5991</v>
      </c>
    </row>
    <row r="1240" ht="15.75" hidden="1" customHeight="1">
      <c r="A1240" s="9">
        <v>7266974.0</v>
      </c>
      <c r="B1240" s="2" t="s">
        <v>5994</v>
      </c>
      <c r="C1240" s="2" t="s">
        <v>5995</v>
      </c>
      <c r="D1240" s="2" t="s">
        <v>5996</v>
      </c>
      <c r="E1240" s="10" t="s">
        <v>5997</v>
      </c>
      <c r="F1240" s="2" t="s">
        <v>287</v>
      </c>
      <c r="G1240" s="2"/>
      <c r="H1240" s="2"/>
      <c r="I1240" s="2" t="s">
        <v>5995</v>
      </c>
    </row>
    <row r="1241" ht="15.75" hidden="1" customHeight="1">
      <c r="A1241" s="9">
        <v>7266975.0</v>
      </c>
      <c r="B1241" s="2" t="s">
        <v>6001</v>
      </c>
      <c r="C1241" s="2" t="s">
        <v>6002</v>
      </c>
      <c r="D1241" s="2" t="s">
        <v>6003</v>
      </c>
      <c r="E1241" s="10" t="s">
        <v>6004</v>
      </c>
      <c r="F1241" s="2" t="s">
        <v>287</v>
      </c>
      <c r="G1241" s="2"/>
      <c r="H1241" s="2"/>
      <c r="I1241" s="2" t="s">
        <v>6002</v>
      </c>
    </row>
    <row r="1242" ht="15.75" hidden="1" customHeight="1">
      <c r="A1242" s="9">
        <v>7266976.0</v>
      </c>
      <c r="B1242" s="2" t="s">
        <v>6007</v>
      </c>
      <c r="C1242" s="2" t="s">
        <v>6008</v>
      </c>
      <c r="D1242" s="2" t="s">
        <v>6009</v>
      </c>
      <c r="E1242" s="10" t="s">
        <v>6010</v>
      </c>
      <c r="F1242" s="2" t="s">
        <v>287</v>
      </c>
      <c r="G1242" s="2"/>
      <c r="H1242" s="2"/>
      <c r="I1242" s="2" t="s">
        <v>6008</v>
      </c>
    </row>
    <row r="1243" ht="15.75" hidden="1" customHeight="1">
      <c r="A1243" s="9">
        <v>7266977.0</v>
      </c>
      <c r="B1243" s="2" t="s">
        <v>6011</v>
      </c>
      <c r="C1243" s="2" t="s">
        <v>6012</v>
      </c>
      <c r="D1243" s="2" t="s">
        <v>6013</v>
      </c>
      <c r="E1243" s="10" t="s">
        <v>6014</v>
      </c>
      <c r="F1243" s="2" t="s">
        <v>287</v>
      </c>
      <c r="G1243" s="2"/>
      <c r="H1243" s="2"/>
      <c r="I1243" s="2" t="s">
        <v>6012</v>
      </c>
    </row>
    <row r="1244" ht="15.75" hidden="1" customHeight="1">
      <c r="A1244" s="9">
        <v>7266978.0</v>
      </c>
      <c r="B1244" s="2" t="s">
        <v>6015</v>
      </c>
      <c r="C1244" s="2" t="s">
        <v>6016</v>
      </c>
      <c r="D1244" s="2" t="s">
        <v>6017</v>
      </c>
      <c r="E1244" s="10" t="s">
        <v>6018</v>
      </c>
      <c r="F1244" s="2" t="s">
        <v>287</v>
      </c>
      <c r="G1244" s="2"/>
      <c r="H1244" s="2"/>
      <c r="I1244" s="2" t="s">
        <v>6016</v>
      </c>
    </row>
    <row r="1245" ht="15.75" hidden="1" customHeight="1">
      <c r="A1245" s="9">
        <v>7266979.0</v>
      </c>
      <c r="B1245" s="2" t="s">
        <v>6020</v>
      </c>
      <c r="C1245" s="2" t="s">
        <v>6021</v>
      </c>
      <c r="D1245" s="2" t="s">
        <v>6022</v>
      </c>
      <c r="E1245" s="10" t="s">
        <v>6023</v>
      </c>
      <c r="F1245" s="2" t="s">
        <v>287</v>
      </c>
      <c r="G1245" s="2"/>
      <c r="H1245" s="2"/>
      <c r="I1245" s="2" t="s">
        <v>6021</v>
      </c>
    </row>
    <row r="1246" ht="15.75" hidden="1" customHeight="1">
      <c r="A1246" s="9">
        <v>7266980.0</v>
      </c>
      <c r="B1246" s="2" t="s">
        <v>6025</v>
      </c>
      <c r="C1246" s="2" t="s">
        <v>6026</v>
      </c>
      <c r="D1246" s="2" t="s">
        <v>6027</v>
      </c>
      <c r="E1246" s="10" t="s">
        <v>6028</v>
      </c>
      <c r="F1246" s="2" t="s">
        <v>287</v>
      </c>
      <c r="G1246" s="2"/>
      <c r="H1246" s="2"/>
      <c r="I1246" s="2" t="s">
        <v>6026</v>
      </c>
    </row>
    <row r="1247" ht="15.75" hidden="1" customHeight="1">
      <c r="A1247" s="9">
        <v>7266981.0</v>
      </c>
      <c r="B1247" s="2" t="s">
        <v>6029</v>
      </c>
      <c r="C1247" s="2" t="s">
        <v>6030</v>
      </c>
      <c r="D1247" s="2" t="s">
        <v>6031</v>
      </c>
      <c r="E1247" s="10" t="s">
        <v>6032</v>
      </c>
      <c r="F1247" s="2" t="s">
        <v>287</v>
      </c>
      <c r="G1247" s="2"/>
      <c r="H1247" s="2"/>
      <c r="I1247" s="2" t="s">
        <v>6030</v>
      </c>
    </row>
    <row r="1248" ht="15.75" hidden="1" customHeight="1">
      <c r="A1248" s="9">
        <v>7266982.0</v>
      </c>
      <c r="B1248" s="2" t="s">
        <v>6033</v>
      </c>
      <c r="C1248" s="2" t="s">
        <v>6034</v>
      </c>
      <c r="D1248" s="2" t="s">
        <v>6035</v>
      </c>
      <c r="E1248" s="10" t="s">
        <v>6036</v>
      </c>
      <c r="F1248" s="2" t="s">
        <v>287</v>
      </c>
      <c r="G1248" s="2"/>
      <c r="H1248" s="2"/>
      <c r="I1248" s="2" t="s">
        <v>6034</v>
      </c>
    </row>
    <row r="1249" ht="15.75" hidden="1" customHeight="1">
      <c r="A1249" s="9">
        <v>7266983.0</v>
      </c>
      <c r="B1249" s="2" t="s">
        <v>6038</v>
      </c>
      <c r="C1249" s="2" t="s">
        <v>6039</v>
      </c>
      <c r="D1249" s="2" t="s">
        <v>6040</v>
      </c>
      <c r="E1249" s="10" t="s">
        <v>6041</v>
      </c>
      <c r="F1249" s="2" t="s">
        <v>287</v>
      </c>
      <c r="G1249" s="2"/>
      <c r="H1249" s="2"/>
      <c r="I1249" s="2" t="s">
        <v>6039</v>
      </c>
    </row>
    <row r="1250" ht="15.75" hidden="1" customHeight="1">
      <c r="A1250" s="9">
        <v>7266984.0</v>
      </c>
      <c r="B1250" s="2" t="s">
        <v>6043</v>
      </c>
      <c r="C1250" s="2" t="s">
        <v>6044</v>
      </c>
      <c r="D1250" s="2" t="s">
        <v>6045</v>
      </c>
      <c r="E1250" s="10" t="s">
        <v>6046</v>
      </c>
      <c r="F1250" s="2" t="s">
        <v>287</v>
      </c>
      <c r="G1250" s="2"/>
      <c r="H1250" s="2"/>
      <c r="I1250" s="2" t="s">
        <v>6044</v>
      </c>
    </row>
    <row r="1251" ht="15.75" hidden="1" customHeight="1">
      <c r="A1251" s="9">
        <v>7266985.0</v>
      </c>
      <c r="B1251" s="2" t="s">
        <v>6047</v>
      </c>
      <c r="C1251" s="2" t="s">
        <v>6048</v>
      </c>
      <c r="D1251" s="2" t="s">
        <v>6049</v>
      </c>
      <c r="E1251" s="10" t="s">
        <v>6050</v>
      </c>
      <c r="F1251" s="2" t="s">
        <v>287</v>
      </c>
      <c r="G1251" s="2"/>
      <c r="H1251" s="2"/>
      <c r="I1251" s="2" t="s">
        <v>6048</v>
      </c>
    </row>
    <row r="1252" ht="15.75" hidden="1" customHeight="1">
      <c r="A1252" s="9">
        <v>7266986.0</v>
      </c>
      <c r="B1252" s="2" t="s">
        <v>6051</v>
      </c>
      <c r="C1252" s="2" t="s">
        <v>6052</v>
      </c>
      <c r="D1252" s="2" t="s">
        <v>2033</v>
      </c>
      <c r="E1252" s="10" t="s">
        <v>2036</v>
      </c>
      <c r="F1252" s="2" t="s">
        <v>287</v>
      </c>
      <c r="G1252" s="2"/>
      <c r="H1252" s="2"/>
      <c r="I1252" s="2" t="s">
        <v>6052</v>
      </c>
    </row>
    <row r="1253" ht="15.75" hidden="1" customHeight="1">
      <c r="A1253" s="9">
        <v>7266987.0</v>
      </c>
      <c r="B1253" s="2" t="s">
        <v>6054</v>
      </c>
      <c r="C1253" s="2" t="s">
        <v>6055</v>
      </c>
      <c r="D1253" s="2" t="s">
        <v>6056</v>
      </c>
      <c r="E1253" s="10" t="s">
        <v>6057</v>
      </c>
      <c r="F1253" s="2" t="s">
        <v>287</v>
      </c>
      <c r="G1253" s="2"/>
      <c r="H1253" s="2"/>
      <c r="I1253" s="2" t="s">
        <v>6055</v>
      </c>
    </row>
    <row r="1254" ht="15.75" hidden="1" customHeight="1">
      <c r="A1254" s="9">
        <v>7266988.0</v>
      </c>
      <c r="B1254" s="2" t="s">
        <v>6058</v>
      </c>
      <c r="C1254" s="2" t="s">
        <v>6060</v>
      </c>
      <c r="D1254" s="2" t="s">
        <v>6061</v>
      </c>
      <c r="E1254" s="10" t="s">
        <v>6062</v>
      </c>
      <c r="F1254" s="2" t="s">
        <v>287</v>
      </c>
      <c r="G1254" s="2"/>
      <c r="H1254" s="2"/>
      <c r="I1254" s="2" t="s">
        <v>6060</v>
      </c>
    </row>
    <row r="1255" ht="15.75" hidden="1" customHeight="1">
      <c r="A1255" s="9">
        <v>7266989.0</v>
      </c>
      <c r="B1255" s="2" t="s">
        <v>6064</v>
      </c>
      <c r="C1255" s="2" t="s">
        <v>6065</v>
      </c>
      <c r="D1255" s="2" t="s">
        <v>6066</v>
      </c>
      <c r="E1255" s="10" t="s">
        <v>6067</v>
      </c>
      <c r="F1255" s="2" t="s">
        <v>287</v>
      </c>
      <c r="G1255" s="2"/>
      <c r="H1255" s="2"/>
      <c r="I1255" s="2" t="s">
        <v>6065</v>
      </c>
    </row>
    <row r="1256" ht="15.75" hidden="1" customHeight="1">
      <c r="A1256" s="9">
        <v>7266990.0</v>
      </c>
      <c r="B1256" s="2" t="s">
        <v>6068</v>
      </c>
      <c r="C1256" s="2" t="s">
        <v>6069</v>
      </c>
      <c r="D1256" s="2" t="s">
        <v>6070</v>
      </c>
      <c r="E1256" s="10" t="s">
        <v>6071</v>
      </c>
      <c r="F1256" s="2" t="s">
        <v>287</v>
      </c>
      <c r="G1256" s="2"/>
      <c r="H1256" s="2"/>
      <c r="I1256" s="2" t="s">
        <v>6069</v>
      </c>
    </row>
    <row r="1257" ht="15.75" hidden="1" customHeight="1">
      <c r="A1257" s="9">
        <v>7266991.0</v>
      </c>
      <c r="B1257" s="2" t="s">
        <v>6072</v>
      </c>
      <c r="C1257" s="2" t="s">
        <v>6073</v>
      </c>
      <c r="D1257" s="2" t="s">
        <v>6074</v>
      </c>
      <c r="E1257" s="10" t="s">
        <v>6075</v>
      </c>
      <c r="F1257" s="2" t="s">
        <v>287</v>
      </c>
      <c r="G1257" s="2"/>
      <c r="H1257" s="2"/>
      <c r="I1257" s="2" t="s">
        <v>6073</v>
      </c>
    </row>
    <row r="1258" ht="15.75" hidden="1" customHeight="1">
      <c r="A1258" s="9">
        <v>7266992.0</v>
      </c>
      <c r="B1258" s="2" t="s">
        <v>6076</v>
      </c>
      <c r="C1258" s="2" t="s">
        <v>6077</v>
      </c>
      <c r="D1258" s="2" t="s">
        <v>6078</v>
      </c>
      <c r="E1258" s="10" t="s">
        <v>6080</v>
      </c>
      <c r="F1258" s="2" t="s">
        <v>287</v>
      </c>
      <c r="G1258" s="2"/>
      <c r="H1258" s="2"/>
      <c r="I1258" s="2" t="s">
        <v>6077</v>
      </c>
    </row>
    <row r="1259" ht="15.75" hidden="1" customHeight="1">
      <c r="A1259" s="9">
        <v>7266993.0</v>
      </c>
      <c r="B1259" s="2" t="s">
        <v>6081</v>
      </c>
      <c r="C1259" s="2" t="s">
        <v>6082</v>
      </c>
      <c r="D1259" s="2" t="s">
        <v>6083</v>
      </c>
      <c r="E1259" s="10" t="s">
        <v>6084</v>
      </c>
      <c r="F1259" s="2" t="s">
        <v>287</v>
      </c>
      <c r="G1259" s="2"/>
      <c r="H1259" s="2"/>
      <c r="I1259" s="2" t="s">
        <v>6082</v>
      </c>
    </row>
    <row r="1260" ht="15.75" hidden="1" customHeight="1">
      <c r="A1260" s="9">
        <v>7266994.0</v>
      </c>
      <c r="B1260" s="2" t="s">
        <v>6085</v>
      </c>
      <c r="C1260" s="2" t="s">
        <v>6086</v>
      </c>
      <c r="D1260" s="2" t="s">
        <v>6087</v>
      </c>
      <c r="E1260" s="10" t="s">
        <v>6088</v>
      </c>
      <c r="F1260" s="2" t="s">
        <v>287</v>
      </c>
      <c r="G1260" s="2"/>
      <c r="H1260" s="2"/>
      <c r="I1260" s="2" t="s">
        <v>6086</v>
      </c>
    </row>
    <row r="1261" ht="15.75" hidden="1" customHeight="1">
      <c r="A1261" s="9">
        <v>7266995.0</v>
      </c>
      <c r="B1261" s="2" t="s">
        <v>6089</v>
      </c>
      <c r="C1261" s="2" t="s">
        <v>6090</v>
      </c>
      <c r="D1261" s="2" t="s">
        <v>6091</v>
      </c>
      <c r="E1261" s="10" t="s">
        <v>6093</v>
      </c>
      <c r="F1261" s="2" t="s">
        <v>287</v>
      </c>
      <c r="G1261" s="2"/>
      <c r="H1261" s="2"/>
      <c r="I1261" s="2" t="s">
        <v>6090</v>
      </c>
    </row>
    <row r="1262" ht="15.75" hidden="1" customHeight="1">
      <c r="A1262" s="9">
        <v>7266996.0</v>
      </c>
      <c r="B1262" s="2" t="s">
        <v>6094</v>
      </c>
      <c r="C1262" s="2" t="s">
        <v>6095</v>
      </c>
      <c r="D1262" s="2" t="s">
        <v>6096</v>
      </c>
      <c r="E1262" s="10" t="s">
        <v>6097</v>
      </c>
      <c r="F1262" s="2" t="s">
        <v>287</v>
      </c>
      <c r="G1262" s="2"/>
      <c r="H1262" s="2"/>
      <c r="I1262" s="2" t="s">
        <v>6095</v>
      </c>
    </row>
    <row r="1263" ht="15.75" hidden="1" customHeight="1">
      <c r="A1263" s="9">
        <v>7266997.0</v>
      </c>
      <c r="B1263" s="2" t="s">
        <v>6099</v>
      </c>
      <c r="C1263" s="2" t="s">
        <v>6100</v>
      </c>
      <c r="D1263" s="2" t="s">
        <v>5383</v>
      </c>
      <c r="E1263" s="10" t="s">
        <v>5386</v>
      </c>
      <c r="F1263" s="2" t="s">
        <v>287</v>
      </c>
      <c r="G1263" s="2"/>
      <c r="H1263" s="2"/>
      <c r="I1263" s="2" t="s">
        <v>6100</v>
      </c>
    </row>
    <row r="1264" ht="15.75" hidden="1" customHeight="1">
      <c r="A1264" s="9">
        <v>7266998.0</v>
      </c>
      <c r="B1264" s="2" t="s">
        <v>6101</v>
      </c>
      <c r="C1264" s="2" t="s">
        <v>6102</v>
      </c>
      <c r="D1264" s="2" t="s">
        <v>6103</v>
      </c>
      <c r="E1264" s="10" t="s">
        <v>6104</v>
      </c>
      <c r="F1264" s="2" t="s">
        <v>287</v>
      </c>
      <c r="G1264" s="2"/>
      <c r="H1264" s="2"/>
      <c r="I1264" s="2" t="s">
        <v>6102</v>
      </c>
    </row>
    <row r="1265" ht="15.75" hidden="1" customHeight="1">
      <c r="A1265" s="9">
        <v>7266999.0</v>
      </c>
      <c r="B1265" s="2" t="s">
        <v>6105</v>
      </c>
      <c r="C1265" s="2" t="s">
        <v>6106</v>
      </c>
      <c r="D1265" s="2" t="s">
        <v>6107</v>
      </c>
      <c r="E1265" s="10" t="s">
        <v>6108</v>
      </c>
      <c r="F1265" s="2" t="s">
        <v>287</v>
      </c>
      <c r="G1265" s="2"/>
      <c r="H1265" s="2"/>
      <c r="I1265" s="2" t="s">
        <v>6106</v>
      </c>
    </row>
    <row r="1266" ht="15.75" hidden="1" customHeight="1">
      <c r="A1266" s="9">
        <v>7267000.0</v>
      </c>
      <c r="B1266" s="2" t="s">
        <v>6110</v>
      </c>
      <c r="C1266" s="2" t="s">
        <v>6111</v>
      </c>
      <c r="D1266" s="2" t="s">
        <v>6112</v>
      </c>
      <c r="E1266" s="10" t="s">
        <v>6113</v>
      </c>
      <c r="F1266" s="2" t="s">
        <v>1002</v>
      </c>
      <c r="G1266" s="2"/>
      <c r="H1266" s="2"/>
      <c r="I1266" s="2" t="s">
        <v>6111</v>
      </c>
    </row>
    <row r="1267" ht="15.75" hidden="1" customHeight="1">
      <c r="A1267" s="9">
        <v>7267001.0</v>
      </c>
      <c r="B1267" s="2" t="s">
        <v>6115</v>
      </c>
      <c r="C1267" s="2" t="s">
        <v>6116</v>
      </c>
      <c r="D1267" s="2" t="s">
        <v>6117</v>
      </c>
      <c r="E1267" s="10" t="s">
        <v>6118</v>
      </c>
      <c r="F1267" s="2" t="s">
        <v>1002</v>
      </c>
      <c r="G1267" s="2"/>
      <c r="H1267" s="2"/>
      <c r="I1267" s="2" t="s">
        <v>6116</v>
      </c>
    </row>
    <row r="1268" ht="15.75" hidden="1" customHeight="1">
      <c r="A1268" s="9">
        <v>7267002.0</v>
      </c>
      <c r="B1268" s="2" t="s">
        <v>6119</v>
      </c>
      <c r="C1268" s="2" t="s">
        <v>6120</v>
      </c>
      <c r="D1268" s="2" t="s">
        <v>6121</v>
      </c>
      <c r="E1268" s="10" t="s">
        <v>6122</v>
      </c>
      <c r="F1268" s="2" t="s">
        <v>1002</v>
      </c>
      <c r="G1268" s="2"/>
      <c r="H1268" s="2"/>
      <c r="I1268" s="2" t="s">
        <v>6120</v>
      </c>
    </row>
    <row r="1269" ht="15.75" hidden="1" customHeight="1">
      <c r="A1269" s="9">
        <v>7267003.0</v>
      </c>
      <c r="B1269" s="2" t="s">
        <v>2556</v>
      </c>
      <c r="C1269" s="2" t="s">
        <v>6123</v>
      </c>
      <c r="D1269" s="2" t="s">
        <v>6124</v>
      </c>
      <c r="E1269" s="10" t="s">
        <v>6125</v>
      </c>
      <c r="F1269" s="2" t="s">
        <v>1002</v>
      </c>
      <c r="G1269" s="2"/>
      <c r="H1269" s="2"/>
      <c r="I1269" s="2" t="s">
        <v>6123</v>
      </c>
    </row>
    <row r="1270" ht="15.75" hidden="1" customHeight="1">
      <c r="A1270" s="9">
        <v>7267004.0</v>
      </c>
      <c r="B1270" s="2" t="s">
        <v>6127</v>
      </c>
      <c r="C1270" s="2" t="s">
        <v>6128</v>
      </c>
      <c r="D1270" s="2" t="s">
        <v>6129</v>
      </c>
      <c r="E1270" s="10" t="s">
        <v>6130</v>
      </c>
      <c r="F1270" s="2" t="s">
        <v>1002</v>
      </c>
      <c r="G1270" s="2"/>
      <c r="H1270" s="2"/>
      <c r="I1270" s="2" t="s">
        <v>6128</v>
      </c>
    </row>
    <row r="1271" ht="15.75" hidden="1" customHeight="1">
      <c r="A1271" s="9">
        <v>7267005.0</v>
      </c>
      <c r="B1271" s="2" t="s">
        <v>6131</v>
      </c>
      <c r="C1271" s="2" t="s">
        <v>6132</v>
      </c>
      <c r="D1271" s="2" t="s">
        <v>6133</v>
      </c>
      <c r="E1271" s="10" t="s">
        <v>6134</v>
      </c>
      <c r="F1271" s="2" t="s">
        <v>1002</v>
      </c>
      <c r="G1271" s="2"/>
      <c r="H1271" s="2"/>
      <c r="I1271" s="2" t="s">
        <v>6132</v>
      </c>
    </row>
    <row r="1272" ht="15.75" hidden="1" customHeight="1">
      <c r="A1272" s="9">
        <v>7267006.0</v>
      </c>
      <c r="B1272" s="2" t="s">
        <v>6135</v>
      </c>
      <c r="C1272" s="2" t="s">
        <v>6136</v>
      </c>
      <c r="D1272" s="2" t="s">
        <v>6137</v>
      </c>
      <c r="E1272" s="10" t="s">
        <v>6138</v>
      </c>
      <c r="F1272" s="2" t="s">
        <v>1002</v>
      </c>
      <c r="G1272" s="2"/>
      <c r="H1272" s="2"/>
      <c r="I1272" s="2" t="s">
        <v>6136</v>
      </c>
    </row>
    <row r="1273" ht="15.75" hidden="1" customHeight="1">
      <c r="A1273" s="9">
        <v>7267007.0</v>
      </c>
      <c r="B1273" s="2" t="s">
        <v>6139</v>
      </c>
      <c r="C1273" s="2" t="s">
        <v>6141</v>
      </c>
      <c r="D1273" s="2" t="s">
        <v>6142</v>
      </c>
      <c r="E1273" s="10" t="s">
        <v>6143</v>
      </c>
      <c r="F1273" s="2" t="s">
        <v>1002</v>
      </c>
      <c r="G1273" s="2"/>
      <c r="H1273" s="2"/>
      <c r="I1273" s="2" t="s">
        <v>6141</v>
      </c>
    </row>
    <row r="1274" ht="15.75" hidden="1" customHeight="1">
      <c r="A1274" s="9">
        <v>7267008.0</v>
      </c>
      <c r="B1274" s="2" t="s">
        <v>6145</v>
      </c>
      <c r="C1274" s="2" t="s">
        <v>6146</v>
      </c>
      <c r="D1274" s="2" t="s">
        <v>6147</v>
      </c>
      <c r="E1274" s="10" t="s">
        <v>6148</v>
      </c>
      <c r="F1274" s="2" t="s">
        <v>1002</v>
      </c>
      <c r="G1274" s="2"/>
      <c r="H1274" s="2"/>
      <c r="I1274" s="2" t="s">
        <v>6146</v>
      </c>
    </row>
    <row r="1275" ht="15.75" hidden="1" customHeight="1">
      <c r="A1275" s="9">
        <v>7267009.0</v>
      </c>
      <c r="B1275" s="2" t="s">
        <v>6149</v>
      </c>
      <c r="C1275" s="2" t="s">
        <v>6150</v>
      </c>
      <c r="D1275" s="2" t="s">
        <v>3629</v>
      </c>
      <c r="E1275" s="10" t="s">
        <v>3634</v>
      </c>
      <c r="F1275" s="2" t="s">
        <v>1002</v>
      </c>
      <c r="G1275" s="2"/>
      <c r="H1275" s="2"/>
      <c r="I1275" s="2" t="s">
        <v>6150</v>
      </c>
    </row>
    <row r="1276" ht="15.75" hidden="1" customHeight="1">
      <c r="A1276" s="9">
        <v>7267010.0</v>
      </c>
      <c r="B1276" s="2" t="s">
        <v>6152</v>
      </c>
      <c r="C1276" s="2" t="s">
        <v>6153</v>
      </c>
      <c r="D1276" s="2" t="s">
        <v>6154</v>
      </c>
      <c r="E1276" s="10" t="s">
        <v>6155</v>
      </c>
      <c r="F1276" s="2" t="s">
        <v>1002</v>
      </c>
      <c r="G1276" s="2"/>
      <c r="H1276" s="2"/>
      <c r="I1276" s="2" t="s">
        <v>6153</v>
      </c>
    </row>
    <row r="1277" ht="15.75" hidden="1" customHeight="1">
      <c r="A1277" s="9">
        <v>7267011.0</v>
      </c>
      <c r="B1277" s="2" t="s">
        <v>6156</v>
      </c>
      <c r="C1277" s="2" t="s">
        <v>6157</v>
      </c>
      <c r="D1277" s="2" t="s">
        <v>2767</v>
      </c>
      <c r="E1277" s="10" t="s">
        <v>2772</v>
      </c>
      <c r="F1277" s="2" t="s">
        <v>1002</v>
      </c>
      <c r="G1277" s="2"/>
      <c r="H1277" s="2"/>
      <c r="I1277" s="2" t="s">
        <v>6157</v>
      </c>
    </row>
    <row r="1278" ht="15.75" hidden="1" customHeight="1">
      <c r="A1278" s="9">
        <v>7267012.0</v>
      </c>
      <c r="B1278" s="2" t="s">
        <v>6158</v>
      </c>
      <c r="C1278" s="2" t="s">
        <v>6159</v>
      </c>
      <c r="D1278" s="2" t="s">
        <v>6160</v>
      </c>
      <c r="E1278" s="10" t="s">
        <v>6161</v>
      </c>
      <c r="F1278" s="2" t="s">
        <v>1002</v>
      </c>
      <c r="G1278" s="2"/>
      <c r="H1278" s="2"/>
      <c r="I1278" s="2" t="s">
        <v>6159</v>
      </c>
    </row>
    <row r="1279" ht="15.75" hidden="1" customHeight="1">
      <c r="A1279" s="9">
        <v>7267014.0</v>
      </c>
      <c r="B1279" s="2" t="s">
        <v>6163</v>
      </c>
      <c r="C1279" s="2" t="s">
        <v>6164</v>
      </c>
      <c r="D1279" s="2" t="s">
        <v>6165</v>
      </c>
      <c r="E1279" s="10" t="s">
        <v>6166</v>
      </c>
      <c r="F1279" s="2" t="s">
        <v>1002</v>
      </c>
      <c r="G1279" s="2"/>
      <c r="H1279" s="2"/>
      <c r="I1279" s="2" t="s">
        <v>6164</v>
      </c>
    </row>
    <row r="1280" ht="15.75" hidden="1" customHeight="1">
      <c r="A1280" s="9">
        <v>7267015.0</v>
      </c>
      <c r="B1280" s="2" t="s">
        <v>6167</v>
      </c>
      <c r="C1280" s="2" t="s">
        <v>6168</v>
      </c>
      <c r="D1280" s="2" t="s">
        <v>6169</v>
      </c>
      <c r="E1280" s="10" t="s">
        <v>6170</v>
      </c>
      <c r="F1280" s="2" t="s">
        <v>1002</v>
      </c>
      <c r="G1280" s="2"/>
      <c r="H1280" s="2"/>
      <c r="I1280" s="2" t="s">
        <v>6168</v>
      </c>
    </row>
    <row r="1281" ht="15.75" hidden="1" customHeight="1">
      <c r="A1281" s="9">
        <v>7267017.0</v>
      </c>
      <c r="B1281" s="2" t="s">
        <v>6171</v>
      </c>
      <c r="C1281" s="2" t="s">
        <v>6172</v>
      </c>
      <c r="D1281" s="2" t="s">
        <v>6173</v>
      </c>
      <c r="E1281" s="10" t="s">
        <v>6174</v>
      </c>
      <c r="F1281" s="2" t="s">
        <v>1002</v>
      </c>
      <c r="G1281" s="2"/>
      <c r="H1281" s="2"/>
      <c r="I1281" s="2" t="s">
        <v>6172</v>
      </c>
    </row>
    <row r="1282" ht="15.75" hidden="1" customHeight="1">
      <c r="A1282" s="9">
        <v>7267018.0</v>
      </c>
      <c r="B1282" s="2" t="s">
        <v>6176</v>
      </c>
      <c r="C1282" s="2" t="s">
        <v>6177</v>
      </c>
      <c r="D1282" s="2" t="s">
        <v>6178</v>
      </c>
      <c r="E1282" s="10" t="s">
        <v>6179</v>
      </c>
      <c r="F1282" s="2" t="s">
        <v>1002</v>
      </c>
      <c r="G1282" s="2"/>
      <c r="H1282" s="2"/>
      <c r="I1282" s="2" t="s">
        <v>6177</v>
      </c>
    </row>
    <row r="1283" ht="15.75" hidden="1" customHeight="1">
      <c r="A1283" s="9">
        <v>7267019.0</v>
      </c>
      <c r="B1283" s="2" t="s">
        <v>6181</v>
      </c>
      <c r="C1283" s="2" t="s">
        <v>6183</v>
      </c>
      <c r="D1283" s="2" t="s">
        <v>985</v>
      </c>
      <c r="E1283" s="10" t="s">
        <v>994</v>
      </c>
      <c r="F1283" s="2" t="s">
        <v>1002</v>
      </c>
      <c r="G1283" s="2"/>
      <c r="H1283" s="2"/>
      <c r="I1283" s="2" t="s">
        <v>6183</v>
      </c>
    </row>
    <row r="1284" ht="15.75" hidden="1" customHeight="1">
      <c r="A1284" s="9">
        <v>7267020.0</v>
      </c>
      <c r="B1284" s="2" t="s">
        <v>6185</v>
      </c>
      <c r="C1284" s="2" t="s">
        <v>6186</v>
      </c>
      <c r="D1284" s="2" t="s">
        <v>6187</v>
      </c>
      <c r="E1284" s="10" t="s">
        <v>6188</v>
      </c>
      <c r="F1284" s="2" t="s">
        <v>1002</v>
      </c>
      <c r="G1284" s="2"/>
      <c r="H1284" s="2"/>
      <c r="I1284" s="2" t="s">
        <v>6186</v>
      </c>
    </row>
    <row r="1285" ht="15.75" hidden="1" customHeight="1">
      <c r="A1285" s="9">
        <v>7267021.0</v>
      </c>
      <c r="B1285" s="2" t="s">
        <v>2890</v>
      </c>
      <c r="C1285" s="2" t="s">
        <v>6189</v>
      </c>
      <c r="D1285" s="2" t="s">
        <v>6190</v>
      </c>
      <c r="E1285" s="10" t="s">
        <v>6191</v>
      </c>
      <c r="F1285" s="2" t="s">
        <v>1002</v>
      </c>
      <c r="G1285" s="2"/>
      <c r="H1285" s="2"/>
      <c r="I1285" s="2" t="s">
        <v>6189</v>
      </c>
    </row>
    <row r="1286" ht="15.75" hidden="1" customHeight="1">
      <c r="A1286" s="9">
        <v>7267022.0</v>
      </c>
      <c r="B1286" s="2" t="s">
        <v>6192</v>
      </c>
      <c r="C1286" s="2" t="s">
        <v>6193</v>
      </c>
      <c r="D1286" s="2" t="s">
        <v>6194</v>
      </c>
      <c r="E1286" s="10" t="s">
        <v>6195</v>
      </c>
      <c r="F1286" s="2" t="s">
        <v>1002</v>
      </c>
      <c r="G1286" s="2"/>
      <c r="H1286" s="2"/>
      <c r="I1286" s="2" t="s">
        <v>6193</v>
      </c>
    </row>
    <row r="1287" ht="15.75" hidden="1" customHeight="1">
      <c r="A1287" s="9">
        <v>7267023.0</v>
      </c>
      <c r="B1287" s="2" t="s">
        <v>6197</v>
      </c>
      <c r="C1287" s="2" t="s">
        <v>6198</v>
      </c>
      <c r="D1287" s="2" t="s">
        <v>6199</v>
      </c>
      <c r="E1287" s="10" t="s">
        <v>6200</v>
      </c>
      <c r="F1287" s="2" t="s">
        <v>1002</v>
      </c>
      <c r="G1287" s="2"/>
      <c r="H1287" s="2"/>
      <c r="I1287" s="2" t="s">
        <v>6198</v>
      </c>
    </row>
    <row r="1288" ht="15.75" hidden="1" customHeight="1">
      <c r="A1288" s="9">
        <v>7267024.0</v>
      </c>
      <c r="B1288" s="2" t="s">
        <v>6201</v>
      </c>
      <c r="C1288" s="2" t="s">
        <v>6203</v>
      </c>
      <c r="D1288" s="2" t="s">
        <v>6204</v>
      </c>
      <c r="E1288" s="10" t="s">
        <v>6205</v>
      </c>
      <c r="F1288" s="2" t="s">
        <v>1002</v>
      </c>
      <c r="G1288" s="2"/>
      <c r="H1288" s="2"/>
      <c r="I1288" s="2" t="s">
        <v>6203</v>
      </c>
    </row>
    <row r="1289" ht="15.75" hidden="1" customHeight="1">
      <c r="A1289" s="9">
        <v>7267025.0</v>
      </c>
      <c r="B1289" s="2" t="s">
        <v>6206</v>
      </c>
      <c r="C1289" s="2" t="s">
        <v>6207</v>
      </c>
      <c r="D1289" s="2" t="s">
        <v>6208</v>
      </c>
      <c r="E1289" s="10" t="s">
        <v>6209</v>
      </c>
      <c r="F1289" s="2" t="s">
        <v>1002</v>
      </c>
      <c r="G1289" s="2"/>
      <c r="H1289" s="2"/>
      <c r="I1289" s="2" t="s">
        <v>6207</v>
      </c>
    </row>
    <row r="1290" ht="15.75" hidden="1" customHeight="1">
      <c r="A1290" s="9">
        <v>7267026.0</v>
      </c>
      <c r="B1290" s="2" t="s">
        <v>6210</v>
      </c>
      <c r="C1290" s="2" t="s">
        <v>6211</v>
      </c>
      <c r="D1290" s="2" t="s">
        <v>6212</v>
      </c>
      <c r="E1290" s="10" t="s">
        <v>6213</v>
      </c>
      <c r="F1290" s="2" t="s">
        <v>1002</v>
      </c>
      <c r="G1290" s="2"/>
      <c r="H1290" s="2"/>
      <c r="I1290" s="2" t="s">
        <v>6211</v>
      </c>
    </row>
    <row r="1291" ht="15.75" hidden="1" customHeight="1">
      <c r="A1291" s="9">
        <v>7267027.0</v>
      </c>
      <c r="B1291" s="2" t="s">
        <v>6214</v>
      </c>
      <c r="C1291" s="2" t="s">
        <v>6215</v>
      </c>
      <c r="D1291" s="2" t="s">
        <v>6216</v>
      </c>
      <c r="E1291" s="10" t="s">
        <v>6217</v>
      </c>
      <c r="F1291" s="2" t="s">
        <v>1002</v>
      </c>
      <c r="G1291" s="2"/>
      <c r="H1291" s="2"/>
      <c r="I1291" s="2" t="s">
        <v>6215</v>
      </c>
    </row>
    <row r="1292" ht="15.75" hidden="1" customHeight="1">
      <c r="A1292" s="9">
        <v>7267028.0</v>
      </c>
      <c r="B1292" s="2" t="s">
        <v>6219</v>
      </c>
      <c r="C1292" s="2" t="s">
        <v>6220</v>
      </c>
      <c r="D1292" s="2" t="s">
        <v>6221</v>
      </c>
      <c r="E1292" s="10" t="s">
        <v>6222</v>
      </c>
      <c r="F1292" s="2" t="s">
        <v>1002</v>
      </c>
      <c r="G1292" s="2"/>
      <c r="H1292" s="2"/>
      <c r="I1292" s="2" t="s">
        <v>6220</v>
      </c>
    </row>
    <row r="1293" ht="15.75" hidden="1" customHeight="1">
      <c r="A1293" s="9">
        <v>7267029.0</v>
      </c>
      <c r="B1293" s="2" t="s">
        <v>6224</v>
      </c>
      <c r="C1293" s="2" t="s">
        <v>6225</v>
      </c>
      <c r="D1293" s="2" t="s">
        <v>6226</v>
      </c>
      <c r="E1293" s="10" t="s">
        <v>6227</v>
      </c>
      <c r="F1293" s="2" t="s">
        <v>1002</v>
      </c>
      <c r="G1293" s="2"/>
      <c r="H1293" s="2"/>
      <c r="I1293" s="2" t="s">
        <v>6225</v>
      </c>
    </row>
    <row r="1294" ht="15.75" hidden="1" customHeight="1">
      <c r="A1294" s="9">
        <v>7267030.0</v>
      </c>
      <c r="B1294" s="2" t="s">
        <v>6228</v>
      </c>
      <c r="C1294" s="2" t="s">
        <v>6229</v>
      </c>
      <c r="D1294" s="2" t="s">
        <v>4845</v>
      </c>
      <c r="E1294" s="10" t="s">
        <v>4858</v>
      </c>
      <c r="F1294" s="2" t="s">
        <v>1002</v>
      </c>
      <c r="G1294" s="2"/>
      <c r="H1294" s="2"/>
      <c r="I1294" s="2" t="s">
        <v>6229</v>
      </c>
    </row>
    <row r="1295" ht="15.75" hidden="1" customHeight="1">
      <c r="A1295" s="9">
        <v>7267031.0</v>
      </c>
      <c r="B1295" s="2" t="s">
        <v>6230</v>
      </c>
      <c r="C1295" s="2" t="s">
        <v>6231</v>
      </c>
      <c r="D1295" s="2" t="s">
        <v>6232</v>
      </c>
      <c r="E1295" s="10" t="s">
        <v>6234</v>
      </c>
      <c r="F1295" s="2" t="s">
        <v>1002</v>
      </c>
      <c r="G1295" s="2"/>
      <c r="H1295" s="2"/>
      <c r="I1295" s="2" t="s">
        <v>6231</v>
      </c>
    </row>
    <row r="1296" ht="15.75" hidden="1" customHeight="1">
      <c r="A1296" s="9">
        <v>7267032.0</v>
      </c>
      <c r="B1296" s="2" t="s">
        <v>6235</v>
      </c>
      <c r="C1296" s="2" t="s">
        <v>6236</v>
      </c>
      <c r="D1296" s="2" t="s">
        <v>6237</v>
      </c>
      <c r="E1296" s="10" t="s">
        <v>6238</v>
      </c>
      <c r="F1296" s="2" t="s">
        <v>255</v>
      </c>
      <c r="G1296" s="2"/>
      <c r="H1296" s="2"/>
      <c r="I1296" s="2" t="s">
        <v>6236</v>
      </c>
    </row>
    <row r="1297" ht="15.75" hidden="1" customHeight="1">
      <c r="A1297" s="9">
        <v>7267033.0</v>
      </c>
      <c r="B1297" s="2" t="s">
        <v>6240</v>
      </c>
      <c r="C1297" s="2" t="s">
        <v>6241</v>
      </c>
      <c r="D1297" s="2" t="s">
        <v>3342</v>
      </c>
      <c r="E1297" s="10" t="s">
        <v>3348</v>
      </c>
      <c r="F1297" s="2" t="s">
        <v>255</v>
      </c>
      <c r="G1297" s="2"/>
      <c r="H1297" s="2"/>
      <c r="I1297" s="2" t="s">
        <v>6241</v>
      </c>
    </row>
    <row r="1298" ht="15.75" hidden="1" customHeight="1">
      <c r="A1298" s="9">
        <v>7267034.0</v>
      </c>
      <c r="B1298" s="2" t="s">
        <v>6242</v>
      </c>
      <c r="C1298" s="2" t="s">
        <v>6243</v>
      </c>
      <c r="D1298" s="2" t="s">
        <v>6244</v>
      </c>
      <c r="E1298" s="10" t="s">
        <v>6245</v>
      </c>
      <c r="F1298" s="2" t="s">
        <v>255</v>
      </c>
      <c r="G1298" s="2"/>
      <c r="H1298" s="2"/>
      <c r="I1298" s="2" t="s">
        <v>6243</v>
      </c>
    </row>
    <row r="1299" ht="15.75" hidden="1" customHeight="1">
      <c r="A1299" s="9">
        <v>7267035.0</v>
      </c>
      <c r="B1299" s="2" t="s">
        <v>2083</v>
      </c>
      <c r="C1299" s="2" t="s">
        <v>6246</v>
      </c>
      <c r="D1299" s="2" t="s">
        <v>6247</v>
      </c>
      <c r="E1299" s="10" t="s">
        <v>6249</v>
      </c>
      <c r="F1299" s="2" t="s">
        <v>255</v>
      </c>
      <c r="G1299" s="2"/>
      <c r="H1299" s="2"/>
      <c r="I1299" s="2" t="s">
        <v>6246</v>
      </c>
    </row>
    <row r="1300" ht="15.75" hidden="1" customHeight="1">
      <c r="A1300" s="9">
        <v>7267036.0</v>
      </c>
      <c r="B1300" s="2" t="s">
        <v>6250</v>
      </c>
      <c r="C1300" s="2" t="s">
        <v>6251</v>
      </c>
      <c r="D1300" s="2" t="s">
        <v>6252</v>
      </c>
      <c r="E1300" s="10" t="s">
        <v>6253</v>
      </c>
      <c r="F1300" s="2" t="s">
        <v>255</v>
      </c>
      <c r="G1300" s="2"/>
      <c r="H1300" s="2"/>
      <c r="I1300" s="2" t="s">
        <v>6251</v>
      </c>
    </row>
    <row r="1301" ht="15.75" hidden="1" customHeight="1">
      <c r="A1301" s="9">
        <v>7267037.0</v>
      </c>
      <c r="B1301" s="2" t="s">
        <v>6255</v>
      </c>
      <c r="C1301" s="2" t="s">
        <v>6256</v>
      </c>
      <c r="D1301" s="2" t="s">
        <v>6257</v>
      </c>
      <c r="E1301" s="10" t="s">
        <v>6258</v>
      </c>
      <c r="F1301" s="2" t="s">
        <v>255</v>
      </c>
      <c r="G1301" s="2"/>
      <c r="H1301" s="2"/>
      <c r="I1301" s="2" t="s">
        <v>6256</v>
      </c>
    </row>
    <row r="1302" ht="15.75" hidden="1" customHeight="1">
      <c r="A1302" s="9">
        <v>7267038.0</v>
      </c>
      <c r="B1302" s="2" t="s">
        <v>6259</v>
      </c>
      <c r="C1302" s="2" t="s">
        <v>6260</v>
      </c>
      <c r="D1302" s="2" t="s">
        <v>6261</v>
      </c>
      <c r="E1302" s="10" t="s">
        <v>6262</v>
      </c>
      <c r="F1302" s="2" t="s">
        <v>255</v>
      </c>
      <c r="G1302" s="2"/>
      <c r="H1302" s="2"/>
      <c r="I1302" s="2" t="s">
        <v>6260</v>
      </c>
    </row>
    <row r="1303" ht="15.75" hidden="1" customHeight="1">
      <c r="A1303" s="9">
        <v>7267039.0</v>
      </c>
      <c r="B1303" s="2" t="s">
        <v>6263</v>
      </c>
      <c r="C1303" s="2" t="s">
        <v>6264</v>
      </c>
      <c r="D1303" s="2" t="s">
        <v>6265</v>
      </c>
      <c r="E1303" s="10" t="s">
        <v>6266</v>
      </c>
      <c r="F1303" s="2" t="s">
        <v>255</v>
      </c>
      <c r="G1303" s="2"/>
      <c r="H1303" s="2"/>
      <c r="I1303" s="2" t="s">
        <v>6264</v>
      </c>
    </row>
    <row r="1304" ht="15.75" hidden="1" customHeight="1">
      <c r="A1304" s="9">
        <v>7267040.0</v>
      </c>
      <c r="B1304" s="2" t="s">
        <v>6267</v>
      </c>
      <c r="C1304" s="2" t="s">
        <v>6269</v>
      </c>
      <c r="D1304" s="2" t="s">
        <v>1140</v>
      </c>
      <c r="E1304" s="10" t="s">
        <v>1147</v>
      </c>
      <c r="F1304" s="2" t="s">
        <v>255</v>
      </c>
      <c r="G1304" s="2"/>
      <c r="H1304" s="2"/>
      <c r="I1304" s="2" t="s">
        <v>6269</v>
      </c>
    </row>
    <row r="1305" ht="15.75" hidden="1" customHeight="1">
      <c r="A1305" s="9">
        <v>7267041.0</v>
      </c>
      <c r="B1305" s="2" t="s">
        <v>6271</v>
      </c>
      <c r="C1305" s="2" t="s">
        <v>6272</v>
      </c>
      <c r="D1305" s="2" t="s">
        <v>6273</v>
      </c>
      <c r="E1305" s="10" t="s">
        <v>6275</v>
      </c>
      <c r="F1305" s="2" t="s">
        <v>255</v>
      </c>
      <c r="G1305" s="2"/>
      <c r="H1305" s="2"/>
      <c r="I1305" s="2" t="s">
        <v>6272</v>
      </c>
    </row>
    <row r="1306" ht="15.75" hidden="1" customHeight="1">
      <c r="A1306" s="9">
        <v>7267042.0</v>
      </c>
      <c r="B1306" s="2" t="s">
        <v>6277</v>
      </c>
      <c r="C1306" s="2" t="s">
        <v>6278</v>
      </c>
      <c r="D1306" s="2" t="s">
        <v>6279</v>
      </c>
      <c r="E1306" s="10" t="s">
        <v>6280</v>
      </c>
      <c r="F1306" s="2" t="s">
        <v>255</v>
      </c>
      <c r="G1306" s="2"/>
      <c r="H1306" s="2"/>
      <c r="I1306" s="2" t="s">
        <v>6278</v>
      </c>
    </row>
    <row r="1307" ht="15.75" hidden="1" customHeight="1">
      <c r="A1307" s="9">
        <v>7267043.0</v>
      </c>
      <c r="B1307" s="2" t="s">
        <v>6281</v>
      </c>
      <c r="C1307" s="2" t="s">
        <v>6283</v>
      </c>
      <c r="D1307" s="2" t="s">
        <v>6284</v>
      </c>
      <c r="E1307" s="10" t="s">
        <v>6285</v>
      </c>
      <c r="F1307" s="2" t="s">
        <v>255</v>
      </c>
      <c r="G1307" s="2"/>
      <c r="H1307" s="2"/>
      <c r="I1307" s="2" t="s">
        <v>6283</v>
      </c>
    </row>
    <row r="1308" ht="15.75" hidden="1" customHeight="1">
      <c r="A1308" s="9">
        <v>7267044.0</v>
      </c>
      <c r="B1308" s="2" t="s">
        <v>1974</v>
      </c>
      <c r="C1308" s="2" t="s">
        <v>6286</v>
      </c>
      <c r="D1308" s="2" t="s">
        <v>6287</v>
      </c>
      <c r="E1308" s="10" t="s">
        <v>6288</v>
      </c>
      <c r="F1308" s="2" t="s">
        <v>255</v>
      </c>
      <c r="G1308" s="2"/>
      <c r="H1308" s="2"/>
      <c r="I1308" s="2" t="s">
        <v>6286</v>
      </c>
    </row>
    <row r="1309" ht="15.75" hidden="1" customHeight="1">
      <c r="A1309" s="9">
        <v>7267045.0</v>
      </c>
      <c r="B1309" s="2" t="s">
        <v>6291</v>
      </c>
      <c r="C1309" s="2" t="s">
        <v>6292</v>
      </c>
      <c r="D1309" s="2" t="s">
        <v>6293</v>
      </c>
      <c r="E1309" s="10" t="s">
        <v>6294</v>
      </c>
      <c r="F1309" s="2" t="s">
        <v>255</v>
      </c>
      <c r="G1309" s="2"/>
      <c r="H1309" s="2"/>
      <c r="I1309" s="2" t="s">
        <v>6292</v>
      </c>
    </row>
    <row r="1310" ht="15.75" hidden="1" customHeight="1">
      <c r="A1310" s="9">
        <v>7267046.0</v>
      </c>
      <c r="B1310" s="2" t="s">
        <v>6296</v>
      </c>
      <c r="C1310" s="2" t="s">
        <v>6297</v>
      </c>
      <c r="D1310" s="2" t="s">
        <v>6299</v>
      </c>
      <c r="E1310" s="10" t="s">
        <v>6300</v>
      </c>
      <c r="F1310" s="2" t="s">
        <v>255</v>
      </c>
      <c r="G1310" s="2"/>
      <c r="H1310" s="2"/>
      <c r="I1310" s="2" t="s">
        <v>6297</v>
      </c>
    </row>
    <row r="1311" ht="15.75" hidden="1" customHeight="1">
      <c r="A1311" s="9">
        <v>7267047.0</v>
      </c>
      <c r="B1311" s="2" t="s">
        <v>6301</v>
      </c>
      <c r="C1311" s="2" t="s">
        <v>6302</v>
      </c>
      <c r="D1311" s="2" t="s">
        <v>6303</v>
      </c>
      <c r="E1311" s="10" t="s">
        <v>6304</v>
      </c>
      <c r="F1311" s="2" t="s">
        <v>255</v>
      </c>
      <c r="G1311" s="2"/>
      <c r="H1311" s="2"/>
      <c r="I1311" s="2" t="s">
        <v>6302</v>
      </c>
    </row>
    <row r="1312" ht="15.75" hidden="1" customHeight="1">
      <c r="A1312" s="9">
        <v>7267048.0</v>
      </c>
      <c r="B1312" s="2" t="s">
        <v>6305</v>
      </c>
      <c r="C1312" s="2" t="s">
        <v>6306</v>
      </c>
      <c r="D1312" s="2" t="s">
        <v>1252</v>
      </c>
      <c r="E1312" s="10" t="s">
        <v>1259</v>
      </c>
      <c r="F1312" s="2" t="s">
        <v>255</v>
      </c>
      <c r="G1312" s="2"/>
      <c r="H1312" s="2"/>
      <c r="I1312" s="2" t="s">
        <v>6306</v>
      </c>
    </row>
    <row r="1313" ht="15.75" hidden="1" customHeight="1">
      <c r="A1313" s="9">
        <v>7267049.0</v>
      </c>
      <c r="B1313" s="2" t="s">
        <v>6307</v>
      </c>
      <c r="C1313" s="2" t="s">
        <v>6308</v>
      </c>
      <c r="D1313" s="2" t="s">
        <v>241</v>
      </c>
      <c r="E1313" s="10" t="s">
        <v>248</v>
      </c>
      <c r="F1313" s="2" t="s">
        <v>255</v>
      </c>
      <c r="G1313" s="2"/>
      <c r="H1313" s="2"/>
      <c r="I1313" s="2" t="s">
        <v>6308</v>
      </c>
    </row>
    <row r="1314" ht="15.75" hidden="1" customHeight="1">
      <c r="A1314" s="9">
        <v>7267050.0</v>
      </c>
      <c r="B1314" s="2" t="s">
        <v>6310</v>
      </c>
      <c r="C1314" s="2" t="s">
        <v>6311</v>
      </c>
      <c r="D1314" s="2" t="s">
        <v>6312</v>
      </c>
      <c r="E1314" s="10" t="s">
        <v>6314</v>
      </c>
      <c r="F1314" s="2" t="s">
        <v>255</v>
      </c>
      <c r="G1314" s="2"/>
      <c r="H1314" s="2"/>
      <c r="I1314" s="2" t="s">
        <v>6311</v>
      </c>
    </row>
    <row r="1315" ht="15.75" hidden="1" customHeight="1">
      <c r="A1315" s="9">
        <v>7267051.0</v>
      </c>
      <c r="B1315" s="2" t="s">
        <v>6315</v>
      </c>
      <c r="C1315" s="2" t="s">
        <v>6316</v>
      </c>
      <c r="D1315" s="2" t="s">
        <v>623</v>
      </c>
      <c r="E1315" s="10" t="s">
        <v>629</v>
      </c>
      <c r="F1315" s="2" t="s">
        <v>255</v>
      </c>
      <c r="G1315" s="2"/>
      <c r="H1315" s="2"/>
      <c r="I1315" s="2" t="s">
        <v>6316</v>
      </c>
    </row>
    <row r="1316" ht="15.75" hidden="1" customHeight="1">
      <c r="A1316" s="9">
        <v>7267052.0</v>
      </c>
      <c r="B1316" s="2" t="s">
        <v>6317</v>
      </c>
      <c r="C1316" s="2" t="s">
        <v>6318</v>
      </c>
      <c r="D1316" s="2" t="s">
        <v>6319</v>
      </c>
      <c r="E1316" s="10" t="s">
        <v>6320</v>
      </c>
      <c r="F1316" s="2" t="s">
        <v>255</v>
      </c>
      <c r="G1316" s="2"/>
      <c r="H1316" s="2"/>
      <c r="I1316" s="2" t="s">
        <v>6318</v>
      </c>
    </row>
    <row r="1317" ht="15.75" hidden="1" customHeight="1">
      <c r="A1317" s="9">
        <v>7267053.0</v>
      </c>
      <c r="B1317" s="2" t="s">
        <v>6321</v>
      </c>
      <c r="C1317" s="2" t="s">
        <v>6322</v>
      </c>
      <c r="D1317" s="2" t="s">
        <v>6323</v>
      </c>
      <c r="E1317" s="10" t="s">
        <v>6324</v>
      </c>
      <c r="F1317" s="2" t="s">
        <v>255</v>
      </c>
      <c r="G1317" s="2"/>
      <c r="H1317" s="2"/>
      <c r="I1317" s="2" t="s">
        <v>6322</v>
      </c>
    </row>
    <row r="1318" ht="15.75" hidden="1" customHeight="1">
      <c r="A1318" s="9">
        <v>7267054.0</v>
      </c>
      <c r="B1318" s="2" t="s">
        <v>6326</v>
      </c>
      <c r="C1318" s="2" t="s">
        <v>6327</v>
      </c>
      <c r="D1318" s="2" t="s">
        <v>6328</v>
      </c>
      <c r="E1318" s="10" t="s">
        <v>6329</v>
      </c>
      <c r="F1318" s="2" t="s">
        <v>255</v>
      </c>
      <c r="G1318" s="2"/>
      <c r="H1318" s="2"/>
      <c r="I1318" s="2" t="s">
        <v>6327</v>
      </c>
    </row>
    <row r="1319" ht="15.75" hidden="1" customHeight="1">
      <c r="A1319" s="9">
        <v>7267055.0</v>
      </c>
      <c r="B1319" s="2" t="s">
        <v>6331</v>
      </c>
      <c r="C1319" s="2" t="s">
        <v>6332</v>
      </c>
      <c r="D1319" s="2" t="s">
        <v>5150</v>
      </c>
      <c r="E1319" s="10" t="s">
        <v>5154</v>
      </c>
      <c r="F1319" s="2" t="s">
        <v>255</v>
      </c>
      <c r="G1319" s="2"/>
      <c r="H1319" s="2"/>
      <c r="I1319" s="2" t="s">
        <v>6332</v>
      </c>
    </row>
    <row r="1320" ht="15.75" hidden="1" customHeight="1">
      <c r="A1320" s="9">
        <v>7267056.0</v>
      </c>
      <c r="B1320" s="2" t="s">
        <v>2884</v>
      </c>
      <c r="C1320" s="2" t="s">
        <v>6333</v>
      </c>
      <c r="D1320" s="2" t="s">
        <v>6334</v>
      </c>
      <c r="E1320" s="10" t="s">
        <v>6335</v>
      </c>
      <c r="F1320" s="2" t="s">
        <v>255</v>
      </c>
      <c r="G1320" s="2"/>
      <c r="H1320" s="2"/>
      <c r="I1320" s="2" t="s">
        <v>6333</v>
      </c>
    </row>
    <row r="1321" ht="15.75" hidden="1" customHeight="1">
      <c r="A1321" s="9">
        <v>7267057.0</v>
      </c>
      <c r="B1321" s="2" t="s">
        <v>6336</v>
      </c>
      <c r="C1321" s="2" t="s">
        <v>6338</v>
      </c>
      <c r="D1321" s="2" t="s">
        <v>6339</v>
      </c>
      <c r="E1321" s="10" t="s">
        <v>6340</v>
      </c>
      <c r="F1321" s="2" t="s">
        <v>255</v>
      </c>
      <c r="G1321" s="2"/>
      <c r="H1321" s="2"/>
      <c r="I1321" s="2" t="s">
        <v>6338</v>
      </c>
    </row>
    <row r="1322" ht="15.75" hidden="1" customHeight="1">
      <c r="A1322" s="9">
        <v>7267058.0</v>
      </c>
      <c r="B1322" s="2" t="s">
        <v>6343</v>
      </c>
      <c r="C1322" s="2" t="s">
        <v>6344</v>
      </c>
      <c r="D1322" s="2" t="s">
        <v>6345</v>
      </c>
      <c r="E1322" s="10" t="s">
        <v>6347</v>
      </c>
      <c r="F1322" s="2" t="s">
        <v>255</v>
      </c>
      <c r="G1322" s="2"/>
      <c r="H1322" s="2"/>
      <c r="I1322" s="2" t="s">
        <v>6344</v>
      </c>
    </row>
    <row r="1323" ht="15.75" hidden="1" customHeight="1">
      <c r="A1323" s="9">
        <v>7267059.0</v>
      </c>
      <c r="B1323" s="2" t="s">
        <v>6348</v>
      </c>
      <c r="C1323" s="2" t="s">
        <v>6349</v>
      </c>
      <c r="D1323" s="2" t="s">
        <v>3403</v>
      </c>
      <c r="E1323" s="10" t="s">
        <v>3409</v>
      </c>
      <c r="F1323" s="2" t="s">
        <v>255</v>
      </c>
      <c r="G1323" s="2"/>
      <c r="H1323" s="2"/>
      <c r="I1323" s="2" t="s">
        <v>6349</v>
      </c>
    </row>
    <row r="1324" ht="15.75" hidden="1" customHeight="1">
      <c r="A1324" s="9">
        <v>7267060.0</v>
      </c>
      <c r="B1324" s="2" t="s">
        <v>6350</v>
      </c>
      <c r="C1324" s="2" t="s">
        <v>6351</v>
      </c>
      <c r="D1324" s="2" t="s">
        <v>6352</v>
      </c>
      <c r="E1324" s="10" t="s">
        <v>6353</v>
      </c>
      <c r="F1324" s="2" t="s">
        <v>255</v>
      </c>
      <c r="G1324" s="2"/>
      <c r="H1324" s="2"/>
      <c r="I1324" s="2" t="s">
        <v>6351</v>
      </c>
    </row>
    <row r="1325" ht="15.75" hidden="1" customHeight="1">
      <c r="A1325" s="9">
        <v>7267061.0</v>
      </c>
      <c r="B1325" s="2" t="s">
        <v>2179</v>
      </c>
      <c r="C1325" s="2" t="s">
        <v>6354</v>
      </c>
      <c r="D1325" s="2" t="s">
        <v>6355</v>
      </c>
      <c r="E1325" s="10" t="s">
        <v>6356</v>
      </c>
      <c r="F1325" s="2" t="s">
        <v>255</v>
      </c>
      <c r="G1325" s="2"/>
      <c r="H1325" s="2"/>
      <c r="I1325" s="2" t="s">
        <v>6354</v>
      </c>
    </row>
    <row r="1326" ht="15.75" hidden="1" customHeight="1">
      <c r="A1326" s="9">
        <v>7267062.0</v>
      </c>
      <c r="B1326" s="2" t="s">
        <v>6359</v>
      </c>
      <c r="C1326" s="2" t="s">
        <v>6360</v>
      </c>
      <c r="D1326" s="2" t="s">
        <v>5229</v>
      </c>
      <c r="E1326" s="10" t="s">
        <v>5234</v>
      </c>
      <c r="F1326" s="2" t="s">
        <v>2970</v>
      </c>
      <c r="G1326" s="2"/>
      <c r="H1326" s="2"/>
      <c r="I1326" s="2" t="s">
        <v>6360</v>
      </c>
    </row>
    <row r="1327" ht="15.75" hidden="1" customHeight="1">
      <c r="A1327" s="9">
        <v>7267063.0</v>
      </c>
      <c r="B1327" s="2" t="s">
        <v>6362</v>
      </c>
      <c r="C1327" s="2" t="s">
        <v>6364</v>
      </c>
      <c r="D1327" s="2" t="s">
        <v>6365</v>
      </c>
      <c r="E1327" s="10" t="s">
        <v>6366</v>
      </c>
      <c r="F1327" s="2" t="s">
        <v>2970</v>
      </c>
      <c r="G1327" s="2"/>
      <c r="H1327" s="2"/>
      <c r="I1327" s="2" t="s">
        <v>6364</v>
      </c>
    </row>
    <row r="1328" ht="15.75" hidden="1" customHeight="1">
      <c r="A1328" s="9">
        <v>7267064.0</v>
      </c>
      <c r="B1328" s="2" t="s">
        <v>6368</v>
      </c>
      <c r="C1328" s="2" t="s">
        <v>6369</v>
      </c>
      <c r="D1328" s="2" t="s">
        <v>3614</v>
      </c>
      <c r="E1328" s="10" t="s">
        <v>3619</v>
      </c>
      <c r="F1328" s="2" t="s">
        <v>2970</v>
      </c>
      <c r="G1328" s="2"/>
      <c r="H1328" s="2"/>
      <c r="I1328" s="2" t="s">
        <v>6369</v>
      </c>
    </row>
    <row r="1329" ht="15.75" hidden="1" customHeight="1">
      <c r="A1329" s="9">
        <v>7267065.0</v>
      </c>
      <c r="B1329" s="2" t="s">
        <v>6371</v>
      </c>
      <c r="C1329" s="2" t="s">
        <v>6372</v>
      </c>
      <c r="D1329" s="2" t="s">
        <v>6373</v>
      </c>
      <c r="E1329" s="10" t="s">
        <v>6374</v>
      </c>
      <c r="F1329" s="2" t="s">
        <v>2970</v>
      </c>
      <c r="G1329" s="2"/>
      <c r="H1329" s="2"/>
      <c r="I1329" s="2" t="s">
        <v>6372</v>
      </c>
    </row>
    <row r="1330" ht="15.75" hidden="1" customHeight="1">
      <c r="A1330" s="9">
        <v>7267066.0</v>
      </c>
      <c r="B1330" s="2" t="s">
        <v>6377</v>
      </c>
      <c r="C1330" s="2" t="s">
        <v>6378</v>
      </c>
      <c r="D1330" s="2" t="s">
        <v>6379</v>
      </c>
      <c r="E1330" s="10" t="s">
        <v>6380</v>
      </c>
      <c r="F1330" s="2" t="s">
        <v>2970</v>
      </c>
      <c r="G1330" s="2"/>
      <c r="H1330" s="2"/>
      <c r="I1330" s="2" t="s">
        <v>6378</v>
      </c>
    </row>
    <row r="1331" ht="15.75" hidden="1" customHeight="1">
      <c r="A1331" s="9">
        <v>7267067.0</v>
      </c>
      <c r="B1331" s="2" t="s">
        <v>6382</v>
      </c>
      <c r="C1331" s="2" t="s">
        <v>6383</v>
      </c>
      <c r="D1331" s="2" t="s">
        <v>6384</v>
      </c>
      <c r="E1331" s="10" t="s">
        <v>6385</v>
      </c>
      <c r="F1331" s="2" t="s">
        <v>2970</v>
      </c>
      <c r="G1331" s="2"/>
      <c r="H1331" s="2"/>
      <c r="I1331" s="2" t="s">
        <v>6383</v>
      </c>
    </row>
    <row r="1332" ht="15.75" hidden="1" customHeight="1">
      <c r="A1332" s="9">
        <v>7267068.0</v>
      </c>
      <c r="B1332" s="2" t="s">
        <v>6386</v>
      </c>
      <c r="C1332" s="2" t="s">
        <v>6387</v>
      </c>
      <c r="D1332" s="2" t="s">
        <v>6388</v>
      </c>
      <c r="E1332" s="10" t="s">
        <v>6389</v>
      </c>
      <c r="F1332" s="2" t="s">
        <v>2970</v>
      </c>
      <c r="G1332" s="2"/>
      <c r="H1332" s="2"/>
      <c r="I1332" s="2" t="s">
        <v>6387</v>
      </c>
    </row>
    <row r="1333" ht="15.75" hidden="1" customHeight="1">
      <c r="A1333" s="9">
        <v>7267069.0</v>
      </c>
      <c r="B1333" s="2" t="s">
        <v>6390</v>
      </c>
      <c r="C1333" s="2" t="s">
        <v>6391</v>
      </c>
      <c r="D1333" s="2" t="s">
        <v>6392</v>
      </c>
      <c r="E1333" s="10" t="s">
        <v>6393</v>
      </c>
      <c r="F1333" s="2" t="s">
        <v>2970</v>
      </c>
      <c r="G1333" s="2"/>
      <c r="H1333" s="2"/>
      <c r="I1333" s="2" t="s">
        <v>6391</v>
      </c>
    </row>
    <row r="1334" ht="15.75" hidden="1" customHeight="1">
      <c r="A1334" s="9">
        <v>7267070.0</v>
      </c>
      <c r="B1334" s="2" t="s">
        <v>6395</v>
      </c>
      <c r="C1334" s="2" t="s">
        <v>6396</v>
      </c>
      <c r="D1334" s="2" t="s">
        <v>6397</v>
      </c>
      <c r="E1334" s="10" t="s">
        <v>6398</v>
      </c>
      <c r="F1334" s="2" t="s">
        <v>2970</v>
      </c>
      <c r="G1334" s="2"/>
      <c r="H1334" s="2"/>
      <c r="I1334" s="2" t="s">
        <v>6396</v>
      </c>
    </row>
    <row r="1335" ht="15.75" hidden="1" customHeight="1">
      <c r="A1335" s="9">
        <v>7267071.0</v>
      </c>
      <c r="B1335" s="2" t="s">
        <v>6400</v>
      </c>
      <c r="C1335" s="2" t="s">
        <v>6401</v>
      </c>
      <c r="D1335" s="2" t="s">
        <v>6402</v>
      </c>
      <c r="E1335" s="10" t="s">
        <v>6403</v>
      </c>
      <c r="F1335" s="2" t="s">
        <v>2970</v>
      </c>
      <c r="G1335" s="2"/>
      <c r="H1335" s="2"/>
      <c r="I1335" s="2" t="s">
        <v>6401</v>
      </c>
    </row>
    <row r="1336" ht="15.75" hidden="1" customHeight="1">
      <c r="A1336" s="9">
        <v>7267072.0</v>
      </c>
      <c r="B1336" s="2" t="s">
        <v>6404</v>
      </c>
      <c r="C1336" s="2" t="s">
        <v>6405</v>
      </c>
      <c r="D1336" s="2" t="s">
        <v>5294</v>
      </c>
      <c r="E1336" s="10" t="s">
        <v>5297</v>
      </c>
      <c r="F1336" s="2" t="s">
        <v>2970</v>
      </c>
      <c r="G1336" s="2"/>
      <c r="H1336" s="2"/>
      <c r="I1336" s="2" t="s">
        <v>6405</v>
      </c>
    </row>
    <row r="1337" ht="15.75" hidden="1" customHeight="1">
      <c r="A1337" s="9">
        <v>7267073.0</v>
      </c>
      <c r="B1337" s="2" t="s">
        <v>6407</v>
      </c>
      <c r="C1337" s="2" t="s">
        <v>6408</v>
      </c>
      <c r="D1337" s="2" t="s">
        <v>6409</v>
      </c>
      <c r="E1337" s="10" t="s">
        <v>6410</v>
      </c>
      <c r="F1337" s="2" t="s">
        <v>2970</v>
      </c>
      <c r="G1337" s="2"/>
      <c r="H1337" s="2"/>
      <c r="I1337" s="2" t="s">
        <v>6408</v>
      </c>
    </row>
    <row r="1338" ht="15.75" hidden="1" customHeight="1">
      <c r="A1338" s="9">
        <v>7267074.0</v>
      </c>
      <c r="B1338" s="2" t="s">
        <v>6412</v>
      </c>
      <c r="C1338" s="2" t="s">
        <v>6414</v>
      </c>
      <c r="D1338" s="2" t="s">
        <v>6415</v>
      </c>
      <c r="E1338" s="10" t="s">
        <v>6416</v>
      </c>
      <c r="F1338" s="2" t="s">
        <v>2970</v>
      </c>
      <c r="G1338" s="2"/>
      <c r="H1338" s="2"/>
      <c r="I1338" s="2" t="s">
        <v>6414</v>
      </c>
    </row>
    <row r="1339" ht="15.75" hidden="1" customHeight="1">
      <c r="A1339" s="9">
        <v>7267075.0</v>
      </c>
      <c r="B1339" s="2" t="s">
        <v>6418</v>
      </c>
      <c r="C1339" s="2" t="s">
        <v>6419</v>
      </c>
      <c r="D1339" s="2" t="s">
        <v>6420</v>
      </c>
      <c r="E1339" s="10" t="s">
        <v>6421</v>
      </c>
      <c r="F1339" s="2" t="s">
        <v>2970</v>
      </c>
      <c r="G1339" s="2"/>
      <c r="H1339" s="2"/>
      <c r="I1339" s="2" t="s">
        <v>6419</v>
      </c>
    </row>
    <row r="1340" ht="15.75" hidden="1" customHeight="1">
      <c r="A1340" s="9">
        <v>7267076.0</v>
      </c>
      <c r="B1340" s="2" t="s">
        <v>6422</v>
      </c>
      <c r="C1340" s="2" t="s">
        <v>6423</v>
      </c>
      <c r="D1340" s="2" t="s">
        <v>6424</v>
      </c>
      <c r="E1340" s="10" t="s">
        <v>6425</v>
      </c>
      <c r="F1340" s="2" t="s">
        <v>2970</v>
      </c>
      <c r="G1340" s="2"/>
      <c r="H1340" s="2"/>
      <c r="I1340" s="2" t="s">
        <v>6423</v>
      </c>
    </row>
    <row r="1341" ht="15.75" hidden="1" customHeight="1">
      <c r="A1341" s="9">
        <v>7267077.0</v>
      </c>
      <c r="B1341" s="2" t="s">
        <v>6426</v>
      </c>
      <c r="C1341" s="2" t="s">
        <v>6427</v>
      </c>
      <c r="D1341" s="2" t="s">
        <v>6428</v>
      </c>
      <c r="E1341" s="10" t="s">
        <v>6429</v>
      </c>
      <c r="F1341" s="2" t="s">
        <v>2970</v>
      </c>
      <c r="G1341" s="2"/>
      <c r="H1341" s="2"/>
      <c r="I1341" s="2" t="s">
        <v>6427</v>
      </c>
    </row>
    <row r="1342" ht="15.75" hidden="1" customHeight="1">
      <c r="A1342" s="9">
        <v>7267078.0</v>
      </c>
      <c r="B1342" s="2" t="s">
        <v>6430</v>
      </c>
      <c r="C1342" s="2" t="s">
        <v>6431</v>
      </c>
      <c r="D1342" s="2" t="s">
        <v>6432</v>
      </c>
      <c r="E1342" s="10" t="s">
        <v>6433</v>
      </c>
      <c r="F1342" s="2" t="s">
        <v>2970</v>
      </c>
      <c r="G1342" s="2"/>
      <c r="H1342" s="2"/>
      <c r="I1342" s="2" t="s">
        <v>6431</v>
      </c>
    </row>
    <row r="1343" ht="15.75" hidden="1" customHeight="1">
      <c r="A1343" s="9">
        <v>7267079.0</v>
      </c>
      <c r="B1343" s="2" t="s">
        <v>6434</v>
      </c>
      <c r="C1343" s="2" t="s">
        <v>6435</v>
      </c>
      <c r="D1343" s="2" t="s">
        <v>6437</v>
      </c>
      <c r="E1343" s="10" t="s">
        <v>6438</v>
      </c>
      <c r="F1343" s="2" t="s">
        <v>2970</v>
      </c>
      <c r="G1343" s="2"/>
      <c r="H1343" s="2"/>
      <c r="I1343" s="2" t="s">
        <v>6435</v>
      </c>
    </row>
    <row r="1344" ht="15.75" hidden="1" customHeight="1">
      <c r="A1344" s="9">
        <v>7267080.0</v>
      </c>
      <c r="B1344" s="2" t="s">
        <v>6439</v>
      </c>
      <c r="C1344" s="2" t="s">
        <v>6440</v>
      </c>
      <c r="D1344" s="2" t="s">
        <v>6441</v>
      </c>
      <c r="E1344" s="10" t="s">
        <v>6442</v>
      </c>
      <c r="F1344" s="2" t="s">
        <v>2970</v>
      </c>
      <c r="G1344" s="2"/>
      <c r="H1344" s="2"/>
      <c r="I1344" s="2" t="s">
        <v>6440</v>
      </c>
    </row>
    <row r="1345" ht="15.75" hidden="1" customHeight="1">
      <c r="A1345" s="9">
        <v>7267081.0</v>
      </c>
      <c r="B1345" s="2" t="s">
        <v>6443</v>
      </c>
      <c r="C1345" s="2" t="s">
        <v>6444</v>
      </c>
      <c r="D1345" s="2" t="s">
        <v>6445</v>
      </c>
      <c r="E1345" s="10" t="s">
        <v>6446</v>
      </c>
      <c r="F1345" s="2" t="s">
        <v>2970</v>
      </c>
      <c r="G1345" s="2"/>
      <c r="H1345" s="2"/>
      <c r="I1345" s="2" t="s">
        <v>6444</v>
      </c>
    </row>
    <row r="1346" ht="15.75" hidden="1" customHeight="1">
      <c r="A1346" s="9">
        <v>7267082.0</v>
      </c>
      <c r="B1346" s="2" t="s">
        <v>6447</v>
      </c>
      <c r="C1346" s="2" t="s">
        <v>6448</v>
      </c>
      <c r="D1346" s="2" t="s">
        <v>6449</v>
      </c>
      <c r="E1346" s="10" t="s">
        <v>6451</v>
      </c>
      <c r="F1346" s="2" t="s">
        <v>2970</v>
      </c>
      <c r="G1346" s="2"/>
      <c r="H1346" s="2"/>
      <c r="I1346" s="2" t="s">
        <v>6448</v>
      </c>
    </row>
    <row r="1347" ht="15.75" hidden="1" customHeight="1">
      <c r="A1347" s="9">
        <v>7267083.0</v>
      </c>
      <c r="B1347" s="2" t="s">
        <v>6452</v>
      </c>
      <c r="C1347" s="2" t="s">
        <v>6453</v>
      </c>
      <c r="D1347" s="2" t="s">
        <v>3047</v>
      </c>
      <c r="E1347" s="10" t="s">
        <v>3053</v>
      </c>
      <c r="F1347" s="2" t="s">
        <v>2970</v>
      </c>
      <c r="G1347" s="2"/>
      <c r="H1347" s="2"/>
      <c r="I1347" s="2" t="s">
        <v>6453</v>
      </c>
    </row>
    <row r="1348" ht="15.75" hidden="1" customHeight="1">
      <c r="A1348" s="9">
        <v>7267084.0</v>
      </c>
      <c r="B1348" s="2" t="s">
        <v>6455</v>
      </c>
      <c r="C1348" s="2" t="s">
        <v>6456</v>
      </c>
      <c r="D1348" s="2" t="s">
        <v>6457</v>
      </c>
      <c r="E1348" s="10" t="s">
        <v>6458</v>
      </c>
      <c r="F1348" s="2" t="s">
        <v>2970</v>
      </c>
      <c r="G1348" s="2"/>
      <c r="H1348" s="2"/>
      <c r="I1348" s="2" t="s">
        <v>6456</v>
      </c>
    </row>
    <row r="1349" ht="15.75" hidden="1" customHeight="1">
      <c r="A1349" s="9">
        <v>7267085.0</v>
      </c>
      <c r="B1349" s="2" t="s">
        <v>6459</v>
      </c>
      <c r="C1349" s="2" t="s">
        <v>6460</v>
      </c>
      <c r="D1349" s="2" t="s">
        <v>6461</v>
      </c>
      <c r="E1349" s="10" t="s">
        <v>6462</v>
      </c>
      <c r="F1349" s="2" t="s">
        <v>2970</v>
      </c>
      <c r="G1349" s="2"/>
      <c r="H1349" s="2"/>
      <c r="I1349" s="2" t="s">
        <v>6460</v>
      </c>
    </row>
    <row r="1350" ht="15.75" hidden="1" customHeight="1">
      <c r="A1350" s="9">
        <v>7267086.0</v>
      </c>
      <c r="B1350" s="2" t="s">
        <v>6463</v>
      </c>
      <c r="C1350" s="2" t="s">
        <v>6464</v>
      </c>
      <c r="D1350" s="2" t="s">
        <v>6465</v>
      </c>
      <c r="E1350" s="10" t="s">
        <v>6466</v>
      </c>
      <c r="F1350" s="2" t="s">
        <v>2970</v>
      </c>
      <c r="G1350" s="2"/>
      <c r="H1350" s="2"/>
      <c r="I1350" s="2" t="s">
        <v>6464</v>
      </c>
    </row>
    <row r="1351" ht="15.75" hidden="1" customHeight="1">
      <c r="A1351" s="9">
        <v>7267087.0</v>
      </c>
      <c r="B1351" s="2" t="s">
        <v>6469</v>
      </c>
      <c r="C1351" s="2" t="s">
        <v>6470</v>
      </c>
      <c r="D1351" s="2" t="s">
        <v>6471</v>
      </c>
      <c r="E1351" s="10" t="s">
        <v>6472</v>
      </c>
      <c r="F1351" s="2" t="s">
        <v>2970</v>
      </c>
      <c r="G1351" s="2"/>
      <c r="H1351" s="2"/>
      <c r="I1351" s="2" t="s">
        <v>6470</v>
      </c>
    </row>
    <row r="1352" ht="15.75" hidden="1" customHeight="1">
      <c r="A1352" s="9">
        <v>7267088.0</v>
      </c>
      <c r="B1352" s="2" t="s">
        <v>6473</v>
      </c>
      <c r="C1352" s="2" t="s">
        <v>6475</v>
      </c>
      <c r="D1352" s="2" t="s">
        <v>6476</v>
      </c>
      <c r="E1352" s="10" t="s">
        <v>6477</v>
      </c>
      <c r="F1352" s="2" t="s">
        <v>2970</v>
      </c>
      <c r="G1352" s="2"/>
      <c r="H1352" s="2"/>
      <c r="I1352" s="2" t="s">
        <v>6475</v>
      </c>
    </row>
    <row r="1353" ht="15.75" hidden="1" customHeight="1">
      <c r="A1353" s="9">
        <v>7267089.0</v>
      </c>
      <c r="B1353" s="2" t="s">
        <v>6478</v>
      </c>
      <c r="C1353" s="2" t="s">
        <v>6479</v>
      </c>
      <c r="D1353" s="2" t="s">
        <v>6480</v>
      </c>
      <c r="E1353" s="10" t="s">
        <v>6481</v>
      </c>
      <c r="F1353" s="2" t="s">
        <v>2970</v>
      </c>
      <c r="G1353" s="2"/>
      <c r="H1353" s="2"/>
      <c r="I1353" s="2" t="s">
        <v>6479</v>
      </c>
    </row>
    <row r="1354" ht="15.75" hidden="1" customHeight="1">
      <c r="A1354" s="9">
        <v>7267090.0</v>
      </c>
      <c r="B1354" s="2" t="s">
        <v>6482</v>
      </c>
      <c r="C1354" s="2" t="s">
        <v>6483</v>
      </c>
      <c r="D1354" s="2" t="s">
        <v>2958</v>
      </c>
      <c r="E1354" s="10" t="s">
        <v>2965</v>
      </c>
      <c r="F1354" s="2" t="s">
        <v>2970</v>
      </c>
      <c r="G1354" s="2"/>
      <c r="H1354" s="2"/>
      <c r="I1354" s="2" t="s">
        <v>6483</v>
      </c>
    </row>
    <row r="1355" ht="15.75" hidden="1" customHeight="1">
      <c r="A1355" s="9">
        <v>7267091.0</v>
      </c>
      <c r="B1355" s="2" t="s">
        <v>6485</v>
      </c>
      <c r="C1355" s="2" t="s">
        <v>6486</v>
      </c>
      <c r="D1355" s="2" t="s">
        <v>6487</v>
      </c>
      <c r="E1355" s="10" t="s">
        <v>6488</v>
      </c>
      <c r="F1355" s="2" t="s">
        <v>2970</v>
      </c>
      <c r="G1355" s="2"/>
      <c r="H1355" s="2"/>
      <c r="I1355" s="2" t="s">
        <v>6486</v>
      </c>
    </row>
    <row r="1356" ht="15.75" hidden="1" customHeight="1">
      <c r="A1356" s="9">
        <v>7267092.0</v>
      </c>
      <c r="B1356" s="2" t="s">
        <v>6490</v>
      </c>
      <c r="C1356" s="2" t="s">
        <v>6491</v>
      </c>
      <c r="D1356" s="2" t="s">
        <v>6492</v>
      </c>
      <c r="E1356" s="10" t="s">
        <v>6493</v>
      </c>
      <c r="F1356" s="2" t="s">
        <v>47</v>
      </c>
      <c r="G1356" s="2"/>
      <c r="H1356" s="2"/>
      <c r="I1356" s="2" t="s">
        <v>6491</v>
      </c>
    </row>
    <row r="1357" ht="15.75" hidden="1" customHeight="1">
      <c r="A1357" s="9">
        <v>7267093.0</v>
      </c>
      <c r="B1357" s="2" t="s">
        <v>6494</v>
      </c>
      <c r="C1357" s="2" t="s">
        <v>6495</v>
      </c>
      <c r="D1357" s="2" t="s">
        <v>6496</v>
      </c>
      <c r="E1357" s="10" t="s">
        <v>6497</v>
      </c>
      <c r="F1357" s="2" t="s">
        <v>47</v>
      </c>
      <c r="G1357" s="2"/>
      <c r="H1357" s="2"/>
      <c r="I1357" s="2" t="s">
        <v>6495</v>
      </c>
    </row>
    <row r="1358" ht="15.75" hidden="1" customHeight="1">
      <c r="A1358" s="9">
        <v>7267094.0</v>
      </c>
      <c r="B1358" s="2" t="s">
        <v>6498</v>
      </c>
      <c r="C1358" s="2" t="s">
        <v>6499</v>
      </c>
      <c r="D1358" s="2" t="s">
        <v>6500</v>
      </c>
      <c r="E1358" s="10" t="s">
        <v>6501</v>
      </c>
      <c r="F1358" s="2" t="s">
        <v>47</v>
      </c>
      <c r="G1358" s="2"/>
      <c r="H1358" s="2"/>
      <c r="I1358" s="2" t="s">
        <v>6499</v>
      </c>
    </row>
    <row r="1359" ht="15.75" hidden="1" customHeight="1">
      <c r="A1359" s="9">
        <v>7267095.0</v>
      </c>
      <c r="B1359" s="2" t="s">
        <v>6503</v>
      </c>
      <c r="C1359" s="2" t="s">
        <v>6504</v>
      </c>
      <c r="D1359" s="2" t="s">
        <v>6506</v>
      </c>
      <c r="E1359" s="10" t="s">
        <v>6507</v>
      </c>
      <c r="F1359" s="2" t="s">
        <v>47</v>
      </c>
      <c r="G1359" s="2"/>
      <c r="H1359" s="2"/>
      <c r="I1359" s="2" t="s">
        <v>6504</v>
      </c>
    </row>
    <row r="1360" ht="15.75" hidden="1" customHeight="1">
      <c r="A1360" s="9">
        <v>7267096.0</v>
      </c>
      <c r="B1360" s="2" t="s">
        <v>6509</v>
      </c>
      <c r="C1360" s="2" t="s">
        <v>6510</v>
      </c>
      <c r="D1360" s="2" t="s">
        <v>6511</v>
      </c>
      <c r="E1360" s="10" t="s">
        <v>6513</v>
      </c>
      <c r="F1360" s="2" t="s">
        <v>47</v>
      </c>
      <c r="G1360" s="2"/>
      <c r="H1360" s="2"/>
      <c r="I1360" s="2" t="s">
        <v>6510</v>
      </c>
    </row>
    <row r="1361" ht="15.75" hidden="1" customHeight="1">
      <c r="A1361" s="9">
        <v>7267097.0</v>
      </c>
      <c r="B1361" s="2" t="s">
        <v>6514</v>
      </c>
      <c r="C1361" s="2" t="s">
        <v>6515</v>
      </c>
      <c r="D1361" s="2" t="s">
        <v>6516</v>
      </c>
      <c r="E1361" s="10" t="s">
        <v>6517</v>
      </c>
      <c r="F1361" s="2" t="s">
        <v>47</v>
      </c>
      <c r="G1361" s="2"/>
      <c r="H1361" s="2"/>
      <c r="I1361" s="2" t="s">
        <v>6515</v>
      </c>
    </row>
    <row r="1362" ht="15.75" hidden="1" customHeight="1">
      <c r="A1362" s="9">
        <v>7267099.0</v>
      </c>
      <c r="B1362" s="2" t="s">
        <v>6518</v>
      </c>
      <c r="C1362" s="2" t="s">
        <v>6519</v>
      </c>
      <c r="D1362" s="2" t="s">
        <v>6520</v>
      </c>
      <c r="E1362" s="10" t="s">
        <v>6522</v>
      </c>
      <c r="F1362" s="2" t="s">
        <v>47</v>
      </c>
      <c r="G1362" s="2"/>
      <c r="H1362" s="2"/>
      <c r="I1362" s="2" t="s">
        <v>6519</v>
      </c>
    </row>
    <row r="1363" ht="15.75" hidden="1" customHeight="1">
      <c r="A1363" s="9">
        <v>7267100.0</v>
      </c>
      <c r="B1363" s="2" t="s">
        <v>6524</v>
      </c>
      <c r="C1363" s="2" t="s">
        <v>6525</v>
      </c>
      <c r="D1363" s="2" t="s">
        <v>6526</v>
      </c>
      <c r="E1363" s="10" t="s">
        <v>6527</v>
      </c>
      <c r="F1363" s="2" t="s">
        <v>47</v>
      </c>
      <c r="G1363" s="2"/>
      <c r="H1363" s="2"/>
      <c r="I1363" s="2" t="s">
        <v>6525</v>
      </c>
    </row>
    <row r="1364" ht="15.75" hidden="1" customHeight="1">
      <c r="A1364" s="9">
        <v>7267101.0</v>
      </c>
      <c r="B1364" s="2" t="s">
        <v>6529</v>
      </c>
      <c r="C1364" s="2" t="s">
        <v>6530</v>
      </c>
      <c r="D1364" s="2" t="s">
        <v>2426</v>
      </c>
      <c r="E1364" s="10" t="s">
        <v>2430</v>
      </c>
      <c r="F1364" s="2" t="s">
        <v>47</v>
      </c>
      <c r="G1364" s="2"/>
      <c r="H1364" s="2"/>
      <c r="I1364" s="2" t="s">
        <v>6530</v>
      </c>
    </row>
    <row r="1365" ht="15.75" hidden="1" customHeight="1">
      <c r="A1365" s="9">
        <v>7267102.0</v>
      </c>
      <c r="B1365" s="2" t="s">
        <v>6531</v>
      </c>
      <c r="C1365" s="2" t="s">
        <v>6532</v>
      </c>
      <c r="D1365" s="2" t="s">
        <v>6533</v>
      </c>
      <c r="E1365" s="10" t="s">
        <v>6534</v>
      </c>
      <c r="F1365" s="2" t="s">
        <v>47</v>
      </c>
      <c r="G1365" s="2"/>
      <c r="H1365" s="2"/>
      <c r="I1365" s="2" t="s">
        <v>6532</v>
      </c>
    </row>
    <row r="1366" ht="15.75" hidden="1" customHeight="1">
      <c r="A1366" s="9">
        <v>7267103.0</v>
      </c>
      <c r="B1366" s="2" t="s">
        <v>6535</v>
      </c>
      <c r="C1366" s="2" t="s">
        <v>6536</v>
      </c>
      <c r="D1366" s="2" t="s">
        <v>6537</v>
      </c>
      <c r="E1366" s="10" t="s">
        <v>6538</v>
      </c>
      <c r="F1366" s="2" t="s">
        <v>47</v>
      </c>
      <c r="G1366" s="2"/>
      <c r="H1366" s="2"/>
      <c r="I1366" s="2" t="s">
        <v>6536</v>
      </c>
    </row>
    <row r="1367" ht="15.75" hidden="1" customHeight="1">
      <c r="A1367" s="9">
        <v>7267104.0</v>
      </c>
      <c r="B1367" s="2" t="s">
        <v>6540</v>
      </c>
      <c r="C1367" s="2" t="s">
        <v>6541</v>
      </c>
      <c r="D1367" s="2" t="s">
        <v>6542</v>
      </c>
      <c r="E1367" s="10" t="s">
        <v>6543</v>
      </c>
      <c r="F1367" s="2" t="s">
        <v>47</v>
      </c>
      <c r="G1367" s="2"/>
      <c r="H1367" s="2"/>
      <c r="I1367" s="2" t="s">
        <v>6541</v>
      </c>
    </row>
    <row r="1368" ht="15.75" hidden="1" customHeight="1">
      <c r="A1368" s="9">
        <v>7267105.0</v>
      </c>
      <c r="B1368" s="2" t="s">
        <v>6545</v>
      </c>
      <c r="C1368" s="2" t="s">
        <v>6546</v>
      </c>
      <c r="D1368" s="2" t="s">
        <v>6547</v>
      </c>
      <c r="E1368" s="10" t="s">
        <v>6548</v>
      </c>
      <c r="F1368" s="2" t="s">
        <v>47</v>
      </c>
      <c r="G1368" s="2"/>
      <c r="H1368" s="2"/>
      <c r="I1368" s="2" t="s">
        <v>6546</v>
      </c>
    </row>
    <row r="1369" ht="15.75" hidden="1" customHeight="1">
      <c r="A1369" s="9">
        <v>7267106.0</v>
      </c>
      <c r="B1369" s="2" t="s">
        <v>6549</v>
      </c>
      <c r="C1369" s="2" t="s">
        <v>6550</v>
      </c>
      <c r="D1369" s="2" t="s">
        <v>6551</v>
      </c>
      <c r="E1369" s="10" t="s">
        <v>6552</v>
      </c>
      <c r="F1369" s="2" t="s">
        <v>47</v>
      </c>
      <c r="G1369" s="2"/>
      <c r="H1369" s="2"/>
      <c r="I1369" s="2" t="s">
        <v>6550</v>
      </c>
    </row>
    <row r="1370" ht="15.75" hidden="1" customHeight="1">
      <c r="A1370" s="9">
        <v>7267107.0</v>
      </c>
      <c r="B1370" s="2" t="s">
        <v>6553</v>
      </c>
      <c r="C1370" s="2" t="s">
        <v>6554</v>
      </c>
      <c r="D1370" s="2" t="s">
        <v>6555</v>
      </c>
      <c r="E1370" s="10" t="s">
        <v>6556</v>
      </c>
      <c r="F1370" s="2" t="s">
        <v>47</v>
      </c>
      <c r="G1370" s="2"/>
      <c r="H1370" s="2"/>
      <c r="I1370" s="2" t="s">
        <v>6554</v>
      </c>
    </row>
    <row r="1371" ht="15.75" hidden="1" customHeight="1">
      <c r="A1371" s="9">
        <v>7267108.0</v>
      </c>
      <c r="B1371" s="2" t="s">
        <v>6558</v>
      </c>
      <c r="C1371" s="2" t="s">
        <v>6559</v>
      </c>
      <c r="D1371" s="2" t="s">
        <v>6560</v>
      </c>
      <c r="E1371" s="10" t="s">
        <v>6561</v>
      </c>
      <c r="F1371" s="2" t="s">
        <v>47</v>
      </c>
      <c r="G1371" s="2"/>
      <c r="H1371" s="2"/>
      <c r="I1371" s="2" t="s">
        <v>6559</v>
      </c>
    </row>
    <row r="1372" ht="15.75" hidden="1" customHeight="1">
      <c r="A1372" s="9">
        <v>7267109.0</v>
      </c>
      <c r="B1372" s="2" t="s">
        <v>6562</v>
      </c>
      <c r="C1372" s="2" t="s">
        <v>6563</v>
      </c>
      <c r="D1372" s="2" t="s">
        <v>6564</v>
      </c>
      <c r="E1372" s="10" t="s">
        <v>6565</v>
      </c>
      <c r="F1372" s="2" t="s">
        <v>47</v>
      </c>
      <c r="G1372" s="2"/>
      <c r="H1372" s="2"/>
      <c r="I1372" s="2" t="s">
        <v>6563</v>
      </c>
    </row>
    <row r="1373" ht="15.75" hidden="1" customHeight="1">
      <c r="A1373" s="9">
        <v>7267110.0</v>
      </c>
      <c r="B1373" s="2" t="s">
        <v>6567</v>
      </c>
      <c r="C1373" s="2" t="s">
        <v>6568</v>
      </c>
      <c r="D1373" s="2" t="s">
        <v>6569</v>
      </c>
      <c r="E1373" s="10" t="s">
        <v>6570</v>
      </c>
      <c r="F1373" s="2" t="s">
        <v>47</v>
      </c>
      <c r="G1373" s="2"/>
      <c r="H1373" s="2"/>
      <c r="I1373" s="2" t="s">
        <v>6568</v>
      </c>
    </row>
    <row r="1374" ht="15.75" hidden="1" customHeight="1">
      <c r="A1374" s="9">
        <v>7267111.0</v>
      </c>
      <c r="B1374" s="2" t="s">
        <v>6571</v>
      </c>
      <c r="C1374" s="2" t="s">
        <v>6572</v>
      </c>
      <c r="D1374" s="2" t="s">
        <v>6573</v>
      </c>
      <c r="E1374" s="10" t="s">
        <v>6574</v>
      </c>
      <c r="F1374" s="2" t="s">
        <v>47</v>
      </c>
      <c r="G1374" s="2"/>
      <c r="H1374" s="2"/>
      <c r="I1374" s="2" t="s">
        <v>6572</v>
      </c>
    </row>
    <row r="1375" ht="15.75" hidden="1" customHeight="1">
      <c r="A1375" s="9">
        <v>7267112.0</v>
      </c>
      <c r="B1375" s="2" t="s">
        <v>6575</v>
      </c>
      <c r="C1375" s="2" t="s">
        <v>6576</v>
      </c>
      <c r="D1375" s="2" t="s">
        <v>6577</v>
      </c>
      <c r="E1375" s="10" t="s">
        <v>6578</v>
      </c>
      <c r="F1375" s="2" t="s">
        <v>47</v>
      </c>
      <c r="G1375" s="2"/>
      <c r="H1375" s="2"/>
      <c r="I1375" s="2" t="s">
        <v>6576</v>
      </c>
    </row>
    <row r="1376" ht="15.75" hidden="1" customHeight="1">
      <c r="A1376" s="9">
        <v>7267113.0</v>
      </c>
      <c r="B1376" s="2" t="s">
        <v>6580</v>
      </c>
      <c r="C1376" s="2" t="s">
        <v>6581</v>
      </c>
      <c r="D1376" s="2" t="s">
        <v>6583</v>
      </c>
      <c r="E1376" s="10" t="s">
        <v>6584</v>
      </c>
      <c r="F1376" s="2" t="s">
        <v>47</v>
      </c>
      <c r="G1376" s="2"/>
      <c r="H1376" s="2"/>
      <c r="I1376" s="2" t="s">
        <v>6581</v>
      </c>
    </row>
    <row r="1377" ht="15.75" hidden="1" customHeight="1">
      <c r="A1377" s="9">
        <v>7267114.0</v>
      </c>
      <c r="B1377" s="2" t="s">
        <v>6586</v>
      </c>
      <c r="C1377" s="2" t="s">
        <v>6588</v>
      </c>
      <c r="D1377" s="2" t="s">
        <v>6589</v>
      </c>
      <c r="E1377" s="10" t="s">
        <v>6590</v>
      </c>
      <c r="F1377" s="2" t="s">
        <v>47</v>
      </c>
      <c r="G1377" s="2"/>
      <c r="H1377" s="2"/>
      <c r="I1377" s="2" t="s">
        <v>6588</v>
      </c>
    </row>
    <row r="1378" ht="15.75" hidden="1" customHeight="1">
      <c r="A1378" s="9">
        <v>7267115.0</v>
      </c>
      <c r="B1378" s="2" t="s">
        <v>6591</v>
      </c>
      <c r="C1378" s="2" t="s">
        <v>6592</v>
      </c>
      <c r="D1378" s="2" t="s">
        <v>6593</v>
      </c>
      <c r="E1378" s="10" t="s">
        <v>6594</v>
      </c>
      <c r="F1378" s="2" t="s">
        <v>47</v>
      </c>
      <c r="G1378" s="2"/>
      <c r="H1378" s="2"/>
      <c r="I1378" s="2" t="s">
        <v>6592</v>
      </c>
    </row>
    <row r="1379" ht="15.75" hidden="1" customHeight="1">
      <c r="A1379" s="9">
        <v>7267116.0</v>
      </c>
      <c r="B1379" s="2" t="s">
        <v>6595</v>
      </c>
      <c r="C1379" s="2" t="s">
        <v>6596</v>
      </c>
      <c r="D1379" s="2" t="s">
        <v>6597</v>
      </c>
      <c r="E1379" s="10" t="s">
        <v>6598</v>
      </c>
      <c r="F1379" s="2" t="s">
        <v>47</v>
      </c>
      <c r="G1379" s="2"/>
      <c r="H1379" s="2"/>
      <c r="I1379" s="2" t="s">
        <v>6596</v>
      </c>
    </row>
    <row r="1380" ht="15.75" hidden="1" customHeight="1">
      <c r="A1380" s="9">
        <v>7267117.0</v>
      </c>
      <c r="B1380" s="2" t="s">
        <v>6599</v>
      </c>
      <c r="C1380" s="2" t="s">
        <v>6600</v>
      </c>
      <c r="D1380" s="2" t="s">
        <v>3077</v>
      </c>
      <c r="E1380" s="10" t="s">
        <v>3084</v>
      </c>
      <c r="F1380" s="2" t="s">
        <v>47</v>
      </c>
      <c r="G1380" s="2"/>
      <c r="H1380" s="2"/>
      <c r="I1380" s="2" t="s">
        <v>6600</v>
      </c>
    </row>
    <row r="1381" ht="15.75" hidden="1" customHeight="1">
      <c r="A1381" s="9">
        <v>7267118.0</v>
      </c>
      <c r="B1381" s="2" t="s">
        <v>6602</v>
      </c>
      <c r="C1381" s="2" t="s">
        <v>6603</v>
      </c>
      <c r="D1381" s="2" t="s">
        <v>6604</v>
      </c>
      <c r="E1381" s="10" t="s">
        <v>6605</v>
      </c>
      <c r="F1381" s="2" t="s">
        <v>47</v>
      </c>
      <c r="G1381" s="2"/>
      <c r="H1381" s="2"/>
      <c r="I1381" s="2" t="s">
        <v>6603</v>
      </c>
    </row>
    <row r="1382" ht="15.75" hidden="1" customHeight="1">
      <c r="A1382" s="9">
        <v>7267119.0</v>
      </c>
      <c r="B1382" s="2" t="s">
        <v>6607</v>
      </c>
      <c r="C1382" s="2" t="s">
        <v>6608</v>
      </c>
      <c r="D1382" s="2" t="s">
        <v>6609</v>
      </c>
      <c r="E1382" s="10" t="s">
        <v>6610</v>
      </c>
      <c r="F1382" s="2" t="s">
        <v>47</v>
      </c>
      <c r="G1382" s="2"/>
      <c r="H1382" s="2"/>
      <c r="I1382" s="2" t="s">
        <v>6608</v>
      </c>
    </row>
    <row r="1383" ht="15.75" hidden="1" customHeight="1">
      <c r="A1383" s="9">
        <v>7267120.0</v>
      </c>
      <c r="B1383" s="2" t="s">
        <v>6611</v>
      </c>
      <c r="C1383" s="2" t="s">
        <v>6612</v>
      </c>
      <c r="D1383" s="2" t="s">
        <v>2835</v>
      </c>
      <c r="E1383" s="10" t="s">
        <v>2842</v>
      </c>
      <c r="F1383" s="2" t="s">
        <v>47</v>
      </c>
      <c r="G1383" s="2"/>
      <c r="H1383" s="2"/>
      <c r="I1383" s="2" t="s">
        <v>6612</v>
      </c>
    </row>
    <row r="1384" ht="15.75" hidden="1" customHeight="1">
      <c r="A1384" s="9">
        <v>7267121.0</v>
      </c>
      <c r="B1384" s="2" t="s">
        <v>4395</v>
      </c>
      <c r="C1384" s="2" t="s">
        <v>6613</v>
      </c>
      <c r="D1384" s="2" t="s">
        <v>6614</v>
      </c>
      <c r="E1384" s="10" t="s">
        <v>6615</v>
      </c>
      <c r="F1384" s="2" t="s">
        <v>98</v>
      </c>
      <c r="G1384" s="2"/>
      <c r="H1384" s="2"/>
      <c r="I1384" s="2" t="s">
        <v>6613</v>
      </c>
    </row>
    <row r="1385" ht="15.75" hidden="1" customHeight="1">
      <c r="A1385" s="9">
        <v>7267122.0</v>
      </c>
      <c r="B1385" s="2" t="s">
        <v>6617</v>
      </c>
      <c r="C1385" s="2" t="s">
        <v>6618</v>
      </c>
      <c r="D1385" s="2" t="s">
        <v>6619</v>
      </c>
      <c r="E1385" s="10" t="s">
        <v>6620</v>
      </c>
      <c r="F1385" s="2" t="s">
        <v>98</v>
      </c>
      <c r="G1385" s="2"/>
      <c r="H1385" s="2"/>
      <c r="I1385" s="2" t="s">
        <v>6618</v>
      </c>
    </row>
    <row r="1386" ht="15.75" hidden="1" customHeight="1">
      <c r="A1386" s="9">
        <v>7267123.0</v>
      </c>
      <c r="B1386" s="2" t="s">
        <v>6622</v>
      </c>
      <c r="C1386" s="2" t="s">
        <v>6623</v>
      </c>
      <c r="D1386" s="2" t="s">
        <v>6624</v>
      </c>
      <c r="E1386" s="10" t="s">
        <v>6625</v>
      </c>
      <c r="F1386" s="2" t="s">
        <v>98</v>
      </c>
      <c r="G1386" s="2"/>
      <c r="H1386" s="2"/>
      <c r="I1386" s="2" t="s">
        <v>6623</v>
      </c>
    </row>
    <row r="1387" ht="15.75" hidden="1" customHeight="1">
      <c r="A1387" s="9">
        <v>7267124.0</v>
      </c>
      <c r="B1387" s="2" t="s">
        <v>6626</v>
      </c>
      <c r="C1387" s="2" t="s">
        <v>6627</v>
      </c>
      <c r="D1387" s="2" t="s">
        <v>6628</v>
      </c>
      <c r="E1387" s="10" t="s">
        <v>6629</v>
      </c>
      <c r="F1387" s="2" t="s">
        <v>98</v>
      </c>
      <c r="G1387" s="2"/>
      <c r="H1387" s="2"/>
      <c r="I1387" s="2" t="s">
        <v>6627</v>
      </c>
    </row>
    <row r="1388" ht="15.75" hidden="1" customHeight="1">
      <c r="A1388" s="9">
        <v>7267125.0</v>
      </c>
      <c r="B1388" s="2" t="s">
        <v>6630</v>
      </c>
      <c r="C1388" s="2" t="s">
        <v>6631</v>
      </c>
      <c r="D1388" s="2" t="s">
        <v>6632</v>
      </c>
      <c r="E1388" s="10" t="s">
        <v>6633</v>
      </c>
      <c r="F1388" s="2" t="s">
        <v>98</v>
      </c>
      <c r="G1388" s="2"/>
      <c r="H1388" s="2"/>
      <c r="I1388" s="2" t="s">
        <v>6631</v>
      </c>
    </row>
    <row r="1389" ht="15.75" hidden="1" customHeight="1">
      <c r="A1389" s="9">
        <v>7267126.0</v>
      </c>
      <c r="B1389" s="2" t="s">
        <v>6635</v>
      </c>
      <c r="C1389" s="2" t="s">
        <v>6636</v>
      </c>
      <c r="D1389" s="2" t="s">
        <v>6637</v>
      </c>
      <c r="E1389" s="10" t="s">
        <v>6638</v>
      </c>
      <c r="F1389" s="2" t="s">
        <v>98</v>
      </c>
      <c r="G1389" s="2"/>
      <c r="H1389" s="2"/>
      <c r="I1389" s="2" t="s">
        <v>6636</v>
      </c>
    </row>
    <row r="1390" ht="15.75" hidden="1" customHeight="1">
      <c r="A1390" s="9">
        <v>7267127.0</v>
      </c>
      <c r="B1390" s="2" t="s">
        <v>6640</v>
      </c>
      <c r="C1390" s="2" t="s">
        <v>6641</v>
      </c>
      <c r="D1390" s="2" t="s">
        <v>441</v>
      </c>
      <c r="E1390" s="10" t="s">
        <v>447</v>
      </c>
      <c r="F1390" s="2" t="s">
        <v>98</v>
      </c>
      <c r="G1390" s="2"/>
      <c r="H1390" s="2"/>
      <c r="I1390" s="2" t="s">
        <v>6641</v>
      </c>
    </row>
    <row r="1391" ht="15.75" hidden="1" customHeight="1">
      <c r="A1391" s="9">
        <v>7267128.0</v>
      </c>
      <c r="B1391" s="2" t="s">
        <v>1381</v>
      </c>
      <c r="C1391" s="2" t="s">
        <v>6643</v>
      </c>
      <c r="D1391" s="2" t="s">
        <v>6644</v>
      </c>
      <c r="E1391" s="10" t="s">
        <v>6645</v>
      </c>
      <c r="F1391" s="2" t="s">
        <v>98</v>
      </c>
      <c r="G1391" s="2"/>
      <c r="H1391" s="2"/>
      <c r="I1391" s="2" t="s">
        <v>6643</v>
      </c>
    </row>
    <row r="1392" ht="15.75" hidden="1" customHeight="1">
      <c r="A1392" s="9">
        <v>7267129.0</v>
      </c>
      <c r="B1392" s="2" t="s">
        <v>6646</v>
      </c>
      <c r="C1392" s="2" t="s">
        <v>6647</v>
      </c>
      <c r="D1392" s="2" t="s">
        <v>6648</v>
      </c>
      <c r="E1392" s="10" t="s">
        <v>6649</v>
      </c>
      <c r="F1392" s="2" t="s">
        <v>98</v>
      </c>
      <c r="G1392" s="2"/>
      <c r="H1392" s="2"/>
      <c r="I1392" s="2" t="s">
        <v>6647</v>
      </c>
    </row>
    <row r="1393" ht="15.75" hidden="1" customHeight="1">
      <c r="A1393" s="9">
        <v>7267130.0</v>
      </c>
      <c r="B1393" s="2" t="s">
        <v>6650</v>
      </c>
      <c r="C1393" s="2" t="s">
        <v>6651</v>
      </c>
      <c r="D1393" s="2" t="s">
        <v>6652</v>
      </c>
      <c r="E1393" s="10" t="s">
        <v>6653</v>
      </c>
      <c r="F1393" s="2" t="s">
        <v>98</v>
      </c>
      <c r="G1393" s="2"/>
      <c r="H1393" s="2"/>
      <c r="I1393" s="2" t="s">
        <v>6651</v>
      </c>
    </row>
    <row r="1394" ht="15.75" hidden="1" customHeight="1">
      <c r="A1394" s="9">
        <v>7267131.0</v>
      </c>
      <c r="B1394" s="2" t="s">
        <v>6382</v>
      </c>
      <c r="C1394" s="2" t="s">
        <v>6655</v>
      </c>
      <c r="D1394" s="2" t="s">
        <v>6656</v>
      </c>
      <c r="E1394" s="10" t="s">
        <v>6657</v>
      </c>
      <c r="F1394" s="2" t="s">
        <v>98</v>
      </c>
      <c r="G1394" s="2"/>
      <c r="H1394" s="2"/>
      <c r="I1394" s="2" t="s">
        <v>6655</v>
      </c>
    </row>
    <row r="1395" ht="15.75" hidden="1" customHeight="1">
      <c r="A1395" s="9">
        <v>7267132.0</v>
      </c>
      <c r="B1395" s="2" t="s">
        <v>6659</v>
      </c>
      <c r="C1395" s="2" t="s">
        <v>6660</v>
      </c>
      <c r="D1395" s="2" t="s">
        <v>6661</v>
      </c>
      <c r="E1395" s="10" t="s">
        <v>6662</v>
      </c>
      <c r="F1395" s="2" t="s">
        <v>98</v>
      </c>
      <c r="G1395" s="2"/>
      <c r="H1395" s="2"/>
      <c r="I1395" s="2" t="s">
        <v>6660</v>
      </c>
    </row>
    <row r="1396" ht="15.75" hidden="1" customHeight="1">
      <c r="A1396" s="9">
        <v>7267133.0</v>
      </c>
      <c r="B1396" s="2" t="s">
        <v>6663</v>
      </c>
      <c r="C1396" s="2" t="s">
        <v>6664</v>
      </c>
      <c r="D1396" s="2" t="s">
        <v>6665</v>
      </c>
      <c r="E1396" s="10" t="s">
        <v>6666</v>
      </c>
      <c r="F1396" s="2" t="s">
        <v>98</v>
      </c>
      <c r="G1396" s="2"/>
      <c r="H1396" s="2"/>
      <c r="I1396" s="2" t="s">
        <v>6664</v>
      </c>
    </row>
    <row r="1397" ht="15.75" hidden="1" customHeight="1">
      <c r="A1397" s="9">
        <v>7267134.0</v>
      </c>
      <c r="B1397" s="2" t="s">
        <v>6667</v>
      </c>
      <c r="C1397" s="2" t="s">
        <v>6668</v>
      </c>
      <c r="D1397" s="2" t="s">
        <v>6669</v>
      </c>
      <c r="E1397" s="10" t="s">
        <v>6670</v>
      </c>
      <c r="F1397" s="2" t="s">
        <v>98</v>
      </c>
      <c r="G1397" s="2"/>
      <c r="H1397" s="2"/>
      <c r="I1397" s="2" t="s">
        <v>6668</v>
      </c>
    </row>
    <row r="1398" ht="15.75" hidden="1" customHeight="1">
      <c r="A1398" s="9">
        <v>7267136.0</v>
      </c>
      <c r="B1398" s="2" t="s">
        <v>6671</v>
      </c>
      <c r="C1398" s="2" t="s">
        <v>6672</v>
      </c>
      <c r="D1398" s="2" t="s">
        <v>6673</v>
      </c>
      <c r="E1398" s="10" t="s">
        <v>860</v>
      </c>
      <c r="F1398" s="2" t="s">
        <v>98</v>
      </c>
      <c r="G1398" s="2"/>
      <c r="H1398" s="2"/>
      <c r="I1398" s="2" t="s">
        <v>6672</v>
      </c>
    </row>
    <row r="1399" ht="15.75" hidden="1" customHeight="1">
      <c r="A1399" s="9">
        <v>7267137.0</v>
      </c>
      <c r="B1399" s="2" t="s">
        <v>6675</v>
      </c>
      <c r="C1399" s="2" t="s">
        <v>6676</v>
      </c>
      <c r="D1399" s="2" t="s">
        <v>6677</v>
      </c>
      <c r="E1399" s="10" t="s">
        <v>6678</v>
      </c>
      <c r="F1399" s="2" t="s">
        <v>98</v>
      </c>
      <c r="G1399" s="2"/>
      <c r="H1399" s="2"/>
      <c r="I1399" s="2" t="s">
        <v>6676</v>
      </c>
    </row>
    <row r="1400" ht="15.75" hidden="1" customHeight="1">
      <c r="A1400" s="9">
        <v>7267138.0</v>
      </c>
      <c r="B1400" s="2" t="s">
        <v>6679</v>
      </c>
      <c r="C1400" s="2" t="s">
        <v>6680</v>
      </c>
      <c r="D1400" s="2" t="s">
        <v>6681</v>
      </c>
      <c r="E1400" s="10" t="s">
        <v>6682</v>
      </c>
      <c r="F1400" s="2" t="s">
        <v>98</v>
      </c>
      <c r="G1400" s="2"/>
      <c r="H1400" s="2"/>
      <c r="I1400" s="2" t="s">
        <v>6680</v>
      </c>
    </row>
    <row r="1401" ht="15.75" hidden="1" customHeight="1">
      <c r="A1401" s="9">
        <v>7267139.0</v>
      </c>
      <c r="B1401" s="2" t="s">
        <v>6683</v>
      </c>
      <c r="C1401" s="2" t="s">
        <v>6684</v>
      </c>
      <c r="D1401" s="2" t="s">
        <v>6685</v>
      </c>
      <c r="E1401" s="10" t="s">
        <v>6686</v>
      </c>
      <c r="F1401" s="2" t="s">
        <v>98</v>
      </c>
      <c r="G1401" s="2"/>
      <c r="H1401" s="2"/>
      <c r="I1401" s="2" t="s">
        <v>6684</v>
      </c>
    </row>
    <row r="1402" ht="15.75" hidden="1" customHeight="1">
      <c r="A1402" s="9">
        <v>7267140.0</v>
      </c>
      <c r="B1402" s="2" t="s">
        <v>6687</v>
      </c>
      <c r="C1402" s="2" t="s">
        <v>6689</v>
      </c>
      <c r="D1402" s="2" t="s">
        <v>6690</v>
      </c>
      <c r="E1402" s="10" t="s">
        <v>6691</v>
      </c>
      <c r="F1402" s="2" t="s">
        <v>98</v>
      </c>
      <c r="G1402" s="2"/>
      <c r="H1402" s="2"/>
      <c r="I1402" s="2" t="s">
        <v>6689</v>
      </c>
    </row>
    <row r="1403" ht="15.75" hidden="1" customHeight="1">
      <c r="A1403" s="9">
        <v>7267141.0</v>
      </c>
      <c r="B1403" s="2" t="s">
        <v>6692</v>
      </c>
      <c r="C1403" s="2" t="s">
        <v>6693</v>
      </c>
      <c r="D1403" s="2" t="s">
        <v>6694</v>
      </c>
      <c r="E1403" s="10" t="s">
        <v>6696</v>
      </c>
      <c r="F1403" s="2" t="s">
        <v>98</v>
      </c>
      <c r="G1403" s="2"/>
      <c r="H1403" s="2"/>
      <c r="I1403" s="2" t="s">
        <v>6693</v>
      </c>
    </row>
    <row r="1404" ht="15.75" hidden="1" customHeight="1">
      <c r="A1404" s="9">
        <v>7267142.0</v>
      </c>
      <c r="B1404" s="2" t="s">
        <v>6697</v>
      </c>
      <c r="C1404" s="2" t="s">
        <v>6698</v>
      </c>
      <c r="D1404" s="2" t="s">
        <v>6699</v>
      </c>
      <c r="E1404" s="10" t="s">
        <v>6700</v>
      </c>
      <c r="F1404" s="2" t="s">
        <v>98</v>
      </c>
      <c r="G1404" s="2"/>
      <c r="H1404" s="2"/>
      <c r="I1404" s="2" t="s">
        <v>6698</v>
      </c>
    </row>
    <row r="1405" ht="15.75" hidden="1" customHeight="1">
      <c r="A1405" s="9">
        <v>7267143.0</v>
      </c>
      <c r="B1405" s="2" t="s">
        <v>6702</v>
      </c>
      <c r="C1405" s="2" t="s">
        <v>6703</v>
      </c>
      <c r="D1405" s="2" t="s">
        <v>6704</v>
      </c>
      <c r="E1405" s="10" t="s">
        <v>6705</v>
      </c>
      <c r="F1405" s="2" t="s">
        <v>98</v>
      </c>
      <c r="G1405" s="2"/>
      <c r="H1405" s="2"/>
      <c r="I1405" s="2" t="s">
        <v>6703</v>
      </c>
    </row>
    <row r="1406" ht="15.75" hidden="1" customHeight="1">
      <c r="A1406" s="9">
        <v>7267144.0</v>
      </c>
      <c r="B1406" s="2" t="s">
        <v>6707</v>
      </c>
      <c r="C1406" s="2" t="s">
        <v>6708</v>
      </c>
      <c r="D1406" s="2" t="s">
        <v>6710</v>
      </c>
      <c r="E1406" s="10" t="s">
        <v>6711</v>
      </c>
      <c r="F1406" s="2" t="s">
        <v>98</v>
      </c>
      <c r="G1406" s="2"/>
      <c r="H1406" s="2"/>
      <c r="I1406" s="2" t="s">
        <v>6708</v>
      </c>
    </row>
    <row r="1407" ht="15.75" hidden="1" customHeight="1">
      <c r="A1407" s="9">
        <v>7267145.0</v>
      </c>
      <c r="B1407" s="2" t="s">
        <v>6712</v>
      </c>
      <c r="C1407" s="2" t="s">
        <v>6713</v>
      </c>
      <c r="D1407" s="2" t="s">
        <v>6714</v>
      </c>
      <c r="E1407" s="10" t="s">
        <v>6715</v>
      </c>
      <c r="F1407" s="2" t="s">
        <v>98</v>
      </c>
      <c r="G1407" s="2"/>
      <c r="H1407" s="2"/>
      <c r="I1407" s="2" t="s">
        <v>6713</v>
      </c>
    </row>
    <row r="1408" ht="15.75" hidden="1" customHeight="1">
      <c r="A1408" s="9">
        <v>7267146.0</v>
      </c>
      <c r="B1408" s="2" t="s">
        <v>6716</v>
      </c>
      <c r="C1408" s="2" t="s">
        <v>6717</v>
      </c>
      <c r="D1408" s="2" t="s">
        <v>6718</v>
      </c>
      <c r="E1408" s="10" t="s">
        <v>6719</v>
      </c>
      <c r="F1408" s="2" t="s">
        <v>98</v>
      </c>
      <c r="G1408" s="2"/>
      <c r="H1408" s="2"/>
      <c r="I1408" s="2" t="s">
        <v>6717</v>
      </c>
    </row>
    <row r="1409" ht="15.75" hidden="1" customHeight="1">
      <c r="A1409" s="9">
        <v>7267147.0</v>
      </c>
      <c r="B1409" s="2" t="s">
        <v>6720</v>
      </c>
      <c r="C1409" s="2" t="s">
        <v>6721</v>
      </c>
      <c r="D1409" s="2" t="s">
        <v>6722</v>
      </c>
      <c r="E1409" s="10" t="s">
        <v>6723</v>
      </c>
      <c r="F1409" s="2" t="s">
        <v>98</v>
      </c>
      <c r="G1409" s="2"/>
      <c r="H1409" s="2"/>
      <c r="I1409" s="2" t="s">
        <v>6721</v>
      </c>
    </row>
    <row r="1410" ht="15.75" hidden="1" customHeight="1">
      <c r="A1410" s="9">
        <v>7267148.0</v>
      </c>
      <c r="B1410" s="2" t="s">
        <v>6725</v>
      </c>
      <c r="C1410" s="2" t="s">
        <v>6726</v>
      </c>
      <c r="D1410" s="2" t="s">
        <v>6728</v>
      </c>
      <c r="E1410" s="10" t="s">
        <v>6729</v>
      </c>
      <c r="F1410" s="2" t="s">
        <v>98</v>
      </c>
      <c r="G1410" s="2"/>
      <c r="H1410" s="2"/>
      <c r="I1410" s="2" t="s">
        <v>6726</v>
      </c>
    </row>
    <row r="1411" ht="15.75" hidden="1" customHeight="1">
      <c r="A1411" s="9">
        <v>7267149.0</v>
      </c>
      <c r="B1411" s="2" t="s">
        <v>6731</v>
      </c>
      <c r="C1411" s="2" t="s">
        <v>6732</v>
      </c>
      <c r="D1411" s="2" t="s">
        <v>6733</v>
      </c>
      <c r="E1411" s="10" t="s">
        <v>6734</v>
      </c>
      <c r="F1411" s="2" t="s">
        <v>98</v>
      </c>
      <c r="G1411" s="2"/>
      <c r="H1411" s="2"/>
      <c r="I1411" s="2" t="s">
        <v>6732</v>
      </c>
    </row>
    <row r="1412" ht="15.75" hidden="1" customHeight="1">
      <c r="A1412" s="9">
        <v>7267150.0</v>
      </c>
      <c r="B1412" s="2" t="s">
        <v>6736</v>
      </c>
      <c r="C1412" s="2" t="s">
        <v>6737</v>
      </c>
      <c r="D1412" s="2" t="s">
        <v>6738</v>
      </c>
      <c r="E1412" s="10" t="s">
        <v>6739</v>
      </c>
      <c r="F1412" s="2" t="s">
        <v>469</v>
      </c>
      <c r="G1412" s="2"/>
      <c r="H1412" s="2"/>
      <c r="I1412" s="2" t="s">
        <v>6737</v>
      </c>
    </row>
    <row r="1413" ht="15.75" hidden="1" customHeight="1">
      <c r="A1413" s="9">
        <v>7267151.0</v>
      </c>
      <c r="B1413" s="2" t="s">
        <v>6740</v>
      </c>
      <c r="C1413" s="2" t="s">
        <v>6741</v>
      </c>
      <c r="D1413" s="2" t="s">
        <v>6742</v>
      </c>
      <c r="E1413" s="10" t="s">
        <v>6743</v>
      </c>
      <c r="F1413" s="2" t="s">
        <v>469</v>
      </c>
      <c r="G1413" s="2"/>
      <c r="H1413" s="2"/>
      <c r="I1413" s="2" t="s">
        <v>6741</v>
      </c>
    </row>
    <row r="1414" ht="15.75" hidden="1" customHeight="1">
      <c r="A1414" s="9">
        <v>7267152.0</v>
      </c>
      <c r="B1414" s="2" t="s">
        <v>6744</v>
      </c>
      <c r="C1414" s="2" t="s">
        <v>6745</v>
      </c>
      <c r="D1414" s="2" t="s">
        <v>6746</v>
      </c>
      <c r="E1414" s="10" t="s">
        <v>6747</v>
      </c>
      <c r="F1414" s="2" t="s">
        <v>469</v>
      </c>
      <c r="G1414" s="2"/>
      <c r="H1414" s="2"/>
      <c r="I1414" s="2" t="s">
        <v>6745</v>
      </c>
    </row>
    <row r="1415" ht="15.75" hidden="1" customHeight="1">
      <c r="A1415" s="9">
        <v>7267153.0</v>
      </c>
      <c r="B1415" s="2" t="s">
        <v>6749</v>
      </c>
      <c r="C1415" s="2" t="s">
        <v>6750</v>
      </c>
      <c r="D1415" s="2" t="s">
        <v>6751</v>
      </c>
      <c r="E1415" s="10" t="s">
        <v>6752</v>
      </c>
      <c r="F1415" s="2" t="s">
        <v>469</v>
      </c>
      <c r="G1415" s="2"/>
      <c r="H1415" s="2"/>
      <c r="I1415" s="2" t="s">
        <v>6750</v>
      </c>
    </row>
    <row r="1416" ht="15.75" hidden="1" customHeight="1">
      <c r="A1416" s="9">
        <v>7267154.0</v>
      </c>
      <c r="B1416" s="2" t="s">
        <v>6754</v>
      </c>
      <c r="C1416" s="2" t="s">
        <v>6755</v>
      </c>
      <c r="D1416" s="2" t="s">
        <v>4521</v>
      </c>
      <c r="E1416" s="10" t="s">
        <v>4527</v>
      </c>
      <c r="F1416" s="2" t="s">
        <v>469</v>
      </c>
      <c r="G1416" s="2"/>
      <c r="H1416" s="2"/>
      <c r="I1416" s="2" t="s">
        <v>6755</v>
      </c>
    </row>
    <row r="1417" ht="15.75" hidden="1" customHeight="1">
      <c r="A1417" s="9">
        <v>7267155.0</v>
      </c>
      <c r="B1417" s="2" t="s">
        <v>6756</v>
      </c>
      <c r="C1417" s="2" t="s">
        <v>6757</v>
      </c>
      <c r="D1417" s="2" t="s">
        <v>6758</v>
      </c>
      <c r="E1417" s="10" t="s">
        <v>6759</v>
      </c>
      <c r="F1417" s="2" t="s">
        <v>469</v>
      </c>
      <c r="G1417" s="2"/>
      <c r="H1417" s="2"/>
      <c r="I1417" s="2" t="s">
        <v>6757</v>
      </c>
    </row>
    <row r="1418" ht="15.75" hidden="1" customHeight="1">
      <c r="A1418" s="9">
        <v>7267156.0</v>
      </c>
      <c r="B1418" s="2" t="s">
        <v>6760</v>
      </c>
      <c r="C1418" s="2" t="s">
        <v>6761</v>
      </c>
      <c r="D1418" s="2" t="s">
        <v>6763</v>
      </c>
      <c r="E1418" s="10" t="s">
        <v>6764</v>
      </c>
      <c r="F1418" s="2" t="s">
        <v>469</v>
      </c>
      <c r="G1418" s="2"/>
      <c r="H1418" s="2"/>
      <c r="I1418" s="2" t="s">
        <v>6761</v>
      </c>
    </row>
    <row r="1419" ht="15.75" hidden="1" customHeight="1">
      <c r="A1419" s="9">
        <v>7267157.0</v>
      </c>
      <c r="B1419" s="2" t="s">
        <v>6766</v>
      </c>
      <c r="C1419" s="2" t="s">
        <v>6767</v>
      </c>
      <c r="D1419" s="2" t="s">
        <v>6768</v>
      </c>
      <c r="E1419" s="10" t="s">
        <v>6769</v>
      </c>
      <c r="F1419" s="2" t="s">
        <v>469</v>
      </c>
      <c r="G1419" s="2"/>
      <c r="H1419" s="2"/>
      <c r="I1419" s="2" t="s">
        <v>6767</v>
      </c>
    </row>
    <row r="1420" ht="15.75" hidden="1" customHeight="1">
      <c r="A1420" s="9">
        <v>7267158.0</v>
      </c>
      <c r="B1420" s="2" t="s">
        <v>6770</v>
      </c>
      <c r="C1420" s="2" t="s">
        <v>6771</v>
      </c>
      <c r="D1420" s="2" t="s">
        <v>3384</v>
      </c>
      <c r="E1420" s="10" t="s">
        <v>3391</v>
      </c>
      <c r="F1420" s="2" t="s">
        <v>469</v>
      </c>
      <c r="G1420" s="2"/>
      <c r="H1420" s="2"/>
      <c r="I1420" s="2" t="s">
        <v>6771</v>
      </c>
    </row>
    <row r="1421" ht="15.75" hidden="1" customHeight="1">
      <c r="A1421" s="9">
        <v>7267159.0</v>
      </c>
      <c r="B1421" s="2" t="s">
        <v>6773</v>
      </c>
      <c r="C1421" s="2" t="s">
        <v>6774</v>
      </c>
      <c r="D1421" s="2" t="s">
        <v>6775</v>
      </c>
      <c r="E1421" s="10" t="s">
        <v>6776</v>
      </c>
      <c r="F1421" s="2" t="s">
        <v>469</v>
      </c>
      <c r="G1421" s="2"/>
      <c r="H1421" s="2"/>
      <c r="I1421" s="2" t="s">
        <v>6774</v>
      </c>
    </row>
    <row r="1422" ht="15.75" hidden="1" customHeight="1">
      <c r="A1422" s="9">
        <v>7267160.0</v>
      </c>
      <c r="B1422" s="2" t="s">
        <v>6777</v>
      </c>
      <c r="C1422" s="2" t="s">
        <v>6778</v>
      </c>
      <c r="D1422" s="2" t="s">
        <v>6779</v>
      </c>
      <c r="E1422" s="10" t="s">
        <v>6780</v>
      </c>
      <c r="F1422" s="2" t="s">
        <v>469</v>
      </c>
      <c r="G1422" s="2"/>
      <c r="H1422" s="2"/>
      <c r="I1422" s="2" t="s">
        <v>6778</v>
      </c>
    </row>
    <row r="1423" ht="15.75" hidden="1" customHeight="1">
      <c r="A1423" s="9">
        <v>7267161.0</v>
      </c>
      <c r="B1423" s="2" t="s">
        <v>6782</v>
      </c>
      <c r="C1423" s="2" t="s">
        <v>6783</v>
      </c>
      <c r="D1423" s="2" t="s">
        <v>6785</v>
      </c>
      <c r="E1423" s="10" t="s">
        <v>6786</v>
      </c>
      <c r="F1423" s="2" t="s">
        <v>469</v>
      </c>
      <c r="G1423" s="2"/>
      <c r="H1423" s="2"/>
      <c r="I1423" s="2" t="s">
        <v>6783</v>
      </c>
    </row>
    <row r="1424" ht="15.75" hidden="1" customHeight="1">
      <c r="A1424" s="9">
        <v>7267162.0</v>
      </c>
      <c r="B1424" s="2" t="s">
        <v>6787</v>
      </c>
      <c r="C1424" s="2" t="s">
        <v>6788</v>
      </c>
      <c r="D1424" s="2" t="s">
        <v>6724</v>
      </c>
      <c r="E1424" s="10" t="s">
        <v>6730</v>
      </c>
      <c r="F1424" s="2" t="s">
        <v>469</v>
      </c>
      <c r="G1424" s="2"/>
      <c r="H1424" s="2"/>
      <c r="I1424" s="2" t="s">
        <v>6788</v>
      </c>
    </row>
    <row r="1425" ht="15.75" hidden="1" customHeight="1">
      <c r="A1425" s="9">
        <v>7267163.0</v>
      </c>
      <c r="B1425" s="2" t="s">
        <v>6790</v>
      </c>
      <c r="C1425" s="2" t="s">
        <v>6791</v>
      </c>
      <c r="D1425" s="2" t="s">
        <v>6792</v>
      </c>
      <c r="E1425" s="10" t="s">
        <v>6793</v>
      </c>
      <c r="F1425" s="2" t="s">
        <v>469</v>
      </c>
      <c r="G1425" s="2"/>
      <c r="H1425" s="2"/>
      <c r="I1425" s="2" t="s">
        <v>6791</v>
      </c>
    </row>
    <row r="1426" ht="15.75" hidden="1" customHeight="1">
      <c r="A1426" s="9">
        <v>7267164.0</v>
      </c>
      <c r="B1426" s="2" t="s">
        <v>5856</v>
      </c>
      <c r="C1426" s="2" t="s">
        <v>6794</v>
      </c>
      <c r="D1426" s="2" t="s">
        <v>458</v>
      </c>
      <c r="E1426" s="10" t="s">
        <v>463</v>
      </c>
      <c r="F1426" s="2" t="s">
        <v>469</v>
      </c>
      <c r="G1426" s="2"/>
      <c r="H1426" s="2"/>
      <c r="I1426" s="2" t="s">
        <v>6794</v>
      </c>
    </row>
    <row r="1427" ht="15.75" hidden="1" customHeight="1">
      <c r="A1427" s="9">
        <v>7267165.0</v>
      </c>
      <c r="B1427" s="2" t="s">
        <v>6795</v>
      </c>
      <c r="C1427" s="2" t="s">
        <v>6797</v>
      </c>
      <c r="D1427" s="2" t="s">
        <v>6798</v>
      </c>
      <c r="E1427" s="10" t="s">
        <v>6799</v>
      </c>
      <c r="F1427" s="2" t="s">
        <v>469</v>
      </c>
      <c r="G1427" s="2"/>
      <c r="H1427" s="2"/>
      <c r="I1427" s="2" t="s">
        <v>6797</v>
      </c>
    </row>
    <row r="1428" ht="15.75" hidden="1" customHeight="1">
      <c r="A1428" s="9">
        <v>7267166.0</v>
      </c>
      <c r="B1428" s="2" t="s">
        <v>6801</v>
      </c>
      <c r="C1428" s="2" t="s">
        <v>6802</v>
      </c>
      <c r="D1428" s="2" t="s">
        <v>6803</v>
      </c>
      <c r="E1428" s="10" t="s">
        <v>6805</v>
      </c>
      <c r="F1428" s="2" t="s">
        <v>469</v>
      </c>
      <c r="G1428" s="2"/>
      <c r="H1428" s="2"/>
      <c r="I1428" s="2" t="s">
        <v>6802</v>
      </c>
    </row>
    <row r="1429" ht="15.75" hidden="1" customHeight="1">
      <c r="A1429" s="9">
        <v>7267167.0</v>
      </c>
      <c r="B1429" s="2" t="s">
        <v>6807</v>
      </c>
      <c r="C1429" s="2" t="s">
        <v>6808</v>
      </c>
      <c r="D1429" s="2" t="s">
        <v>6809</v>
      </c>
      <c r="E1429" s="10" t="s">
        <v>6810</v>
      </c>
      <c r="F1429" s="2" t="s">
        <v>469</v>
      </c>
      <c r="G1429" s="2"/>
      <c r="H1429" s="2"/>
      <c r="I1429" s="2" t="s">
        <v>6808</v>
      </c>
    </row>
    <row r="1430" ht="15.75" hidden="1" customHeight="1">
      <c r="A1430" s="9">
        <v>7267168.0</v>
      </c>
      <c r="B1430" s="2" t="s">
        <v>6811</v>
      </c>
      <c r="C1430" s="2" t="s">
        <v>6812</v>
      </c>
      <c r="D1430" s="2" t="s">
        <v>1208</v>
      </c>
      <c r="E1430" s="10" t="s">
        <v>1215</v>
      </c>
      <c r="F1430" s="2" t="s">
        <v>469</v>
      </c>
      <c r="G1430" s="2"/>
      <c r="H1430" s="2"/>
      <c r="I1430" s="2" t="s">
        <v>6812</v>
      </c>
    </row>
    <row r="1431" ht="15.75" hidden="1" customHeight="1">
      <c r="A1431" s="9">
        <v>7267169.0</v>
      </c>
      <c r="B1431" s="2" t="s">
        <v>6813</v>
      </c>
      <c r="C1431" s="2" t="s">
        <v>6814</v>
      </c>
      <c r="D1431" s="2" t="s">
        <v>6815</v>
      </c>
      <c r="E1431" s="10" t="s">
        <v>6816</v>
      </c>
      <c r="F1431" s="2" t="s">
        <v>469</v>
      </c>
      <c r="G1431" s="2"/>
      <c r="H1431" s="2"/>
      <c r="I1431" s="2" t="s">
        <v>6814</v>
      </c>
    </row>
    <row r="1432" ht="15.75" hidden="1" customHeight="1">
      <c r="A1432" s="9">
        <v>7267170.0</v>
      </c>
      <c r="B1432" s="2" t="s">
        <v>6817</v>
      </c>
      <c r="C1432" s="2" t="s">
        <v>6818</v>
      </c>
      <c r="D1432" s="2" t="s">
        <v>6819</v>
      </c>
      <c r="E1432" s="10" t="s">
        <v>6820</v>
      </c>
      <c r="F1432" s="2" t="s">
        <v>469</v>
      </c>
      <c r="G1432" s="2"/>
      <c r="H1432" s="2"/>
      <c r="I1432" s="2" t="s">
        <v>6818</v>
      </c>
    </row>
    <row r="1433" ht="15.75" hidden="1" customHeight="1">
      <c r="A1433" s="9">
        <v>7267171.0</v>
      </c>
      <c r="B1433" s="2" t="s">
        <v>6822</v>
      </c>
      <c r="C1433" s="2" t="s">
        <v>6823</v>
      </c>
      <c r="D1433" s="2" t="s">
        <v>963</v>
      </c>
      <c r="E1433" s="10" t="s">
        <v>971</v>
      </c>
      <c r="F1433" s="2" t="s">
        <v>469</v>
      </c>
      <c r="G1433" s="2"/>
      <c r="H1433" s="2"/>
      <c r="I1433" s="2" t="s">
        <v>6823</v>
      </c>
    </row>
    <row r="1434" ht="15.75" hidden="1" customHeight="1">
      <c r="A1434" s="9">
        <v>7267172.0</v>
      </c>
      <c r="B1434" s="2" t="s">
        <v>6825</v>
      </c>
      <c r="C1434" s="2" t="s">
        <v>6826</v>
      </c>
      <c r="D1434" s="2" t="s">
        <v>6827</v>
      </c>
      <c r="E1434" s="10" t="s">
        <v>6828</v>
      </c>
      <c r="F1434" s="2" t="s">
        <v>469</v>
      </c>
      <c r="G1434" s="2"/>
      <c r="H1434" s="2"/>
      <c r="I1434" s="2" t="s">
        <v>6826</v>
      </c>
    </row>
    <row r="1435" ht="15.75" hidden="1" customHeight="1">
      <c r="A1435" s="9">
        <v>7267173.0</v>
      </c>
      <c r="B1435" s="2" t="s">
        <v>6830</v>
      </c>
      <c r="C1435" s="2" t="s">
        <v>6831</v>
      </c>
      <c r="D1435" s="2" t="s">
        <v>6832</v>
      </c>
      <c r="E1435" s="10" t="s">
        <v>6833</v>
      </c>
      <c r="F1435" s="2" t="s">
        <v>469</v>
      </c>
      <c r="G1435" s="2"/>
      <c r="H1435" s="2"/>
      <c r="I1435" s="2" t="s">
        <v>6831</v>
      </c>
    </row>
    <row r="1436" ht="15.75" hidden="1" customHeight="1">
      <c r="A1436" s="9">
        <v>7267174.0</v>
      </c>
      <c r="B1436" s="2" t="s">
        <v>6834</v>
      </c>
      <c r="C1436" s="2" t="s">
        <v>6835</v>
      </c>
      <c r="D1436" s="2" t="s">
        <v>4007</v>
      </c>
      <c r="E1436" s="10" t="s">
        <v>4015</v>
      </c>
      <c r="F1436" s="2" t="s">
        <v>469</v>
      </c>
      <c r="G1436" s="2"/>
      <c r="H1436" s="2"/>
      <c r="I1436" s="2" t="s">
        <v>6835</v>
      </c>
    </row>
    <row r="1437" ht="15.75" hidden="1" customHeight="1">
      <c r="A1437" s="9">
        <v>7267175.0</v>
      </c>
      <c r="B1437" s="2" t="s">
        <v>6837</v>
      </c>
      <c r="C1437" s="2" t="s">
        <v>6838</v>
      </c>
      <c r="D1437" s="2" t="s">
        <v>6839</v>
      </c>
      <c r="E1437" s="10" t="s">
        <v>6840</v>
      </c>
      <c r="F1437" s="2" t="s">
        <v>469</v>
      </c>
      <c r="G1437" s="2"/>
      <c r="H1437" s="2"/>
      <c r="I1437" s="2" t="s">
        <v>6838</v>
      </c>
    </row>
    <row r="1438" ht="15.75" hidden="1" customHeight="1">
      <c r="A1438" s="9">
        <v>7267176.0</v>
      </c>
      <c r="B1438" s="2" t="s">
        <v>6841</v>
      </c>
      <c r="C1438" s="2" t="s">
        <v>6843</v>
      </c>
      <c r="D1438" s="2" t="s">
        <v>6844</v>
      </c>
      <c r="E1438" s="10" t="s">
        <v>6845</v>
      </c>
      <c r="F1438" s="2" t="s">
        <v>469</v>
      </c>
      <c r="G1438" s="2"/>
      <c r="H1438" s="2"/>
      <c r="I1438" s="2" t="s">
        <v>6843</v>
      </c>
    </row>
    <row r="1439" ht="15.75" hidden="1" customHeight="1">
      <c r="A1439" s="9">
        <v>7267177.0</v>
      </c>
      <c r="B1439" s="2" t="s">
        <v>3349</v>
      </c>
      <c r="C1439" s="2" t="s">
        <v>6846</v>
      </c>
      <c r="D1439" s="2" t="s">
        <v>6847</v>
      </c>
      <c r="E1439" s="10" t="s">
        <v>6848</v>
      </c>
      <c r="F1439" s="2" t="s">
        <v>1946</v>
      </c>
      <c r="G1439" s="2"/>
      <c r="H1439" s="2"/>
      <c r="I1439" s="2" t="s">
        <v>6846</v>
      </c>
    </row>
    <row r="1440" ht="15.75" hidden="1" customHeight="1">
      <c r="A1440" s="9">
        <v>7267178.0</v>
      </c>
      <c r="B1440" s="2" t="s">
        <v>798</v>
      </c>
      <c r="C1440" s="2" t="s">
        <v>6849</v>
      </c>
      <c r="D1440" s="2" t="s">
        <v>5749</v>
      </c>
      <c r="E1440" s="10" t="s">
        <v>5755</v>
      </c>
      <c r="F1440" s="2" t="s">
        <v>1946</v>
      </c>
      <c r="G1440" s="2"/>
      <c r="H1440" s="2"/>
      <c r="I1440" s="2" t="s">
        <v>6849</v>
      </c>
    </row>
    <row r="1441" ht="15.75" hidden="1" customHeight="1">
      <c r="A1441" s="9">
        <v>7267179.0</v>
      </c>
      <c r="B1441" s="2" t="s">
        <v>6850</v>
      </c>
      <c r="C1441" s="2" t="s">
        <v>6851</v>
      </c>
      <c r="D1441" s="2" t="s">
        <v>6852</v>
      </c>
      <c r="E1441" s="10" t="s">
        <v>6854</v>
      </c>
      <c r="F1441" s="2" t="s">
        <v>1946</v>
      </c>
      <c r="G1441" s="2"/>
      <c r="H1441" s="2"/>
      <c r="I1441" s="2" t="s">
        <v>6851</v>
      </c>
    </row>
    <row r="1442" ht="15.75" hidden="1" customHeight="1">
      <c r="A1442" s="9">
        <v>7267180.0</v>
      </c>
      <c r="B1442" s="2" t="s">
        <v>6855</v>
      </c>
      <c r="C1442" s="2" t="s">
        <v>6856</v>
      </c>
      <c r="D1442" s="2" t="s">
        <v>6857</v>
      </c>
      <c r="E1442" s="10" t="s">
        <v>6859</v>
      </c>
      <c r="F1442" s="2" t="s">
        <v>1946</v>
      </c>
      <c r="G1442" s="2"/>
      <c r="H1442" s="2"/>
      <c r="I1442" s="2" t="s">
        <v>6856</v>
      </c>
    </row>
    <row r="1443" ht="15.75" hidden="1" customHeight="1">
      <c r="A1443" s="9">
        <v>7267182.0</v>
      </c>
      <c r="B1443" s="2" t="s">
        <v>2815</v>
      </c>
      <c r="C1443" s="2" t="s">
        <v>6860</v>
      </c>
      <c r="D1443" s="2" t="s">
        <v>6861</v>
      </c>
      <c r="E1443" s="10" t="s">
        <v>6862</v>
      </c>
      <c r="F1443" s="2" t="s">
        <v>1946</v>
      </c>
      <c r="G1443" s="2"/>
      <c r="H1443" s="2"/>
      <c r="I1443" s="2" t="s">
        <v>6860</v>
      </c>
    </row>
    <row r="1444" ht="15.75" hidden="1" customHeight="1">
      <c r="A1444" s="9">
        <v>7267183.0</v>
      </c>
      <c r="B1444" s="2" t="s">
        <v>6863</v>
      </c>
      <c r="C1444" s="2" t="s">
        <v>6864</v>
      </c>
      <c r="D1444" s="2" t="s">
        <v>6865</v>
      </c>
      <c r="E1444" s="10" t="s">
        <v>6866</v>
      </c>
      <c r="F1444" s="2" t="s">
        <v>1946</v>
      </c>
      <c r="G1444" s="2"/>
      <c r="H1444" s="2"/>
      <c r="I1444" s="2" t="s">
        <v>6864</v>
      </c>
    </row>
    <row r="1445" ht="15.75" hidden="1" customHeight="1">
      <c r="A1445" s="9">
        <v>7267184.0</v>
      </c>
      <c r="B1445" s="2" t="s">
        <v>6867</v>
      </c>
      <c r="C1445" s="2" t="s">
        <v>6868</v>
      </c>
      <c r="D1445" s="2" t="s">
        <v>6869</v>
      </c>
      <c r="E1445" s="10" t="s">
        <v>6871</v>
      </c>
      <c r="F1445" s="2" t="s">
        <v>1946</v>
      </c>
      <c r="G1445" s="2"/>
      <c r="H1445" s="2"/>
      <c r="I1445" s="2" t="s">
        <v>6868</v>
      </c>
    </row>
    <row r="1446" ht="15.75" hidden="1" customHeight="1">
      <c r="A1446" s="9">
        <v>7267185.0</v>
      </c>
      <c r="B1446" s="2" t="s">
        <v>6873</v>
      </c>
      <c r="C1446" s="2" t="s">
        <v>6874</v>
      </c>
      <c r="D1446" s="2" t="s">
        <v>6875</v>
      </c>
      <c r="E1446" s="10" t="s">
        <v>6876</v>
      </c>
      <c r="F1446" s="2" t="s">
        <v>1946</v>
      </c>
      <c r="G1446" s="2"/>
      <c r="H1446" s="2"/>
      <c r="I1446" s="2" t="s">
        <v>6874</v>
      </c>
    </row>
    <row r="1447" ht="15.75" hidden="1" customHeight="1">
      <c r="A1447" s="9">
        <v>7267186.0</v>
      </c>
      <c r="B1447" s="2" t="s">
        <v>6878</v>
      </c>
      <c r="C1447" s="2" t="s">
        <v>6879</v>
      </c>
      <c r="D1447" s="2" t="s">
        <v>6881</v>
      </c>
      <c r="E1447" s="10" t="s">
        <v>6882</v>
      </c>
      <c r="F1447" s="2" t="s">
        <v>1946</v>
      </c>
      <c r="G1447" s="2"/>
      <c r="H1447" s="2"/>
      <c r="I1447" s="2" t="s">
        <v>6879</v>
      </c>
    </row>
    <row r="1448" ht="15.75" hidden="1" customHeight="1">
      <c r="A1448" s="9">
        <v>7267187.0</v>
      </c>
      <c r="B1448" s="2" t="s">
        <v>6883</v>
      </c>
      <c r="C1448" s="2" t="s">
        <v>6884</v>
      </c>
      <c r="D1448" s="2" t="s">
        <v>6885</v>
      </c>
      <c r="E1448" s="10" t="s">
        <v>6886</v>
      </c>
      <c r="F1448" s="2" t="s">
        <v>1946</v>
      </c>
      <c r="G1448" s="2"/>
      <c r="H1448" s="2"/>
      <c r="I1448" s="2" t="s">
        <v>6884</v>
      </c>
    </row>
    <row r="1449" ht="15.75" hidden="1" customHeight="1">
      <c r="A1449" s="9">
        <v>7267188.0</v>
      </c>
      <c r="B1449" s="2" t="s">
        <v>6887</v>
      </c>
      <c r="C1449" s="2" t="s">
        <v>6888</v>
      </c>
      <c r="D1449" s="2" t="s">
        <v>6889</v>
      </c>
      <c r="E1449" s="10" t="s">
        <v>6890</v>
      </c>
      <c r="F1449" s="2" t="s">
        <v>1946</v>
      </c>
      <c r="G1449" s="2"/>
      <c r="H1449" s="2"/>
      <c r="I1449" s="2" t="s">
        <v>6888</v>
      </c>
    </row>
    <row r="1450" ht="15.75" hidden="1" customHeight="1">
      <c r="A1450" s="9">
        <v>7267189.0</v>
      </c>
      <c r="B1450" s="2" t="s">
        <v>6893</v>
      </c>
      <c r="C1450" s="2" t="s">
        <v>6894</v>
      </c>
      <c r="D1450" s="2" t="s">
        <v>6895</v>
      </c>
      <c r="E1450" s="10" t="s">
        <v>6896</v>
      </c>
      <c r="F1450" s="2" t="s">
        <v>1946</v>
      </c>
      <c r="G1450" s="2"/>
      <c r="H1450" s="2"/>
      <c r="I1450" s="2" t="s">
        <v>6894</v>
      </c>
    </row>
    <row r="1451" ht="15.75" hidden="1" customHeight="1">
      <c r="A1451" s="9">
        <v>7267190.0</v>
      </c>
      <c r="B1451" s="2" t="s">
        <v>6898</v>
      </c>
      <c r="C1451" s="2" t="s">
        <v>6899</v>
      </c>
      <c r="D1451" s="2" t="s">
        <v>6900</v>
      </c>
      <c r="E1451" s="10" t="s">
        <v>6901</v>
      </c>
      <c r="F1451" s="2" t="s">
        <v>1946</v>
      </c>
      <c r="G1451" s="2"/>
      <c r="H1451" s="2"/>
      <c r="I1451" s="2" t="s">
        <v>6899</v>
      </c>
    </row>
    <row r="1452" ht="15.75" hidden="1" customHeight="1">
      <c r="A1452" s="9">
        <v>7267191.0</v>
      </c>
      <c r="B1452" s="2" t="s">
        <v>6903</v>
      </c>
      <c r="C1452" s="2" t="s">
        <v>6904</v>
      </c>
      <c r="D1452" s="2" t="s">
        <v>6905</v>
      </c>
      <c r="E1452" s="10" t="s">
        <v>6906</v>
      </c>
      <c r="F1452" s="2" t="s">
        <v>1946</v>
      </c>
      <c r="G1452" s="2"/>
      <c r="H1452" s="2"/>
      <c r="I1452" s="2" t="s">
        <v>6904</v>
      </c>
    </row>
    <row r="1453" ht="15.75" hidden="1" customHeight="1">
      <c r="A1453" s="9">
        <v>7267192.0</v>
      </c>
      <c r="B1453" s="2" t="s">
        <v>6907</v>
      </c>
      <c r="C1453" s="2" t="s">
        <v>6908</v>
      </c>
      <c r="D1453" s="2" t="s">
        <v>6909</v>
      </c>
      <c r="E1453" s="10" t="s">
        <v>6910</v>
      </c>
      <c r="F1453" s="2" t="s">
        <v>1946</v>
      </c>
      <c r="G1453" s="2"/>
      <c r="H1453" s="2"/>
      <c r="I1453" s="2" t="s">
        <v>6908</v>
      </c>
    </row>
    <row r="1454" ht="15.75" hidden="1" customHeight="1">
      <c r="A1454" s="9">
        <v>7267193.0</v>
      </c>
      <c r="B1454" s="2" t="s">
        <v>6911</v>
      </c>
      <c r="C1454" s="2" t="s">
        <v>6912</v>
      </c>
      <c r="D1454" s="2" t="s">
        <v>1966</v>
      </c>
      <c r="E1454" s="10" t="s">
        <v>1972</v>
      </c>
      <c r="F1454" s="2" t="s">
        <v>1946</v>
      </c>
      <c r="G1454" s="2"/>
      <c r="H1454" s="2"/>
      <c r="I1454" s="2" t="s">
        <v>6912</v>
      </c>
    </row>
    <row r="1455" ht="15.75" hidden="1" customHeight="1">
      <c r="A1455" s="9">
        <v>7267194.0</v>
      </c>
      <c r="B1455" s="2" t="s">
        <v>6914</v>
      </c>
      <c r="C1455" s="2" t="s">
        <v>6915</v>
      </c>
      <c r="D1455" s="2" t="s">
        <v>6916</v>
      </c>
      <c r="E1455" s="10" t="s">
        <v>6917</v>
      </c>
      <c r="F1455" s="2" t="s">
        <v>1946</v>
      </c>
      <c r="G1455" s="2"/>
      <c r="H1455" s="2"/>
      <c r="I1455" s="2" t="s">
        <v>6915</v>
      </c>
    </row>
    <row r="1456" ht="15.75" hidden="1" customHeight="1">
      <c r="A1456" s="9">
        <v>7267195.0</v>
      </c>
      <c r="B1456" s="2" t="s">
        <v>6919</v>
      </c>
      <c r="C1456" s="2" t="s">
        <v>6920</v>
      </c>
      <c r="D1456" s="2" t="s">
        <v>6921</v>
      </c>
      <c r="E1456" s="10" t="s">
        <v>6922</v>
      </c>
      <c r="F1456" s="2" t="s">
        <v>1946</v>
      </c>
      <c r="G1456" s="2"/>
      <c r="H1456" s="2"/>
      <c r="I1456" s="2" t="s">
        <v>6920</v>
      </c>
    </row>
    <row r="1457" ht="15.75" hidden="1" customHeight="1">
      <c r="A1457" s="9">
        <v>7267196.0</v>
      </c>
      <c r="B1457" s="2" t="s">
        <v>6923</v>
      </c>
      <c r="C1457" s="2" t="s">
        <v>6924</v>
      </c>
      <c r="D1457" s="2" t="s">
        <v>2383</v>
      </c>
      <c r="E1457" s="10" t="s">
        <v>2387</v>
      </c>
      <c r="F1457" s="2" t="s">
        <v>1946</v>
      </c>
      <c r="G1457" s="2"/>
      <c r="H1457" s="2"/>
      <c r="I1457" s="2" t="s">
        <v>6924</v>
      </c>
    </row>
    <row r="1458" ht="15.75" hidden="1" customHeight="1">
      <c r="A1458" s="9">
        <v>7267197.0</v>
      </c>
      <c r="B1458" s="2" t="s">
        <v>6925</v>
      </c>
      <c r="C1458" s="2" t="s">
        <v>6926</v>
      </c>
      <c r="D1458" s="2" t="s">
        <v>6927</v>
      </c>
      <c r="E1458" s="10" t="s">
        <v>6928</v>
      </c>
      <c r="F1458" s="2" t="s">
        <v>1946</v>
      </c>
      <c r="G1458" s="2"/>
      <c r="H1458" s="2"/>
      <c r="I1458" s="2" t="s">
        <v>6926</v>
      </c>
    </row>
    <row r="1459" ht="15.75" hidden="1" customHeight="1">
      <c r="A1459" s="9">
        <v>7267198.0</v>
      </c>
      <c r="B1459" s="2" t="s">
        <v>6929</v>
      </c>
      <c r="C1459" s="2" t="s">
        <v>6930</v>
      </c>
      <c r="D1459" s="2" t="s">
        <v>6931</v>
      </c>
      <c r="E1459" s="10" t="s">
        <v>6932</v>
      </c>
      <c r="F1459" s="2" t="s">
        <v>1946</v>
      </c>
      <c r="G1459" s="2"/>
      <c r="H1459" s="2"/>
      <c r="I1459" s="2" t="s">
        <v>6930</v>
      </c>
    </row>
    <row r="1460" ht="15.75" hidden="1" customHeight="1">
      <c r="A1460" s="9">
        <v>7267199.0</v>
      </c>
      <c r="B1460" s="2" t="s">
        <v>6933</v>
      </c>
      <c r="C1460" s="2" t="s">
        <v>6935</v>
      </c>
      <c r="D1460" s="2" t="s">
        <v>1937</v>
      </c>
      <c r="E1460" s="10" t="s">
        <v>1943</v>
      </c>
      <c r="F1460" s="2" t="s">
        <v>1946</v>
      </c>
      <c r="G1460" s="2"/>
      <c r="H1460" s="2"/>
      <c r="I1460" s="2" t="s">
        <v>6935</v>
      </c>
    </row>
    <row r="1461" ht="15.75" hidden="1" customHeight="1">
      <c r="A1461" s="9">
        <v>7267200.0</v>
      </c>
      <c r="B1461" s="2" t="s">
        <v>6936</v>
      </c>
      <c r="C1461" s="2" t="s">
        <v>6937</v>
      </c>
      <c r="D1461" s="2" t="s">
        <v>6938</v>
      </c>
      <c r="E1461" s="10" t="s">
        <v>6939</v>
      </c>
      <c r="F1461" s="2" t="s">
        <v>1946</v>
      </c>
      <c r="G1461" s="2"/>
      <c r="H1461" s="2"/>
      <c r="I1461" s="2" t="s">
        <v>6937</v>
      </c>
    </row>
    <row r="1462" ht="15.75" hidden="1" customHeight="1">
      <c r="A1462" s="9">
        <v>7267201.0</v>
      </c>
      <c r="B1462" s="2" t="s">
        <v>6940</v>
      </c>
      <c r="C1462" s="2" t="s">
        <v>6941</v>
      </c>
      <c r="D1462" s="2" t="s">
        <v>6942</v>
      </c>
      <c r="E1462" s="10" t="s">
        <v>6943</v>
      </c>
      <c r="F1462" s="2" t="s">
        <v>1946</v>
      </c>
      <c r="G1462" s="2"/>
      <c r="H1462" s="2"/>
      <c r="I1462" s="2" t="s">
        <v>6941</v>
      </c>
    </row>
    <row r="1463" ht="15.75" hidden="1" customHeight="1">
      <c r="A1463" s="9">
        <v>7267202.0</v>
      </c>
      <c r="B1463" s="2" t="s">
        <v>6944</v>
      </c>
      <c r="C1463" s="2" t="s">
        <v>6945</v>
      </c>
      <c r="D1463" s="2" t="s">
        <v>6946</v>
      </c>
      <c r="E1463" s="10" t="s">
        <v>6947</v>
      </c>
      <c r="F1463" s="2" t="s">
        <v>1946</v>
      </c>
      <c r="G1463" s="2"/>
      <c r="H1463" s="2"/>
      <c r="I1463" s="2" t="s">
        <v>6945</v>
      </c>
    </row>
    <row r="1464" ht="15.75" hidden="1" customHeight="1">
      <c r="A1464" s="9">
        <v>7267203.0</v>
      </c>
      <c r="B1464" s="2" t="s">
        <v>6949</v>
      </c>
      <c r="C1464" s="2" t="s">
        <v>6950</v>
      </c>
      <c r="D1464" s="2" t="s">
        <v>2688</v>
      </c>
      <c r="E1464" s="10" t="s">
        <v>2694</v>
      </c>
      <c r="F1464" s="2" t="s">
        <v>1946</v>
      </c>
      <c r="G1464" s="2"/>
      <c r="H1464" s="2"/>
      <c r="I1464" s="2" t="s">
        <v>6950</v>
      </c>
    </row>
    <row r="1465" ht="15.75" hidden="1" customHeight="1">
      <c r="A1465" s="9">
        <v>7267204.0</v>
      </c>
      <c r="B1465" s="2" t="s">
        <v>6951</v>
      </c>
      <c r="C1465" s="2" t="s">
        <v>6952</v>
      </c>
      <c r="D1465" s="2" t="s">
        <v>6954</v>
      </c>
      <c r="E1465" s="10" t="s">
        <v>6955</v>
      </c>
      <c r="F1465" s="2" t="s">
        <v>1946</v>
      </c>
      <c r="G1465" s="2"/>
      <c r="H1465" s="2"/>
      <c r="I1465" s="2" t="s">
        <v>6952</v>
      </c>
    </row>
    <row r="1466" ht="15.75" hidden="1" customHeight="1">
      <c r="A1466" s="9">
        <v>7267205.0</v>
      </c>
      <c r="B1466" s="2" t="s">
        <v>6956</v>
      </c>
      <c r="C1466" s="2" t="s">
        <v>6957</v>
      </c>
      <c r="D1466" s="2" t="s">
        <v>6958</v>
      </c>
      <c r="E1466" s="10" t="s">
        <v>6959</v>
      </c>
      <c r="F1466" s="2" t="s">
        <v>1946</v>
      </c>
      <c r="G1466" s="2"/>
      <c r="H1466" s="2"/>
      <c r="I1466" s="2" t="s">
        <v>6957</v>
      </c>
    </row>
    <row r="1467" ht="15.75" hidden="1" customHeight="1">
      <c r="A1467" s="9">
        <v>7267206.0</v>
      </c>
      <c r="B1467" s="2" t="s">
        <v>6960</v>
      </c>
      <c r="C1467" s="2" t="s">
        <v>6961</v>
      </c>
      <c r="D1467" s="2" t="s">
        <v>6962</v>
      </c>
      <c r="E1467" s="10" t="s">
        <v>6964</v>
      </c>
      <c r="F1467" s="2" t="s">
        <v>1946</v>
      </c>
      <c r="G1467" s="2"/>
      <c r="H1467" s="2"/>
      <c r="I1467" s="2" t="s">
        <v>6961</v>
      </c>
    </row>
    <row r="1468" ht="15.75" hidden="1" customHeight="1">
      <c r="A1468" s="9">
        <v>7267207.0</v>
      </c>
      <c r="B1468" s="2" t="s">
        <v>6966</v>
      </c>
      <c r="C1468" s="2" t="s">
        <v>6967</v>
      </c>
      <c r="D1468" s="2" t="s">
        <v>6968</v>
      </c>
      <c r="E1468" s="10" t="s">
        <v>6969</v>
      </c>
      <c r="F1468" s="2" t="s">
        <v>1946</v>
      </c>
      <c r="G1468" s="2"/>
      <c r="H1468" s="2"/>
      <c r="I1468" s="2" t="s">
        <v>6967</v>
      </c>
    </row>
    <row r="1469" ht="15.75" hidden="1" customHeight="1">
      <c r="A1469" s="9">
        <v>7267208.0</v>
      </c>
      <c r="B1469" s="2" t="s">
        <v>6970</v>
      </c>
      <c r="C1469" s="2" t="s">
        <v>6972</v>
      </c>
      <c r="D1469" s="2" t="s">
        <v>6973</v>
      </c>
      <c r="E1469" s="10" t="s">
        <v>6974</v>
      </c>
      <c r="F1469" s="2" t="s">
        <v>3956</v>
      </c>
      <c r="G1469" s="2"/>
      <c r="H1469" s="2"/>
      <c r="I1469" s="2" t="s">
        <v>6972</v>
      </c>
    </row>
    <row r="1470" ht="15.75" hidden="1" customHeight="1">
      <c r="A1470" s="9">
        <v>7267209.0</v>
      </c>
      <c r="B1470" s="2" t="s">
        <v>6975</v>
      </c>
      <c r="C1470" s="2" t="s">
        <v>6976</v>
      </c>
      <c r="D1470" s="2" t="s">
        <v>6977</v>
      </c>
      <c r="E1470" s="10" t="s">
        <v>6978</v>
      </c>
      <c r="F1470" s="2" t="s">
        <v>3956</v>
      </c>
      <c r="G1470" s="2"/>
      <c r="H1470" s="2"/>
      <c r="I1470" s="2" t="s">
        <v>6976</v>
      </c>
    </row>
    <row r="1471" ht="15.75" hidden="1" customHeight="1">
      <c r="A1471" s="9">
        <v>7267210.0</v>
      </c>
      <c r="B1471" s="2" t="s">
        <v>6979</v>
      </c>
      <c r="C1471" s="2" t="s">
        <v>6980</v>
      </c>
      <c r="D1471" s="2" t="s">
        <v>6981</v>
      </c>
      <c r="E1471" s="10" t="s">
        <v>6982</v>
      </c>
      <c r="F1471" s="2" t="s">
        <v>3956</v>
      </c>
      <c r="G1471" s="2"/>
      <c r="H1471" s="2"/>
      <c r="I1471" s="2" t="s">
        <v>6980</v>
      </c>
    </row>
    <row r="1472" ht="15.75" hidden="1" customHeight="1">
      <c r="A1472" s="9">
        <v>7267211.0</v>
      </c>
      <c r="B1472" s="2" t="s">
        <v>6984</v>
      </c>
      <c r="C1472" s="2" t="s">
        <v>6985</v>
      </c>
      <c r="D1472" s="2" t="s">
        <v>6986</v>
      </c>
      <c r="E1472" s="10" t="s">
        <v>6987</v>
      </c>
      <c r="F1472" s="2" t="s">
        <v>3956</v>
      </c>
      <c r="G1472" s="2"/>
      <c r="H1472" s="2"/>
      <c r="I1472" s="2" t="s">
        <v>6985</v>
      </c>
    </row>
    <row r="1473" ht="15.75" hidden="1" customHeight="1">
      <c r="A1473" s="9">
        <v>7267212.0</v>
      </c>
      <c r="B1473" s="2" t="s">
        <v>6988</v>
      </c>
      <c r="C1473" s="2" t="s">
        <v>6989</v>
      </c>
      <c r="D1473" s="2" t="s">
        <v>6991</v>
      </c>
      <c r="E1473" s="10" t="s">
        <v>6992</v>
      </c>
      <c r="F1473" s="2" t="s">
        <v>3956</v>
      </c>
      <c r="G1473" s="2"/>
      <c r="H1473" s="2"/>
      <c r="I1473" s="2" t="s">
        <v>6989</v>
      </c>
    </row>
    <row r="1474" ht="15.75" hidden="1" customHeight="1">
      <c r="A1474" s="9">
        <v>7267213.0</v>
      </c>
      <c r="B1474" s="2" t="s">
        <v>6993</v>
      </c>
      <c r="C1474" s="2" t="s">
        <v>6994</v>
      </c>
      <c r="D1474" s="2" t="s">
        <v>6995</v>
      </c>
      <c r="E1474" s="10" t="s">
        <v>6996</v>
      </c>
      <c r="F1474" s="2" t="s">
        <v>3956</v>
      </c>
      <c r="G1474" s="2"/>
      <c r="H1474" s="2"/>
      <c r="I1474" s="2" t="s">
        <v>6994</v>
      </c>
    </row>
    <row r="1475" ht="15.75" hidden="1" customHeight="1">
      <c r="A1475" s="9">
        <v>7267214.0</v>
      </c>
      <c r="B1475" s="2" t="s">
        <v>6997</v>
      </c>
      <c r="C1475" s="2" t="s">
        <v>6998</v>
      </c>
      <c r="D1475" s="2" t="s">
        <v>6999</v>
      </c>
      <c r="E1475" s="10" t="s">
        <v>4635</v>
      </c>
      <c r="F1475" s="2" t="s">
        <v>3956</v>
      </c>
      <c r="G1475" s="2"/>
      <c r="H1475" s="2"/>
      <c r="I1475" s="2" t="s">
        <v>6998</v>
      </c>
    </row>
    <row r="1476" ht="15.75" hidden="1" customHeight="1">
      <c r="A1476" s="9">
        <v>7267215.0</v>
      </c>
      <c r="B1476" s="2" t="s">
        <v>7000</v>
      </c>
      <c r="C1476" s="2" t="s">
        <v>7001</v>
      </c>
      <c r="D1476" s="2" t="s">
        <v>7002</v>
      </c>
      <c r="E1476" s="10" t="s">
        <v>7003</v>
      </c>
      <c r="F1476" s="2" t="s">
        <v>3956</v>
      </c>
      <c r="G1476" s="2"/>
      <c r="H1476" s="2"/>
      <c r="I1476" s="2" t="s">
        <v>7001</v>
      </c>
    </row>
    <row r="1477" ht="15.75" hidden="1" customHeight="1">
      <c r="A1477" s="9">
        <v>7267216.0</v>
      </c>
      <c r="B1477" s="2" t="s">
        <v>7005</v>
      </c>
      <c r="C1477" s="2" t="s">
        <v>7006</v>
      </c>
      <c r="D1477" s="2" t="s">
        <v>7007</v>
      </c>
      <c r="E1477" s="10" t="s">
        <v>7009</v>
      </c>
      <c r="F1477" s="2" t="s">
        <v>3956</v>
      </c>
      <c r="G1477" s="2"/>
      <c r="H1477" s="2"/>
      <c r="I1477" s="2" t="s">
        <v>7006</v>
      </c>
    </row>
    <row r="1478" ht="15.75" hidden="1" customHeight="1">
      <c r="A1478" s="9">
        <v>7267217.0</v>
      </c>
      <c r="B1478" s="2" t="s">
        <v>7010</v>
      </c>
      <c r="C1478" s="2" t="s">
        <v>7011</v>
      </c>
      <c r="D1478" s="2" t="s">
        <v>7012</v>
      </c>
      <c r="E1478" s="10" t="s">
        <v>7013</v>
      </c>
      <c r="F1478" s="2" t="s">
        <v>3956</v>
      </c>
      <c r="G1478" s="2"/>
      <c r="H1478" s="2"/>
      <c r="I1478" s="2" t="s">
        <v>7011</v>
      </c>
    </row>
    <row r="1479" ht="15.75" hidden="1" customHeight="1">
      <c r="A1479" s="9">
        <v>7267218.0</v>
      </c>
      <c r="B1479" s="2" t="s">
        <v>7015</v>
      </c>
      <c r="C1479" s="2" t="s">
        <v>7016</v>
      </c>
      <c r="D1479" s="2" t="s">
        <v>7017</v>
      </c>
      <c r="E1479" s="10" t="s">
        <v>7018</v>
      </c>
      <c r="F1479" s="2" t="s">
        <v>3956</v>
      </c>
      <c r="G1479" s="2"/>
      <c r="H1479" s="2"/>
      <c r="I1479" s="2" t="s">
        <v>7016</v>
      </c>
    </row>
    <row r="1480" ht="15.75" hidden="1" customHeight="1">
      <c r="A1480" s="9">
        <v>7267219.0</v>
      </c>
      <c r="B1480" s="2" t="s">
        <v>7019</v>
      </c>
      <c r="C1480" s="2" t="s">
        <v>7020</v>
      </c>
      <c r="D1480" s="2" t="s">
        <v>7021</v>
      </c>
      <c r="E1480" s="10" t="s">
        <v>7022</v>
      </c>
      <c r="F1480" s="2" t="s">
        <v>3956</v>
      </c>
      <c r="G1480" s="2"/>
      <c r="H1480" s="2"/>
      <c r="I1480" s="2" t="s">
        <v>7020</v>
      </c>
    </row>
    <row r="1481" ht="15.75" hidden="1" customHeight="1">
      <c r="A1481" s="9">
        <v>7267220.0</v>
      </c>
      <c r="B1481" s="2" t="s">
        <v>7023</v>
      </c>
      <c r="C1481" s="2" t="s">
        <v>7024</v>
      </c>
      <c r="D1481" s="2" t="s">
        <v>7025</v>
      </c>
      <c r="E1481" s="10" t="s">
        <v>7026</v>
      </c>
      <c r="F1481" s="2" t="s">
        <v>3956</v>
      </c>
      <c r="G1481" s="2"/>
      <c r="H1481" s="2"/>
      <c r="I1481" s="2" t="s">
        <v>7024</v>
      </c>
    </row>
    <row r="1482" ht="15.75" hidden="1" customHeight="1">
      <c r="A1482" s="9">
        <v>7267221.0</v>
      </c>
      <c r="B1482" s="2" t="s">
        <v>7027</v>
      </c>
      <c r="C1482" s="2" t="s">
        <v>7028</v>
      </c>
      <c r="D1482" s="2" t="s">
        <v>7029</v>
      </c>
      <c r="E1482" s="10" t="s">
        <v>7030</v>
      </c>
      <c r="F1482" s="2" t="s">
        <v>3956</v>
      </c>
      <c r="G1482" s="2"/>
      <c r="H1482" s="2"/>
      <c r="I1482" s="2" t="s">
        <v>7028</v>
      </c>
    </row>
    <row r="1483" ht="15.75" hidden="1" customHeight="1">
      <c r="A1483" s="9">
        <v>7267222.0</v>
      </c>
      <c r="B1483" s="2" t="s">
        <v>3023</v>
      </c>
      <c r="C1483" s="2" t="s">
        <v>7032</v>
      </c>
      <c r="D1483" s="2" t="s">
        <v>7033</v>
      </c>
      <c r="E1483" s="10" t="s">
        <v>7034</v>
      </c>
      <c r="F1483" s="2" t="s">
        <v>3956</v>
      </c>
      <c r="G1483" s="2"/>
      <c r="H1483" s="2"/>
      <c r="I1483" s="2" t="s">
        <v>7032</v>
      </c>
    </row>
    <row r="1484" ht="15.75" hidden="1" customHeight="1">
      <c r="A1484" s="9">
        <v>7267223.0</v>
      </c>
      <c r="B1484" s="2" t="s">
        <v>7035</v>
      </c>
      <c r="C1484" s="2" t="s">
        <v>7036</v>
      </c>
      <c r="D1484" s="2" t="s">
        <v>4709</v>
      </c>
      <c r="E1484" s="10" t="s">
        <v>4718</v>
      </c>
      <c r="F1484" s="2" t="s">
        <v>3956</v>
      </c>
      <c r="G1484" s="2"/>
      <c r="H1484" s="2"/>
      <c r="I1484" s="2" t="s">
        <v>7036</v>
      </c>
    </row>
    <row r="1485" ht="15.75" hidden="1" customHeight="1">
      <c r="A1485" s="9">
        <v>7267224.0</v>
      </c>
      <c r="B1485" s="2" t="s">
        <v>7037</v>
      </c>
      <c r="C1485" s="2" t="s">
        <v>7038</v>
      </c>
      <c r="D1485" s="2" t="s">
        <v>4539</v>
      </c>
      <c r="E1485" s="10" t="s">
        <v>4543</v>
      </c>
      <c r="F1485" s="2" t="s">
        <v>3956</v>
      </c>
      <c r="G1485" s="2"/>
      <c r="H1485" s="2"/>
      <c r="I1485" s="2" t="s">
        <v>7038</v>
      </c>
    </row>
    <row r="1486" ht="15.75" hidden="1" customHeight="1">
      <c r="A1486" s="9">
        <v>7267225.0</v>
      </c>
      <c r="B1486" s="2" t="s">
        <v>7040</v>
      </c>
      <c r="C1486" s="2" t="s">
        <v>7041</v>
      </c>
      <c r="D1486" s="2" t="s">
        <v>7043</v>
      </c>
      <c r="E1486" s="10" t="s">
        <v>7044</v>
      </c>
      <c r="F1486" s="2" t="s">
        <v>3956</v>
      </c>
      <c r="G1486" s="2"/>
      <c r="H1486" s="2"/>
      <c r="I1486" s="2" t="s">
        <v>7041</v>
      </c>
    </row>
    <row r="1487" ht="15.75" hidden="1" customHeight="1">
      <c r="A1487" s="9">
        <v>7267226.0</v>
      </c>
      <c r="B1487" s="2" t="s">
        <v>7045</v>
      </c>
      <c r="C1487" s="2" t="s">
        <v>7046</v>
      </c>
      <c r="D1487" s="2" t="s">
        <v>7047</v>
      </c>
      <c r="E1487" s="10" t="s">
        <v>7048</v>
      </c>
      <c r="F1487" s="2" t="s">
        <v>3956</v>
      </c>
      <c r="G1487" s="2"/>
      <c r="H1487" s="2"/>
      <c r="I1487" s="2" t="s">
        <v>7046</v>
      </c>
    </row>
    <row r="1488" ht="15.75" hidden="1" customHeight="1">
      <c r="A1488" s="9">
        <v>7267227.0</v>
      </c>
      <c r="B1488" s="2" t="s">
        <v>7050</v>
      </c>
      <c r="C1488" s="2" t="s">
        <v>7051</v>
      </c>
      <c r="D1488" s="2" t="s">
        <v>7052</v>
      </c>
      <c r="E1488" s="10" t="s">
        <v>7053</v>
      </c>
      <c r="F1488" s="2" t="s">
        <v>3956</v>
      </c>
      <c r="G1488" s="2"/>
      <c r="H1488" s="2"/>
      <c r="I1488" s="2" t="s">
        <v>7051</v>
      </c>
    </row>
    <row r="1489" ht="15.75" hidden="1" customHeight="1">
      <c r="A1489" s="9">
        <v>7267228.0</v>
      </c>
      <c r="B1489" s="2" t="s">
        <v>7054</v>
      </c>
      <c r="C1489" s="2" t="s">
        <v>7055</v>
      </c>
      <c r="D1489" s="2" t="s">
        <v>7056</v>
      </c>
      <c r="E1489" s="10" t="s">
        <v>7057</v>
      </c>
      <c r="F1489" s="2" t="s">
        <v>3956</v>
      </c>
      <c r="G1489" s="2"/>
      <c r="H1489" s="2"/>
      <c r="I1489" s="2" t="s">
        <v>7055</v>
      </c>
    </row>
    <row r="1490" ht="15.75" hidden="1" customHeight="1">
      <c r="A1490" s="9">
        <v>7267229.0</v>
      </c>
      <c r="B1490" s="2" t="s">
        <v>7058</v>
      </c>
      <c r="C1490" s="2" t="s">
        <v>7059</v>
      </c>
      <c r="D1490" s="2" t="s">
        <v>7060</v>
      </c>
      <c r="E1490" s="10" t="s">
        <v>7061</v>
      </c>
      <c r="F1490" s="2" t="s">
        <v>3956</v>
      </c>
      <c r="G1490" s="2"/>
      <c r="H1490" s="2"/>
      <c r="I1490" s="2" t="s">
        <v>7059</v>
      </c>
    </row>
    <row r="1491" ht="15.75" hidden="1" customHeight="1">
      <c r="A1491" s="9">
        <v>7267230.0</v>
      </c>
      <c r="B1491" s="2" t="s">
        <v>7062</v>
      </c>
      <c r="C1491" s="2" t="s">
        <v>7063</v>
      </c>
      <c r="D1491" s="2" t="s">
        <v>7064</v>
      </c>
      <c r="E1491" s="10" t="s">
        <v>7065</v>
      </c>
      <c r="F1491" s="2" t="s">
        <v>3956</v>
      </c>
      <c r="G1491" s="2"/>
      <c r="H1491" s="2"/>
      <c r="I1491" s="2" t="s">
        <v>7063</v>
      </c>
    </row>
    <row r="1492" ht="15.75" hidden="1" customHeight="1">
      <c r="A1492" s="9">
        <v>7267231.0</v>
      </c>
      <c r="B1492" s="2" t="s">
        <v>7067</v>
      </c>
      <c r="C1492" s="2" t="s">
        <v>7068</v>
      </c>
      <c r="D1492" s="2" t="s">
        <v>7069</v>
      </c>
      <c r="E1492" s="10" t="s">
        <v>7070</v>
      </c>
      <c r="F1492" s="2" t="s">
        <v>3956</v>
      </c>
      <c r="G1492" s="2"/>
      <c r="H1492" s="2"/>
      <c r="I1492" s="2" t="s">
        <v>7068</v>
      </c>
    </row>
    <row r="1493" ht="15.75" hidden="1" customHeight="1">
      <c r="A1493" s="9">
        <v>7267232.0</v>
      </c>
      <c r="B1493" s="2" t="s">
        <v>7071</v>
      </c>
      <c r="C1493" s="2" t="s">
        <v>7073</v>
      </c>
      <c r="D1493" s="2" t="s">
        <v>7074</v>
      </c>
      <c r="E1493" s="10" t="s">
        <v>7075</v>
      </c>
      <c r="F1493" s="2" t="s">
        <v>3956</v>
      </c>
      <c r="G1493" s="2"/>
      <c r="H1493" s="2"/>
      <c r="I1493" s="2" t="s">
        <v>7073</v>
      </c>
    </row>
    <row r="1494" ht="15.75" hidden="1" customHeight="1">
      <c r="A1494" s="9">
        <v>7267233.0</v>
      </c>
      <c r="B1494" s="2" t="s">
        <v>7076</v>
      </c>
      <c r="C1494" s="2" t="s">
        <v>7077</v>
      </c>
      <c r="D1494" s="2" t="s">
        <v>3944</v>
      </c>
      <c r="E1494" s="10" t="s">
        <v>3950</v>
      </c>
      <c r="F1494" s="2" t="s">
        <v>3956</v>
      </c>
      <c r="G1494" s="2"/>
      <c r="H1494" s="2"/>
      <c r="I1494" s="2" t="s">
        <v>7077</v>
      </c>
    </row>
    <row r="1495" ht="15.75" hidden="1" customHeight="1">
      <c r="A1495" s="9">
        <v>7267234.0</v>
      </c>
      <c r="B1495" s="2" t="s">
        <v>7078</v>
      </c>
      <c r="C1495" s="2" t="s">
        <v>7079</v>
      </c>
      <c r="D1495" s="2" t="s">
        <v>7080</v>
      </c>
      <c r="E1495" s="10" t="s">
        <v>7081</v>
      </c>
      <c r="F1495" s="2" t="s">
        <v>3956</v>
      </c>
      <c r="G1495" s="2"/>
      <c r="H1495" s="2"/>
      <c r="I1495" s="2" t="s">
        <v>7079</v>
      </c>
    </row>
    <row r="1496" ht="15.75" hidden="1" customHeight="1">
      <c r="A1496" s="9">
        <v>7267235.0</v>
      </c>
      <c r="B1496" s="2" t="s">
        <v>7083</v>
      </c>
      <c r="C1496" s="2" t="s">
        <v>7084</v>
      </c>
      <c r="D1496" s="2" t="s">
        <v>7085</v>
      </c>
      <c r="E1496" s="10" t="s">
        <v>7086</v>
      </c>
      <c r="F1496" s="2" t="s">
        <v>3956</v>
      </c>
      <c r="G1496" s="2"/>
      <c r="H1496" s="2"/>
      <c r="I1496" s="2" t="s">
        <v>7084</v>
      </c>
    </row>
    <row r="1497" ht="15.75" hidden="1" customHeight="1">
      <c r="A1497" s="9">
        <v>7267236.0</v>
      </c>
      <c r="B1497" s="2" t="s">
        <v>2017</v>
      </c>
      <c r="C1497" s="2" t="s">
        <v>7089</v>
      </c>
      <c r="D1497" s="2" t="s">
        <v>7090</v>
      </c>
      <c r="E1497" s="10" t="s">
        <v>7091</v>
      </c>
      <c r="F1497" s="2" t="s">
        <v>3956</v>
      </c>
      <c r="G1497" s="2"/>
      <c r="H1497" s="2"/>
      <c r="I1497" s="2" t="s">
        <v>7089</v>
      </c>
    </row>
    <row r="1498" ht="15.75" hidden="1" customHeight="1">
      <c r="A1498" s="9">
        <v>7267237.0</v>
      </c>
      <c r="B1498" s="2" t="s">
        <v>7093</v>
      </c>
      <c r="C1498" s="2" t="s">
        <v>7094</v>
      </c>
      <c r="D1498" s="2" t="s">
        <v>6268</v>
      </c>
      <c r="E1498" s="10" t="s">
        <v>6274</v>
      </c>
      <c r="F1498" s="2" t="s">
        <v>1326</v>
      </c>
      <c r="G1498" s="2"/>
      <c r="H1498" s="2"/>
      <c r="I1498" s="2" t="s">
        <v>7094</v>
      </c>
    </row>
    <row r="1499" ht="15.75" hidden="1" customHeight="1">
      <c r="A1499" s="9">
        <v>7267239.0</v>
      </c>
      <c r="B1499" s="2" t="s">
        <v>7095</v>
      </c>
      <c r="C1499" s="2" t="s">
        <v>7096</v>
      </c>
      <c r="D1499" s="2" t="s">
        <v>5878</v>
      </c>
      <c r="E1499" s="10" t="s">
        <v>5883</v>
      </c>
      <c r="F1499" s="2" t="s">
        <v>1326</v>
      </c>
      <c r="G1499" s="2"/>
      <c r="H1499" s="2"/>
      <c r="I1499" s="2" t="s">
        <v>7096</v>
      </c>
    </row>
    <row r="1500" ht="15.75" hidden="1" customHeight="1">
      <c r="A1500" s="9">
        <v>7267240.0</v>
      </c>
      <c r="B1500" s="2" t="s">
        <v>7097</v>
      </c>
      <c r="C1500" s="2" t="s">
        <v>7098</v>
      </c>
      <c r="D1500" s="2" t="s">
        <v>3736</v>
      </c>
      <c r="E1500" s="10" t="s">
        <v>3741</v>
      </c>
      <c r="F1500" s="2" t="s">
        <v>1326</v>
      </c>
      <c r="G1500" s="2"/>
      <c r="H1500" s="2"/>
      <c r="I1500" s="2" t="s">
        <v>7098</v>
      </c>
    </row>
    <row r="1501" ht="15.75" hidden="1" customHeight="1">
      <c r="A1501" s="9">
        <v>7267241.0</v>
      </c>
      <c r="B1501" s="2" t="s">
        <v>7101</v>
      </c>
      <c r="C1501" s="2" t="s">
        <v>7102</v>
      </c>
      <c r="D1501" s="2" t="s">
        <v>7103</v>
      </c>
      <c r="E1501" s="10" t="s">
        <v>7105</v>
      </c>
      <c r="F1501" s="2" t="s">
        <v>1326</v>
      </c>
      <c r="G1501" s="2"/>
      <c r="H1501" s="2"/>
      <c r="I1501" s="2" t="s">
        <v>7102</v>
      </c>
    </row>
    <row r="1502" ht="15.75" hidden="1" customHeight="1">
      <c r="A1502" s="9">
        <v>7267242.0</v>
      </c>
      <c r="B1502" s="2" t="s">
        <v>7107</v>
      </c>
      <c r="C1502" s="2" t="s">
        <v>7108</v>
      </c>
      <c r="D1502" s="2" t="s">
        <v>7109</v>
      </c>
      <c r="E1502" s="10" t="s">
        <v>7110</v>
      </c>
      <c r="F1502" s="2" t="s">
        <v>1326</v>
      </c>
      <c r="G1502" s="2"/>
      <c r="H1502" s="2"/>
      <c r="I1502" s="2" t="s">
        <v>7108</v>
      </c>
    </row>
    <row r="1503" ht="15.75" hidden="1" customHeight="1">
      <c r="A1503" s="9">
        <v>7267243.0</v>
      </c>
      <c r="B1503" s="2" t="s">
        <v>7111</v>
      </c>
      <c r="C1503" s="2" t="s">
        <v>7112</v>
      </c>
      <c r="D1503" s="2" t="s">
        <v>7113</v>
      </c>
      <c r="E1503" s="10" t="s">
        <v>7114</v>
      </c>
      <c r="F1503" s="2" t="s">
        <v>1326</v>
      </c>
      <c r="G1503" s="2"/>
      <c r="H1503" s="2"/>
      <c r="I1503" s="2" t="s">
        <v>7112</v>
      </c>
    </row>
    <row r="1504" ht="15.75" hidden="1" customHeight="1">
      <c r="A1504" s="9">
        <v>7267244.0</v>
      </c>
      <c r="B1504" s="2" t="s">
        <v>7115</v>
      </c>
      <c r="C1504" s="2" t="s">
        <v>7116</v>
      </c>
      <c r="D1504" s="2" t="s">
        <v>2727</v>
      </c>
      <c r="E1504" s="10" t="s">
        <v>2737</v>
      </c>
      <c r="F1504" s="2" t="s">
        <v>1326</v>
      </c>
      <c r="G1504" s="2"/>
      <c r="H1504" s="2"/>
      <c r="I1504" s="2" t="s">
        <v>7116</v>
      </c>
    </row>
    <row r="1505" ht="15.75" hidden="1" customHeight="1">
      <c r="A1505" s="9">
        <v>7267245.0</v>
      </c>
      <c r="B1505" s="2" t="s">
        <v>7117</v>
      </c>
      <c r="C1505" s="2" t="s">
        <v>7118</v>
      </c>
      <c r="D1505" s="2" t="s">
        <v>7119</v>
      </c>
      <c r="E1505" s="10" t="s">
        <v>7120</v>
      </c>
      <c r="F1505" s="2" t="s">
        <v>1326</v>
      </c>
      <c r="G1505" s="2"/>
      <c r="H1505" s="2"/>
      <c r="I1505" s="2" t="s">
        <v>7118</v>
      </c>
    </row>
    <row r="1506" ht="15.75" hidden="1" customHeight="1">
      <c r="A1506" s="9">
        <v>7267246.0</v>
      </c>
      <c r="B1506" s="2" t="s">
        <v>7122</v>
      </c>
      <c r="C1506" s="2" t="s">
        <v>7123</v>
      </c>
      <c r="D1506" s="2" t="s">
        <v>5937</v>
      </c>
      <c r="E1506" s="10" t="s">
        <v>5944</v>
      </c>
      <c r="F1506" s="2" t="s">
        <v>1326</v>
      </c>
      <c r="G1506" s="2"/>
      <c r="H1506" s="2"/>
      <c r="I1506" s="2" t="s">
        <v>7123</v>
      </c>
    </row>
    <row r="1507" ht="15.75" hidden="1" customHeight="1">
      <c r="A1507" s="9">
        <v>7267247.0</v>
      </c>
      <c r="B1507" s="2" t="s">
        <v>7125</v>
      </c>
      <c r="C1507" s="2" t="s">
        <v>7127</v>
      </c>
      <c r="D1507" s="2" t="s">
        <v>7128</v>
      </c>
      <c r="E1507" s="10" t="s">
        <v>7129</v>
      </c>
      <c r="F1507" s="2" t="s">
        <v>1326</v>
      </c>
      <c r="G1507" s="2"/>
      <c r="H1507" s="2"/>
      <c r="I1507" s="2" t="s">
        <v>7127</v>
      </c>
    </row>
    <row r="1508" ht="15.75" hidden="1" customHeight="1">
      <c r="A1508" s="9">
        <v>7267248.0</v>
      </c>
      <c r="B1508" s="2" t="s">
        <v>7130</v>
      </c>
      <c r="C1508" s="2" t="s">
        <v>7131</v>
      </c>
      <c r="D1508" s="2" t="s">
        <v>4729</v>
      </c>
      <c r="E1508" s="10" t="s">
        <v>4734</v>
      </c>
      <c r="F1508" s="2" t="s">
        <v>1326</v>
      </c>
      <c r="G1508" s="2"/>
      <c r="H1508" s="2"/>
      <c r="I1508" s="2" t="s">
        <v>7131</v>
      </c>
    </row>
    <row r="1509" ht="15.75" hidden="1" customHeight="1">
      <c r="A1509" s="9">
        <v>7267249.0</v>
      </c>
      <c r="B1509" s="2" t="s">
        <v>7132</v>
      </c>
      <c r="C1509" s="2" t="s">
        <v>7133</v>
      </c>
      <c r="D1509" s="2" t="s">
        <v>7134</v>
      </c>
      <c r="E1509" s="10" t="s">
        <v>7135</v>
      </c>
      <c r="F1509" s="2" t="s">
        <v>1326</v>
      </c>
      <c r="G1509" s="2"/>
      <c r="H1509" s="2"/>
      <c r="I1509" s="2" t="s">
        <v>7133</v>
      </c>
    </row>
    <row r="1510" ht="15.75" hidden="1" customHeight="1">
      <c r="A1510" s="9">
        <v>7267250.0</v>
      </c>
      <c r="B1510" s="2" t="s">
        <v>7137</v>
      </c>
      <c r="C1510" s="2" t="s">
        <v>7138</v>
      </c>
      <c r="D1510" s="2" t="s">
        <v>7139</v>
      </c>
      <c r="E1510" s="10" t="s">
        <v>7140</v>
      </c>
      <c r="F1510" s="2" t="s">
        <v>1326</v>
      </c>
      <c r="G1510" s="2"/>
      <c r="H1510" s="2"/>
      <c r="I1510" s="2" t="s">
        <v>7138</v>
      </c>
    </row>
    <row r="1511" ht="15.75" hidden="1" customHeight="1">
      <c r="A1511" s="9">
        <v>7267251.0</v>
      </c>
      <c r="B1511" s="2" t="s">
        <v>7142</v>
      </c>
      <c r="C1511" s="2" t="s">
        <v>7143</v>
      </c>
      <c r="D1511" s="2" t="s">
        <v>7145</v>
      </c>
      <c r="E1511" s="10" t="s">
        <v>7146</v>
      </c>
      <c r="F1511" s="2" t="s">
        <v>1326</v>
      </c>
      <c r="G1511" s="2"/>
      <c r="H1511" s="2"/>
      <c r="I1511" s="2" t="s">
        <v>7143</v>
      </c>
    </row>
    <row r="1512" ht="15.75" hidden="1" customHeight="1">
      <c r="A1512" s="9">
        <v>7267252.0</v>
      </c>
      <c r="B1512" s="2" t="s">
        <v>7147</v>
      </c>
      <c r="C1512" s="2" t="s">
        <v>7148</v>
      </c>
      <c r="D1512" s="2" t="s">
        <v>7149</v>
      </c>
      <c r="E1512" s="10" t="s">
        <v>7150</v>
      </c>
      <c r="F1512" s="2" t="s">
        <v>1326</v>
      </c>
      <c r="G1512" s="2"/>
      <c r="H1512" s="2"/>
      <c r="I1512" s="2" t="s">
        <v>7148</v>
      </c>
    </row>
    <row r="1513" ht="15.75" hidden="1" customHeight="1">
      <c r="A1513" s="9">
        <v>7267253.0</v>
      </c>
      <c r="B1513" s="2" t="s">
        <v>7151</v>
      </c>
      <c r="C1513" s="2" t="s">
        <v>7152</v>
      </c>
      <c r="D1513" s="2" t="s">
        <v>1982</v>
      </c>
      <c r="E1513" s="10" t="s">
        <v>1987</v>
      </c>
      <c r="F1513" s="2" t="s">
        <v>1326</v>
      </c>
      <c r="G1513" s="2"/>
      <c r="H1513" s="2"/>
      <c r="I1513" s="2" t="s">
        <v>7152</v>
      </c>
    </row>
    <row r="1514" ht="15.75" hidden="1" customHeight="1">
      <c r="A1514" s="9">
        <v>7267254.0</v>
      </c>
      <c r="B1514" s="2" t="s">
        <v>7153</v>
      </c>
      <c r="C1514" s="2" t="s">
        <v>7154</v>
      </c>
      <c r="D1514" s="2" t="s">
        <v>7155</v>
      </c>
      <c r="E1514" s="10" t="s">
        <v>7156</v>
      </c>
      <c r="F1514" s="2" t="s">
        <v>1326</v>
      </c>
      <c r="G1514" s="2"/>
      <c r="H1514" s="2"/>
      <c r="I1514" s="2" t="s">
        <v>7154</v>
      </c>
    </row>
    <row r="1515" ht="15.75" hidden="1" customHeight="1">
      <c r="A1515" s="9">
        <v>7267255.0</v>
      </c>
      <c r="B1515" s="2" t="s">
        <v>1087</v>
      </c>
      <c r="C1515" s="2" t="s">
        <v>7158</v>
      </c>
      <c r="D1515" s="2" t="s">
        <v>7159</v>
      </c>
      <c r="E1515" s="10" t="s">
        <v>7160</v>
      </c>
      <c r="F1515" s="2" t="s">
        <v>1326</v>
      </c>
      <c r="G1515" s="2"/>
      <c r="H1515" s="2"/>
      <c r="I1515" s="2" t="s">
        <v>7158</v>
      </c>
    </row>
    <row r="1516" ht="15.75" hidden="1" customHeight="1">
      <c r="A1516" s="9">
        <v>7267256.0</v>
      </c>
      <c r="B1516" s="2" t="s">
        <v>7162</v>
      </c>
      <c r="C1516" s="2" t="s">
        <v>7163</v>
      </c>
      <c r="D1516" s="2" t="s">
        <v>7164</v>
      </c>
      <c r="E1516" s="10" t="s">
        <v>7165</v>
      </c>
      <c r="F1516" s="2" t="s">
        <v>1326</v>
      </c>
      <c r="G1516" s="2"/>
      <c r="H1516" s="2"/>
      <c r="I1516" s="2" t="s">
        <v>7163</v>
      </c>
    </row>
    <row r="1517" ht="15.75" hidden="1" customHeight="1">
      <c r="A1517" s="9">
        <v>7267257.0</v>
      </c>
      <c r="B1517" s="2" t="s">
        <v>7166</v>
      </c>
      <c r="C1517" s="2" t="s">
        <v>7167</v>
      </c>
      <c r="D1517" s="2" t="s">
        <v>7168</v>
      </c>
      <c r="E1517" s="10" t="s">
        <v>7169</v>
      </c>
      <c r="F1517" s="2" t="s">
        <v>1326</v>
      </c>
      <c r="G1517" s="2"/>
      <c r="H1517" s="2"/>
      <c r="I1517" s="2" t="s">
        <v>7167</v>
      </c>
    </row>
    <row r="1518" ht="15.75" hidden="1" customHeight="1">
      <c r="A1518" s="9">
        <v>7267258.0</v>
      </c>
      <c r="B1518" s="2" t="s">
        <v>7170</v>
      </c>
      <c r="C1518" s="2" t="s">
        <v>7171</v>
      </c>
      <c r="D1518" s="2" t="s">
        <v>4557</v>
      </c>
      <c r="E1518" s="10" t="s">
        <v>4562</v>
      </c>
      <c r="F1518" s="2" t="s">
        <v>1326</v>
      </c>
      <c r="G1518" s="2"/>
      <c r="H1518" s="2"/>
      <c r="I1518" s="2" t="s">
        <v>7171</v>
      </c>
    </row>
    <row r="1519" ht="15.75" hidden="1" customHeight="1">
      <c r="A1519" s="9">
        <v>7267259.0</v>
      </c>
      <c r="B1519" s="2" t="s">
        <v>7174</v>
      </c>
      <c r="C1519" s="2" t="s">
        <v>7176</v>
      </c>
      <c r="D1519" s="2" t="s">
        <v>7177</v>
      </c>
      <c r="E1519" s="10" t="s">
        <v>7178</v>
      </c>
      <c r="F1519" s="2" t="s">
        <v>1326</v>
      </c>
      <c r="G1519" s="2"/>
      <c r="H1519" s="2"/>
      <c r="I1519" s="2" t="s">
        <v>7176</v>
      </c>
    </row>
    <row r="1520" ht="15.75" hidden="1" customHeight="1">
      <c r="A1520" s="9">
        <v>7267260.0</v>
      </c>
      <c r="B1520" s="2" t="s">
        <v>7180</v>
      </c>
      <c r="C1520" s="2" t="s">
        <v>7181</v>
      </c>
      <c r="D1520" s="2" t="s">
        <v>4795</v>
      </c>
      <c r="E1520" s="10" t="s">
        <v>4800</v>
      </c>
      <c r="F1520" s="2" t="s">
        <v>1326</v>
      </c>
      <c r="G1520" s="2"/>
      <c r="H1520" s="2"/>
      <c r="I1520" s="2" t="s">
        <v>7181</v>
      </c>
    </row>
    <row r="1521" ht="15.75" hidden="1" customHeight="1">
      <c r="A1521" s="9">
        <v>7267261.0</v>
      </c>
      <c r="B1521" s="2" t="s">
        <v>7182</v>
      </c>
      <c r="C1521" s="2" t="s">
        <v>7183</v>
      </c>
      <c r="D1521" s="2" t="s">
        <v>7184</v>
      </c>
      <c r="E1521" s="10" t="s">
        <v>7185</v>
      </c>
      <c r="F1521" s="2" t="s">
        <v>1326</v>
      </c>
      <c r="G1521" s="2"/>
      <c r="H1521" s="2"/>
      <c r="I1521" s="2" t="s">
        <v>7183</v>
      </c>
    </row>
    <row r="1522" ht="15.75" hidden="1" customHeight="1">
      <c r="A1522" s="9">
        <v>7267262.0</v>
      </c>
      <c r="B1522" s="2" t="s">
        <v>7186</v>
      </c>
      <c r="C1522" s="2" t="s">
        <v>7188</v>
      </c>
      <c r="D1522" s="2" t="s">
        <v>7189</v>
      </c>
      <c r="E1522" s="10" t="s">
        <v>7190</v>
      </c>
      <c r="F1522" s="2" t="s">
        <v>1326</v>
      </c>
      <c r="G1522" s="2"/>
      <c r="H1522" s="2"/>
      <c r="I1522" s="2" t="s">
        <v>7188</v>
      </c>
    </row>
    <row r="1523" ht="15.75" hidden="1" customHeight="1">
      <c r="A1523" s="9">
        <v>7267263.0</v>
      </c>
      <c r="B1523" s="2" t="s">
        <v>7191</v>
      </c>
      <c r="C1523" s="2" t="s">
        <v>7192</v>
      </c>
      <c r="D1523" s="2" t="s">
        <v>7194</v>
      </c>
      <c r="E1523" s="10" t="s">
        <v>7195</v>
      </c>
      <c r="F1523" s="2" t="s">
        <v>1326</v>
      </c>
      <c r="G1523" s="2"/>
      <c r="H1523" s="2"/>
      <c r="I1523" s="2" t="s">
        <v>7192</v>
      </c>
    </row>
    <row r="1524" ht="15.75" hidden="1" customHeight="1">
      <c r="A1524" s="9">
        <v>7267264.0</v>
      </c>
      <c r="B1524" s="2" t="s">
        <v>7196</v>
      </c>
      <c r="C1524" s="2" t="s">
        <v>7197</v>
      </c>
      <c r="D1524" s="2" t="s">
        <v>7198</v>
      </c>
      <c r="E1524" s="10" t="s">
        <v>7199</v>
      </c>
      <c r="F1524" s="2" t="s">
        <v>1326</v>
      </c>
      <c r="G1524" s="2"/>
      <c r="H1524" s="2"/>
      <c r="I1524" s="2" t="s">
        <v>7197</v>
      </c>
    </row>
    <row r="1525" ht="15.75" hidden="1" customHeight="1">
      <c r="A1525" s="9">
        <v>7267265.0</v>
      </c>
      <c r="B1525" s="2" t="s">
        <v>7200</v>
      </c>
      <c r="C1525" s="2" t="s">
        <v>7201</v>
      </c>
      <c r="D1525" s="2" t="s">
        <v>7202</v>
      </c>
      <c r="E1525" s="10" t="s">
        <v>7203</v>
      </c>
      <c r="F1525" s="2" t="s">
        <v>1326</v>
      </c>
      <c r="G1525" s="2"/>
      <c r="H1525" s="2"/>
      <c r="I1525" s="2" t="s">
        <v>7201</v>
      </c>
    </row>
    <row r="1526" ht="15.75" hidden="1" customHeight="1">
      <c r="A1526" s="9">
        <v>7267266.0</v>
      </c>
      <c r="B1526" s="2" t="s">
        <v>7204</v>
      </c>
      <c r="C1526" s="2" t="s">
        <v>7205</v>
      </c>
      <c r="D1526" s="2" t="s">
        <v>7206</v>
      </c>
      <c r="E1526" s="10" t="s">
        <v>7207</v>
      </c>
      <c r="F1526" s="2" t="s">
        <v>1326</v>
      </c>
      <c r="G1526" s="2"/>
      <c r="H1526" s="2"/>
      <c r="I1526" s="2" t="s">
        <v>7205</v>
      </c>
    </row>
    <row r="1527" ht="15.75" hidden="1" customHeight="1">
      <c r="A1527" s="9">
        <v>7267267.0</v>
      </c>
      <c r="B1527" s="2" t="s">
        <v>7208</v>
      </c>
      <c r="C1527" s="2" t="s">
        <v>7209</v>
      </c>
      <c r="D1527" s="2" t="s">
        <v>1312</v>
      </c>
      <c r="E1527" s="10" t="s">
        <v>1319</v>
      </c>
      <c r="F1527" s="2" t="s">
        <v>1326</v>
      </c>
      <c r="G1527" s="2"/>
      <c r="H1527" s="2"/>
      <c r="I1527" s="2" t="s">
        <v>7209</v>
      </c>
    </row>
    <row r="1528" ht="15.75" hidden="1" customHeight="1">
      <c r="A1528" s="9">
        <v>7267268.0</v>
      </c>
      <c r="B1528" s="2" t="s">
        <v>7211</v>
      </c>
      <c r="C1528" s="2" t="s">
        <v>7212</v>
      </c>
      <c r="D1528" s="2" t="s">
        <v>3701</v>
      </c>
      <c r="E1528" s="10" t="s">
        <v>3703</v>
      </c>
      <c r="F1528" s="2" t="s">
        <v>1561</v>
      </c>
      <c r="G1528" s="2"/>
      <c r="H1528" s="2"/>
      <c r="I1528" s="2" t="s">
        <v>7212</v>
      </c>
    </row>
    <row r="1529" ht="15.75" hidden="1" customHeight="1">
      <c r="A1529" s="9">
        <v>7267269.0</v>
      </c>
      <c r="B1529" s="2" t="s">
        <v>7213</v>
      </c>
      <c r="C1529" s="2" t="s">
        <v>7214</v>
      </c>
      <c r="D1529" s="2" t="s">
        <v>7215</v>
      </c>
      <c r="E1529" s="10" t="s">
        <v>7216</v>
      </c>
      <c r="F1529" s="2" t="s">
        <v>1561</v>
      </c>
      <c r="G1529" s="2"/>
      <c r="H1529" s="2"/>
      <c r="I1529" s="2" t="s">
        <v>7214</v>
      </c>
    </row>
    <row r="1530" ht="15.75" hidden="1" customHeight="1">
      <c r="A1530" s="9">
        <v>7267271.0</v>
      </c>
      <c r="B1530" s="2" t="s">
        <v>1145</v>
      </c>
      <c r="C1530" s="2" t="s">
        <v>7217</v>
      </c>
      <c r="D1530" s="2" t="s">
        <v>7218</v>
      </c>
      <c r="E1530" s="10" t="s">
        <v>7219</v>
      </c>
      <c r="F1530" s="2" t="s">
        <v>1561</v>
      </c>
      <c r="G1530" s="2"/>
      <c r="H1530" s="2"/>
      <c r="I1530" s="2" t="s">
        <v>7217</v>
      </c>
    </row>
    <row r="1531" ht="15.75" hidden="1" customHeight="1">
      <c r="A1531" s="9">
        <v>7267272.0</v>
      </c>
      <c r="B1531" s="2" t="s">
        <v>7222</v>
      </c>
      <c r="C1531" s="2" t="s">
        <v>7223</v>
      </c>
      <c r="D1531" s="2" t="s">
        <v>7224</v>
      </c>
      <c r="E1531" s="10" t="s">
        <v>7226</v>
      </c>
      <c r="F1531" s="2" t="s">
        <v>1561</v>
      </c>
      <c r="G1531" s="2"/>
      <c r="H1531" s="2"/>
      <c r="I1531" s="2" t="s">
        <v>7223</v>
      </c>
    </row>
    <row r="1532" ht="15.75" hidden="1" customHeight="1">
      <c r="A1532" s="9">
        <v>7267273.0</v>
      </c>
      <c r="B1532" s="2" t="s">
        <v>7228</v>
      </c>
      <c r="C1532" s="2" t="s">
        <v>7229</v>
      </c>
      <c r="D1532" s="2" t="s">
        <v>7230</v>
      </c>
      <c r="E1532" s="10" t="s">
        <v>7231</v>
      </c>
      <c r="F1532" s="2" t="s">
        <v>1561</v>
      </c>
      <c r="G1532" s="2"/>
      <c r="H1532" s="2"/>
      <c r="I1532" s="2" t="s">
        <v>7229</v>
      </c>
    </row>
    <row r="1533" ht="15.75" hidden="1" customHeight="1">
      <c r="A1533" s="9">
        <v>7267274.0</v>
      </c>
      <c r="B1533" s="2" t="s">
        <v>7232</v>
      </c>
      <c r="C1533" s="2" t="s">
        <v>7233</v>
      </c>
      <c r="D1533" s="2" t="s">
        <v>7234</v>
      </c>
      <c r="E1533" s="10" t="s">
        <v>7235</v>
      </c>
      <c r="F1533" s="2" t="s">
        <v>1561</v>
      </c>
      <c r="G1533" s="2"/>
      <c r="H1533" s="2"/>
      <c r="I1533" s="2" t="s">
        <v>7233</v>
      </c>
    </row>
    <row r="1534" ht="15.75" hidden="1" customHeight="1">
      <c r="A1534" s="9">
        <v>7267275.0</v>
      </c>
      <c r="B1534" s="2" t="s">
        <v>7236</v>
      </c>
      <c r="C1534" s="2" t="s">
        <v>7237</v>
      </c>
      <c r="D1534" s="2" t="s">
        <v>7238</v>
      </c>
      <c r="E1534" s="10" t="s">
        <v>7240</v>
      </c>
      <c r="F1534" s="2" t="s">
        <v>1561</v>
      </c>
      <c r="G1534" s="2"/>
      <c r="H1534" s="2"/>
      <c r="I1534" s="2" t="s">
        <v>7237</v>
      </c>
    </row>
    <row r="1535" ht="15.75" hidden="1" customHeight="1">
      <c r="A1535" s="9">
        <v>7267276.0</v>
      </c>
      <c r="B1535" s="2" t="s">
        <v>7242</v>
      </c>
      <c r="C1535" s="2" t="s">
        <v>7243</v>
      </c>
      <c r="D1535" s="2" t="s">
        <v>3527</v>
      </c>
      <c r="E1535" s="10" t="s">
        <v>3533</v>
      </c>
      <c r="F1535" s="2" t="s">
        <v>1561</v>
      </c>
      <c r="G1535" s="2"/>
      <c r="H1535" s="2"/>
      <c r="I1535" s="2" t="s">
        <v>7243</v>
      </c>
    </row>
    <row r="1536" ht="15.75" hidden="1" customHeight="1">
      <c r="A1536" s="9">
        <v>7267277.0</v>
      </c>
      <c r="B1536" s="2" t="s">
        <v>7246</v>
      </c>
      <c r="C1536" s="2" t="s">
        <v>7247</v>
      </c>
      <c r="D1536" s="2" t="s">
        <v>7248</v>
      </c>
      <c r="E1536" s="10" t="s">
        <v>7249</v>
      </c>
      <c r="F1536" s="2" t="s">
        <v>1561</v>
      </c>
      <c r="G1536" s="2"/>
      <c r="H1536" s="2"/>
      <c r="I1536" s="2" t="s">
        <v>7247</v>
      </c>
    </row>
    <row r="1537" ht="15.75" hidden="1" customHeight="1">
      <c r="A1537" s="9">
        <v>7267278.0</v>
      </c>
      <c r="B1537" s="2" t="s">
        <v>7250</v>
      </c>
      <c r="C1537" s="2" t="s">
        <v>7251</v>
      </c>
      <c r="D1537" s="2" t="s">
        <v>7252</v>
      </c>
      <c r="E1537" s="10" t="s">
        <v>7253</v>
      </c>
      <c r="F1537" s="2" t="s">
        <v>1561</v>
      </c>
      <c r="G1537" s="2"/>
      <c r="H1537" s="2"/>
      <c r="I1537" s="2" t="s">
        <v>7251</v>
      </c>
    </row>
    <row r="1538" ht="15.75" hidden="1" customHeight="1">
      <c r="A1538" s="9">
        <v>7267279.0</v>
      </c>
      <c r="B1538" s="2" t="s">
        <v>7254</v>
      </c>
      <c r="C1538" s="2" t="s">
        <v>7255</v>
      </c>
      <c r="D1538" s="2" t="s">
        <v>7256</v>
      </c>
      <c r="E1538" s="10" t="s">
        <v>7257</v>
      </c>
      <c r="F1538" s="2" t="s">
        <v>1561</v>
      </c>
      <c r="G1538" s="2"/>
      <c r="H1538" s="2"/>
      <c r="I1538" s="2" t="s">
        <v>7255</v>
      </c>
    </row>
    <row r="1539" ht="15.75" hidden="1" customHeight="1">
      <c r="A1539" s="9">
        <v>7267280.0</v>
      </c>
      <c r="B1539" s="2" t="s">
        <v>7258</v>
      </c>
      <c r="C1539" s="2" t="s">
        <v>7259</v>
      </c>
      <c r="D1539" s="2" t="s">
        <v>7260</v>
      </c>
      <c r="E1539" s="10" t="s">
        <v>7261</v>
      </c>
      <c r="F1539" s="2" t="s">
        <v>1561</v>
      </c>
      <c r="G1539" s="2"/>
      <c r="H1539" s="2"/>
      <c r="I1539" s="2" t="s">
        <v>7259</v>
      </c>
    </row>
    <row r="1540" ht="15.75" hidden="1" customHeight="1">
      <c r="A1540" s="9">
        <v>7267281.0</v>
      </c>
      <c r="B1540" s="2" t="s">
        <v>7263</v>
      </c>
      <c r="C1540" s="2" t="s">
        <v>7264</v>
      </c>
      <c r="D1540" s="2" t="s">
        <v>7265</v>
      </c>
      <c r="E1540" s="10" t="s">
        <v>7266</v>
      </c>
      <c r="F1540" s="2" t="s">
        <v>1561</v>
      </c>
      <c r="G1540" s="2"/>
      <c r="H1540" s="2"/>
      <c r="I1540" s="2" t="s">
        <v>7264</v>
      </c>
    </row>
    <row r="1541" ht="15.75" hidden="1" customHeight="1">
      <c r="A1541" s="9">
        <v>7267283.0</v>
      </c>
      <c r="B1541" s="2" t="s">
        <v>7268</v>
      </c>
      <c r="C1541" s="2" t="s">
        <v>7269</v>
      </c>
      <c r="D1541" s="2" t="s">
        <v>7270</v>
      </c>
      <c r="E1541" s="10" t="s">
        <v>7271</v>
      </c>
      <c r="F1541" s="2" t="s">
        <v>1561</v>
      </c>
      <c r="G1541" s="2"/>
      <c r="H1541" s="2"/>
      <c r="I1541" s="2" t="s">
        <v>7269</v>
      </c>
    </row>
    <row r="1542" ht="15.75" hidden="1" customHeight="1">
      <c r="A1542" s="9">
        <v>7267284.0</v>
      </c>
      <c r="B1542" s="2" t="s">
        <v>7272</v>
      </c>
      <c r="C1542" s="2" t="s">
        <v>7273</v>
      </c>
      <c r="D1542" s="2" t="s">
        <v>7274</v>
      </c>
      <c r="E1542" s="10" t="s">
        <v>7275</v>
      </c>
      <c r="F1542" s="2" t="s">
        <v>1561</v>
      </c>
      <c r="G1542" s="2"/>
      <c r="H1542" s="2"/>
      <c r="I1542" s="2" t="s">
        <v>7273</v>
      </c>
    </row>
    <row r="1543" ht="15.75" hidden="1" customHeight="1">
      <c r="A1543" s="9">
        <v>7267285.0</v>
      </c>
      <c r="B1543" s="2" t="s">
        <v>7276</v>
      </c>
      <c r="C1543" s="2" t="s">
        <v>7277</v>
      </c>
      <c r="D1543" s="2" t="s">
        <v>7278</v>
      </c>
      <c r="E1543" s="10" t="s">
        <v>7279</v>
      </c>
      <c r="F1543" s="2" t="s">
        <v>1561</v>
      </c>
      <c r="G1543" s="2"/>
      <c r="H1543" s="2"/>
      <c r="I1543" s="2" t="s">
        <v>7277</v>
      </c>
    </row>
    <row r="1544" ht="15.75" hidden="1" customHeight="1">
      <c r="A1544" s="9">
        <v>7267286.0</v>
      </c>
      <c r="B1544" s="2" t="s">
        <v>7280</v>
      </c>
      <c r="C1544" s="2" t="s">
        <v>7281</v>
      </c>
      <c r="D1544" s="2" t="s">
        <v>7282</v>
      </c>
      <c r="E1544" s="10" t="s">
        <v>7283</v>
      </c>
      <c r="F1544" s="2" t="s">
        <v>1561</v>
      </c>
      <c r="G1544" s="2"/>
      <c r="H1544" s="2"/>
      <c r="I1544" s="2" t="s">
        <v>7281</v>
      </c>
    </row>
    <row r="1545" ht="15.75" hidden="1" customHeight="1">
      <c r="A1545" s="9">
        <v>7267287.0</v>
      </c>
      <c r="B1545" s="2" t="s">
        <v>7285</v>
      </c>
      <c r="C1545" s="2" t="s">
        <v>7286</v>
      </c>
      <c r="D1545" s="2" t="s">
        <v>7287</v>
      </c>
      <c r="E1545" s="10" t="s">
        <v>7288</v>
      </c>
      <c r="F1545" s="2" t="s">
        <v>1561</v>
      </c>
      <c r="G1545" s="2"/>
      <c r="H1545" s="2"/>
      <c r="I1545" s="2" t="s">
        <v>7286</v>
      </c>
    </row>
    <row r="1546" ht="15.75" hidden="1" customHeight="1">
      <c r="A1546" s="9">
        <v>7267288.0</v>
      </c>
      <c r="B1546" s="2" t="s">
        <v>7289</v>
      </c>
      <c r="C1546" s="2" t="s">
        <v>7290</v>
      </c>
      <c r="D1546" s="2" t="s">
        <v>7291</v>
      </c>
      <c r="E1546" s="10" t="s">
        <v>7292</v>
      </c>
      <c r="F1546" s="2" t="s">
        <v>1561</v>
      </c>
      <c r="G1546" s="2"/>
      <c r="H1546" s="2"/>
      <c r="I1546" s="2" t="s">
        <v>7290</v>
      </c>
    </row>
    <row r="1547" ht="15.75" hidden="1" customHeight="1">
      <c r="A1547" s="9">
        <v>7267289.0</v>
      </c>
      <c r="B1547" s="2" t="s">
        <v>7293</v>
      </c>
      <c r="C1547" s="2" t="s">
        <v>7294</v>
      </c>
      <c r="D1547" s="2" t="s">
        <v>7295</v>
      </c>
      <c r="E1547" s="10" t="s">
        <v>7296</v>
      </c>
      <c r="F1547" s="2" t="s">
        <v>1561</v>
      </c>
      <c r="G1547" s="2"/>
      <c r="H1547" s="2"/>
      <c r="I1547" s="2" t="s">
        <v>7294</v>
      </c>
    </row>
    <row r="1548" ht="15.75" hidden="1" customHeight="1">
      <c r="A1548" s="9">
        <v>7267290.0</v>
      </c>
      <c r="B1548" s="2" t="s">
        <v>7298</v>
      </c>
      <c r="C1548" s="2" t="s">
        <v>7299</v>
      </c>
      <c r="D1548" s="2" t="s">
        <v>7300</v>
      </c>
      <c r="E1548" s="10" t="s">
        <v>7301</v>
      </c>
      <c r="F1548" s="2" t="s">
        <v>1561</v>
      </c>
      <c r="G1548" s="2"/>
      <c r="H1548" s="2"/>
      <c r="I1548" s="2" t="s">
        <v>7299</v>
      </c>
    </row>
    <row r="1549" ht="15.75" hidden="1" customHeight="1">
      <c r="A1549" s="9">
        <v>7267291.0</v>
      </c>
      <c r="B1549" s="2" t="s">
        <v>7302</v>
      </c>
      <c r="C1549" s="2" t="s">
        <v>7303</v>
      </c>
      <c r="D1549" s="2" t="s">
        <v>7304</v>
      </c>
      <c r="E1549" s="10" t="s">
        <v>7305</v>
      </c>
      <c r="F1549" s="2" t="s">
        <v>1561</v>
      </c>
      <c r="G1549" s="2"/>
      <c r="H1549" s="2"/>
      <c r="I1549" s="2" t="s">
        <v>7303</v>
      </c>
    </row>
    <row r="1550" ht="15.75" hidden="1" customHeight="1">
      <c r="A1550" s="9">
        <v>7267292.0</v>
      </c>
      <c r="B1550" s="2" t="s">
        <v>7306</v>
      </c>
      <c r="C1550" s="2" t="s">
        <v>7307</v>
      </c>
      <c r="D1550" s="2" t="s">
        <v>7308</v>
      </c>
      <c r="E1550" s="10" t="s">
        <v>7309</v>
      </c>
      <c r="F1550" s="2" t="s">
        <v>1561</v>
      </c>
      <c r="G1550" s="2"/>
      <c r="H1550" s="2"/>
      <c r="I1550" s="2" t="s">
        <v>7307</v>
      </c>
    </row>
    <row r="1551" ht="15.75" hidden="1" customHeight="1">
      <c r="A1551" s="9">
        <v>7267293.0</v>
      </c>
      <c r="B1551" s="2" t="s">
        <v>7310</v>
      </c>
      <c r="C1551" s="2" t="s">
        <v>7311</v>
      </c>
      <c r="D1551" s="2" t="s">
        <v>7312</v>
      </c>
      <c r="E1551" s="10" t="s">
        <v>7313</v>
      </c>
      <c r="F1551" s="2" t="s">
        <v>1561</v>
      </c>
      <c r="G1551" s="2"/>
      <c r="H1551" s="2"/>
      <c r="I1551" s="2" t="s">
        <v>7311</v>
      </c>
    </row>
    <row r="1552" ht="15.75" hidden="1" customHeight="1">
      <c r="A1552" s="9">
        <v>7267294.0</v>
      </c>
      <c r="B1552" s="2" t="s">
        <v>7314</v>
      </c>
      <c r="C1552" s="2" t="s">
        <v>7315</v>
      </c>
      <c r="D1552" s="2" t="s">
        <v>7316</v>
      </c>
      <c r="E1552" s="10" t="s">
        <v>7317</v>
      </c>
      <c r="F1552" s="2" t="s">
        <v>1561</v>
      </c>
      <c r="G1552" s="2"/>
      <c r="H1552" s="2"/>
      <c r="I1552" s="2" t="s">
        <v>7315</v>
      </c>
    </row>
    <row r="1553" ht="15.75" hidden="1" customHeight="1">
      <c r="A1553" s="9">
        <v>7267295.0</v>
      </c>
      <c r="B1553" s="2" t="s">
        <v>7318</v>
      </c>
      <c r="C1553" s="2" t="s">
        <v>7319</v>
      </c>
      <c r="D1553" s="2" t="s">
        <v>7320</v>
      </c>
      <c r="E1553" s="10" t="s">
        <v>7321</v>
      </c>
      <c r="F1553" s="2" t="s">
        <v>1561</v>
      </c>
      <c r="G1553" s="2"/>
      <c r="H1553" s="2"/>
      <c r="I1553" s="2" t="s">
        <v>7319</v>
      </c>
    </row>
    <row r="1554" ht="15.75" hidden="1" customHeight="1">
      <c r="A1554" s="9">
        <v>7267296.0</v>
      </c>
      <c r="B1554" s="2" t="s">
        <v>7323</v>
      </c>
      <c r="C1554" s="2" t="s">
        <v>7324</v>
      </c>
      <c r="D1554" s="2" t="s">
        <v>7325</v>
      </c>
      <c r="E1554" s="10" t="s">
        <v>7326</v>
      </c>
      <c r="F1554" s="2" t="s">
        <v>1561</v>
      </c>
      <c r="G1554" s="2"/>
      <c r="H1554" s="2"/>
      <c r="I1554" s="2" t="s">
        <v>7324</v>
      </c>
    </row>
    <row r="1555" ht="15.75" hidden="1" customHeight="1">
      <c r="A1555" s="9">
        <v>7267297.0</v>
      </c>
      <c r="B1555" s="2" t="s">
        <v>7327</v>
      </c>
      <c r="C1555" s="2" t="s">
        <v>7328</v>
      </c>
      <c r="D1555" s="2" t="s">
        <v>7329</v>
      </c>
      <c r="E1555" s="10" t="s">
        <v>7331</v>
      </c>
      <c r="F1555" s="2" t="s">
        <v>1561</v>
      </c>
      <c r="G1555" s="2"/>
      <c r="H1555" s="2"/>
      <c r="I1555" s="2" t="s">
        <v>7328</v>
      </c>
    </row>
    <row r="1556" ht="15.75" hidden="1" customHeight="1">
      <c r="A1556" s="9">
        <v>7267298.0</v>
      </c>
      <c r="B1556" s="2" t="s">
        <v>7332</v>
      </c>
      <c r="C1556" s="2" t="s">
        <v>7333</v>
      </c>
      <c r="D1556" s="2" t="s">
        <v>7334</v>
      </c>
      <c r="E1556" s="10" t="s">
        <v>7335</v>
      </c>
      <c r="F1556" s="2" t="s">
        <v>1561</v>
      </c>
      <c r="G1556" s="2"/>
      <c r="H1556" s="2"/>
      <c r="I1556" s="2" t="s">
        <v>7333</v>
      </c>
    </row>
    <row r="1557" ht="15.75" hidden="1" customHeight="1">
      <c r="A1557" s="9">
        <v>7267299.0</v>
      </c>
      <c r="B1557" s="2" t="s">
        <v>7337</v>
      </c>
      <c r="C1557" s="2" t="s">
        <v>7338</v>
      </c>
      <c r="D1557" s="2" t="s">
        <v>1539</v>
      </c>
      <c r="E1557" s="10" t="s">
        <v>1553</v>
      </c>
      <c r="F1557" s="2" t="s">
        <v>1561</v>
      </c>
      <c r="G1557" s="2"/>
      <c r="H1557" s="2"/>
      <c r="I1557" s="2" t="s">
        <v>7338</v>
      </c>
    </row>
    <row r="1558" ht="15.75" hidden="1" customHeight="1">
      <c r="A1558" s="9">
        <v>7267300.0</v>
      </c>
      <c r="B1558" s="2" t="s">
        <v>7340</v>
      </c>
      <c r="C1558" s="2" t="s">
        <v>7341</v>
      </c>
      <c r="D1558" s="2" t="s">
        <v>7342</v>
      </c>
      <c r="E1558" s="10" t="s">
        <v>7343</v>
      </c>
      <c r="F1558" s="2" t="s">
        <v>523</v>
      </c>
      <c r="G1558" s="2"/>
      <c r="H1558" s="2"/>
      <c r="I1558" s="2" t="s">
        <v>7341</v>
      </c>
    </row>
    <row r="1559" ht="15.75" hidden="1" customHeight="1">
      <c r="A1559" s="9">
        <v>7267301.0</v>
      </c>
      <c r="B1559" s="2" t="s">
        <v>7344</v>
      </c>
      <c r="C1559" s="2" t="s">
        <v>7345</v>
      </c>
      <c r="D1559" s="2" t="s">
        <v>7346</v>
      </c>
      <c r="E1559" s="10" t="s">
        <v>7347</v>
      </c>
      <c r="F1559" s="2" t="s">
        <v>523</v>
      </c>
      <c r="G1559" s="2"/>
      <c r="H1559" s="2"/>
      <c r="I1559" s="2" t="s">
        <v>7345</v>
      </c>
    </row>
    <row r="1560" ht="15.75" hidden="1" customHeight="1">
      <c r="A1560" s="9">
        <v>7267302.0</v>
      </c>
      <c r="B1560" s="2" t="s">
        <v>7349</v>
      </c>
      <c r="C1560" s="2" t="s">
        <v>7350</v>
      </c>
      <c r="D1560" s="2" t="s">
        <v>6370</v>
      </c>
      <c r="E1560" s="10" t="s">
        <v>6376</v>
      </c>
      <c r="F1560" s="2" t="s">
        <v>523</v>
      </c>
      <c r="G1560" s="2"/>
      <c r="H1560" s="2"/>
      <c r="I1560" s="2" t="s">
        <v>7350</v>
      </c>
    </row>
    <row r="1561" ht="15.75" hidden="1" customHeight="1">
      <c r="A1561" s="9">
        <v>7267303.0</v>
      </c>
      <c r="B1561" s="2" t="s">
        <v>7352</v>
      </c>
      <c r="C1561" s="2" t="s">
        <v>7353</v>
      </c>
      <c r="D1561" s="2" t="s">
        <v>7354</v>
      </c>
      <c r="E1561" s="10" t="s">
        <v>7355</v>
      </c>
      <c r="F1561" s="2" t="s">
        <v>523</v>
      </c>
      <c r="G1561" s="2"/>
      <c r="H1561" s="2"/>
      <c r="I1561" s="2" t="s">
        <v>7353</v>
      </c>
    </row>
    <row r="1562" ht="15.75" hidden="1" customHeight="1">
      <c r="A1562" s="9">
        <v>7267304.0</v>
      </c>
      <c r="B1562" s="2" t="s">
        <v>7357</v>
      </c>
      <c r="C1562" s="2" t="s">
        <v>7358</v>
      </c>
      <c r="D1562" s="2" t="s">
        <v>7359</v>
      </c>
      <c r="E1562" s="10" t="s">
        <v>7360</v>
      </c>
      <c r="F1562" s="2" t="s">
        <v>523</v>
      </c>
      <c r="G1562" s="2"/>
      <c r="H1562" s="2"/>
      <c r="I1562" s="2" t="s">
        <v>7358</v>
      </c>
    </row>
    <row r="1563" ht="15.75" hidden="1" customHeight="1">
      <c r="A1563" s="9">
        <v>7267305.0</v>
      </c>
      <c r="B1563" s="2" t="s">
        <v>7361</v>
      </c>
      <c r="C1563" s="2" t="s">
        <v>7362</v>
      </c>
      <c r="D1563" s="2" t="s">
        <v>7363</v>
      </c>
      <c r="E1563" s="10" t="s">
        <v>7364</v>
      </c>
      <c r="F1563" s="2" t="s">
        <v>523</v>
      </c>
      <c r="G1563" s="2"/>
      <c r="H1563" s="2"/>
      <c r="I1563" s="2" t="s">
        <v>7362</v>
      </c>
    </row>
    <row r="1564" ht="15.75" hidden="1" customHeight="1">
      <c r="A1564" s="9">
        <v>7267306.0</v>
      </c>
      <c r="B1564" s="2" t="s">
        <v>7365</v>
      </c>
      <c r="C1564" s="2" t="s">
        <v>7367</v>
      </c>
      <c r="D1564" s="2" t="s">
        <v>7368</v>
      </c>
      <c r="E1564" s="10" t="s">
        <v>7369</v>
      </c>
      <c r="F1564" s="2" t="s">
        <v>523</v>
      </c>
      <c r="G1564" s="2"/>
      <c r="H1564" s="2"/>
      <c r="I1564" s="2" t="s">
        <v>7367</v>
      </c>
    </row>
    <row r="1565" ht="15.75" hidden="1" customHeight="1">
      <c r="A1565" s="9">
        <v>7267307.0</v>
      </c>
      <c r="B1565" s="2" t="s">
        <v>7371</v>
      </c>
      <c r="C1565" s="2" t="s">
        <v>7372</v>
      </c>
      <c r="D1565" s="2" t="s">
        <v>7373</v>
      </c>
      <c r="E1565" s="10" t="s">
        <v>7374</v>
      </c>
      <c r="F1565" s="2" t="s">
        <v>523</v>
      </c>
      <c r="G1565" s="2"/>
      <c r="H1565" s="2"/>
      <c r="I1565" s="2" t="s">
        <v>7372</v>
      </c>
    </row>
    <row r="1566" ht="15.75" hidden="1" customHeight="1">
      <c r="A1566" s="9">
        <v>7267308.0</v>
      </c>
      <c r="B1566" s="2" t="s">
        <v>7375</v>
      </c>
      <c r="C1566" s="2" t="s">
        <v>7376</v>
      </c>
      <c r="D1566" s="2" t="s">
        <v>7377</v>
      </c>
      <c r="E1566" s="10" t="s">
        <v>7378</v>
      </c>
      <c r="F1566" s="2" t="s">
        <v>523</v>
      </c>
      <c r="G1566" s="2"/>
      <c r="H1566" s="2"/>
      <c r="I1566" s="2" t="s">
        <v>7376</v>
      </c>
    </row>
    <row r="1567" ht="15.75" hidden="1" customHeight="1">
      <c r="A1567" s="9">
        <v>7267309.0</v>
      </c>
      <c r="B1567" s="2" t="s">
        <v>7379</v>
      </c>
      <c r="C1567" s="2" t="s">
        <v>7380</v>
      </c>
      <c r="D1567" s="2" t="s">
        <v>7381</v>
      </c>
      <c r="E1567" s="10" t="s">
        <v>6877</v>
      </c>
      <c r="F1567" s="2" t="s">
        <v>523</v>
      </c>
      <c r="G1567" s="2"/>
      <c r="H1567" s="2"/>
      <c r="I1567" s="2" t="s">
        <v>7380</v>
      </c>
    </row>
    <row r="1568" ht="15.75" hidden="1" customHeight="1">
      <c r="A1568" s="9">
        <v>7267311.0</v>
      </c>
      <c r="B1568" s="2" t="s">
        <v>7382</v>
      </c>
      <c r="C1568" s="2" t="s">
        <v>7383</v>
      </c>
      <c r="D1568" s="2" t="s">
        <v>7385</v>
      </c>
      <c r="E1568" s="10" t="s">
        <v>7386</v>
      </c>
      <c r="F1568" s="2" t="s">
        <v>523</v>
      </c>
      <c r="G1568" s="2"/>
      <c r="H1568" s="2"/>
      <c r="I1568" s="2" t="s">
        <v>7383</v>
      </c>
    </row>
    <row r="1569" ht="15.75" hidden="1" customHeight="1">
      <c r="A1569" s="9">
        <v>7267312.0</v>
      </c>
      <c r="B1569" s="2" t="s">
        <v>7387</v>
      </c>
      <c r="C1569" s="2" t="s">
        <v>7388</v>
      </c>
      <c r="D1569" s="2" t="s">
        <v>7389</v>
      </c>
      <c r="E1569" s="10" t="s">
        <v>7390</v>
      </c>
      <c r="F1569" s="2" t="s">
        <v>523</v>
      </c>
      <c r="G1569" s="2"/>
      <c r="H1569" s="2"/>
      <c r="I1569" s="2" t="s">
        <v>7388</v>
      </c>
    </row>
    <row r="1570" ht="15.75" hidden="1" customHeight="1">
      <c r="A1570" s="9">
        <v>7267313.0</v>
      </c>
      <c r="B1570" s="2" t="s">
        <v>7391</v>
      </c>
      <c r="C1570" s="2" t="s">
        <v>7392</v>
      </c>
      <c r="D1570" s="2" t="s">
        <v>7393</v>
      </c>
      <c r="E1570" s="10" t="s">
        <v>7394</v>
      </c>
      <c r="F1570" s="2" t="s">
        <v>523</v>
      </c>
      <c r="G1570" s="2"/>
      <c r="H1570" s="2"/>
      <c r="I1570" s="2" t="s">
        <v>7392</v>
      </c>
    </row>
    <row r="1571" ht="15.75" hidden="1" customHeight="1">
      <c r="A1571" s="9">
        <v>7267314.0</v>
      </c>
      <c r="B1571" s="2" t="s">
        <v>7395</v>
      </c>
      <c r="C1571" s="2" t="s">
        <v>7396</v>
      </c>
      <c r="D1571" s="2" t="s">
        <v>7397</v>
      </c>
      <c r="E1571" s="10" t="s">
        <v>7398</v>
      </c>
      <c r="F1571" s="2" t="s">
        <v>523</v>
      </c>
      <c r="G1571" s="2"/>
      <c r="H1571" s="2"/>
      <c r="I1571" s="2" t="s">
        <v>7396</v>
      </c>
    </row>
    <row r="1572" ht="15.75" hidden="1" customHeight="1">
      <c r="A1572" s="9">
        <v>7267315.0</v>
      </c>
      <c r="B1572" s="2" t="s">
        <v>7399</v>
      </c>
      <c r="C1572" s="2" t="s">
        <v>7400</v>
      </c>
      <c r="D1572" s="2" t="s">
        <v>5174</v>
      </c>
      <c r="E1572" s="10" t="s">
        <v>5178</v>
      </c>
      <c r="F1572" s="2" t="s">
        <v>523</v>
      </c>
      <c r="G1572" s="2"/>
      <c r="H1572" s="2"/>
      <c r="I1572" s="2" t="s">
        <v>7400</v>
      </c>
    </row>
    <row r="1573" ht="15.75" hidden="1" customHeight="1">
      <c r="A1573" s="9">
        <v>7267316.0</v>
      </c>
      <c r="B1573" s="2" t="s">
        <v>7401</v>
      </c>
      <c r="C1573" s="2" t="s">
        <v>7402</v>
      </c>
      <c r="D1573" s="2" t="s">
        <v>7403</v>
      </c>
      <c r="E1573" s="10" t="s">
        <v>7404</v>
      </c>
      <c r="F1573" s="2" t="s">
        <v>523</v>
      </c>
      <c r="G1573" s="2"/>
      <c r="H1573" s="2"/>
      <c r="I1573" s="2" t="s">
        <v>7402</v>
      </c>
    </row>
    <row r="1574" ht="15.75" hidden="1" customHeight="1">
      <c r="A1574" s="9">
        <v>7267317.0</v>
      </c>
      <c r="B1574" s="2" t="s">
        <v>7405</v>
      </c>
      <c r="C1574" s="2" t="s">
        <v>7406</v>
      </c>
      <c r="D1574" s="2" t="s">
        <v>7407</v>
      </c>
      <c r="E1574" s="10" t="s">
        <v>7408</v>
      </c>
      <c r="F1574" s="2" t="s">
        <v>523</v>
      </c>
      <c r="G1574" s="2"/>
      <c r="H1574" s="2"/>
      <c r="I1574" s="2" t="s">
        <v>7406</v>
      </c>
    </row>
    <row r="1575" ht="15.75" hidden="1" customHeight="1">
      <c r="A1575" s="9">
        <v>7267318.0</v>
      </c>
      <c r="B1575" s="2" t="s">
        <v>7409</v>
      </c>
      <c r="C1575" s="2" t="s">
        <v>7410</v>
      </c>
      <c r="D1575" s="2" t="s">
        <v>7411</v>
      </c>
      <c r="E1575" s="10" t="s">
        <v>7412</v>
      </c>
      <c r="F1575" s="2" t="s">
        <v>523</v>
      </c>
      <c r="G1575" s="2"/>
      <c r="H1575" s="2"/>
      <c r="I1575" s="2" t="s">
        <v>7410</v>
      </c>
    </row>
    <row r="1576" ht="15.75" hidden="1" customHeight="1">
      <c r="A1576" s="9">
        <v>7267319.0</v>
      </c>
      <c r="B1576" s="2" t="s">
        <v>5829</v>
      </c>
      <c r="C1576" s="2" t="s">
        <v>7414</v>
      </c>
      <c r="D1576" s="2" t="s">
        <v>7415</v>
      </c>
      <c r="E1576" s="10" t="s">
        <v>7416</v>
      </c>
      <c r="F1576" s="2" t="s">
        <v>523</v>
      </c>
      <c r="G1576" s="2"/>
      <c r="H1576" s="2"/>
      <c r="I1576" s="2" t="s">
        <v>7414</v>
      </c>
    </row>
    <row r="1577" ht="15.75" hidden="1" customHeight="1">
      <c r="A1577" s="9">
        <v>7267320.0</v>
      </c>
      <c r="B1577" s="2" t="s">
        <v>7418</v>
      </c>
      <c r="C1577" s="2" t="s">
        <v>7419</v>
      </c>
      <c r="D1577" s="2" t="s">
        <v>3644</v>
      </c>
      <c r="E1577" s="10" t="s">
        <v>3647</v>
      </c>
      <c r="F1577" s="2" t="s">
        <v>523</v>
      </c>
      <c r="G1577" s="2"/>
      <c r="H1577" s="2"/>
      <c r="I1577" s="2" t="s">
        <v>7419</v>
      </c>
    </row>
    <row r="1578" ht="15.75" hidden="1" customHeight="1">
      <c r="A1578" s="9">
        <v>7267321.0</v>
      </c>
      <c r="B1578" s="2" t="s">
        <v>7422</v>
      </c>
      <c r="C1578" s="2" t="s">
        <v>7423</v>
      </c>
      <c r="D1578" s="2" t="s">
        <v>7424</v>
      </c>
      <c r="E1578" s="10" t="s">
        <v>7425</v>
      </c>
      <c r="F1578" s="2" t="s">
        <v>523</v>
      </c>
      <c r="G1578" s="2"/>
      <c r="H1578" s="2"/>
      <c r="I1578" s="2" t="s">
        <v>7423</v>
      </c>
    </row>
    <row r="1579" ht="15.75" hidden="1" customHeight="1">
      <c r="A1579" s="9">
        <v>7267322.0</v>
      </c>
      <c r="B1579" s="2" t="s">
        <v>7426</v>
      </c>
      <c r="C1579" s="2" t="s">
        <v>7427</v>
      </c>
      <c r="D1579" s="2" t="s">
        <v>7428</v>
      </c>
      <c r="E1579" s="10" t="s">
        <v>7429</v>
      </c>
      <c r="F1579" s="2" t="s">
        <v>523</v>
      </c>
      <c r="G1579" s="2"/>
      <c r="H1579" s="2"/>
      <c r="I1579" s="2" t="s">
        <v>7427</v>
      </c>
    </row>
    <row r="1580" ht="15.75" hidden="1" customHeight="1">
      <c r="A1580" s="9">
        <v>7267323.0</v>
      </c>
      <c r="B1580" s="2" t="s">
        <v>7430</v>
      </c>
      <c r="C1580" s="2" t="s">
        <v>7431</v>
      </c>
      <c r="D1580" s="2" t="s">
        <v>6175</v>
      </c>
      <c r="E1580" s="10" t="s">
        <v>6182</v>
      </c>
      <c r="F1580" s="2" t="s">
        <v>523</v>
      </c>
      <c r="G1580" s="2"/>
      <c r="H1580" s="2"/>
      <c r="I1580" s="2" t="s">
        <v>7431</v>
      </c>
    </row>
    <row r="1581" ht="15.75" hidden="1" customHeight="1">
      <c r="A1581" s="9">
        <v>7267324.0</v>
      </c>
      <c r="B1581" s="2" t="s">
        <v>2307</v>
      </c>
      <c r="C1581" s="2" t="s">
        <v>7433</v>
      </c>
      <c r="D1581" s="2" t="s">
        <v>7436</v>
      </c>
      <c r="E1581" s="10" t="s">
        <v>7437</v>
      </c>
      <c r="F1581" s="2" t="s">
        <v>523</v>
      </c>
      <c r="G1581" s="2"/>
      <c r="H1581" s="2"/>
      <c r="I1581" s="2" t="s">
        <v>7433</v>
      </c>
    </row>
    <row r="1582" ht="15.75" hidden="1" customHeight="1">
      <c r="A1582" s="9">
        <v>7267325.0</v>
      </c>
      <c r="B1582" s="2" t="s">
        <v>7439</v>
      </c>
      <c r="C1582" s="2" t="s">
        <v>7440</v>
      </c>
      <c r="D1582" s="2" t="s">
        <v>7442</v>
      </c>
      <c r="E1582" s="10" t="s">
        <v>7443</v>
      </c>
      <c r="F1582" s="2" t="s">
        <v>523</v>
      </c>
      <c r="G1582" s="2"/>
      <c r="H1582" s="2"/>
      <c r="I1582" s="2" t="s">
        <v>7440</v>
      </c>
    </row>
    <row r="1583" ht="15.75" hidden="1" customHeight="1">
      <c r="A1583" s="9">
        <v>7267326.0</v>
      </c>
      <c r="B1583" s="2" t="s">
        <v>7444</v>
      </c>
      <c r="C1583" s="2" t="s">
        <v>7445</v>
      </c>
      <c r="D1583" s="2" t="s">
        <v>7446</v>
      </c>
      <c r="E1583" s="10" t="s">
        <v>7447</v>
      </c>
      <c r="F1583" s="2" t="s">
        <v>523</v>
      </c>
      <c r="G1583" s="2"/>
      <c r="H1583" s="2"/>
      <c r="I1583" s="2" t="s">
        <v>7445</v>
      </c>
    </row>
    <row r="1584" ht="15.75" hidden="1" customHeight="1">
      <c r="A1584" s="9">
        <v>7267327.0</v>
      </c>
      <c r="B1584" s="2" t="s">
        <v>7448</v>
      </c>
      <c r="C1584" s="2" t="s">
        <v>7449</v>
      </c>
      <c r="D1584" s="2" t="s">
        <v>7451</v>
      </c>
      <c r="E1584" s="10" t="s">
        <v>7452</v>
      </c>
      <c r="F1584" s="2" t="s">
        <v>523</v>
      </c>
      <c r="G1584" s="2"/>
      <c r="H1584" s="2"/>
      <c r="I1584" s="2" t="s">
        <v>7449</v>
      </c>
    </row>
    <row r="1585" ht="15.75" hidden="1" customHeight="1">
      <c r="A1585" s="9">
        <v>7267328.0</v>
      </c>
      <c r="B1585" s="2" t="s">
        <v>7454</v>
      </c>
      <c r="C1585" s="2" t="s">
        <v>7456</v>
      </c>
      <c r="D1585" s="2" t="s">
        <v>7457</v>
      </c>
      <c r="E1585" s="10" t="s">
        <v>7458</v>
      </c>
      <c r="F1585" s="2" t="s">
        <v>523</v>
      </c>
      <c r="G1585" s="2"/>
      <c r="H1585" s="2"/>
      <c r="I1585" s="2" t="s">
        <v>7456</v>
      </c>
    </row>
    <row r="1586" ht="15.75" hidden="1" customHeight="1">
      <c r="A1586" s="9">
        <v>7267329.0</v>
      </c>
      <c r="B1586" s="2" t="s">
        <v>7460</v>
      </c>
      <c r="C1586" s="2" t="s">
        <v>7461</v>
      </c>
      <c r="D1586" s="2" t="s">
        <v>2706</v>
      </c>
      <c r="E1586" s="10" t="s">
        <v>2715</v>
      </c>
      <c r="F1586" s="2" t="s">
        <v>523</v>
      </c>
      <c r="G1586" s="2"/>
      <c r="H1586" s="2"/>
      <c r="I1586" s="2" t="s">
        <v>7461</v>
      </c>
    </row>
    <row r="1587" ht="15.75" hidden="1" customHeight="1">
      <c r="A1587" s="9">
        <v>7267330.0</v>
      </c>
      <c r="B1587" s="2" t="s">
        <v>7462</v>
      </c>
      <c r="C1587" s="2" t="s">
        <v>7463</v>
      </c>
      <c r="D1587" s="2" t="s">
        <v>7464</v>
      </c>
      <c r="E1587" s="10" t="s">
        <v>7465</v>
      </c>
      <c r="F1587" s="2" t="s">
        <v>523</v>
      </c>
      <c r="G1587" s="2"/>
      <c r="H1587" s="2"/>
      <c r="I1587" s="2" t="s">
        <v>7463</v>
      </c>
    </row>
    <row r="1588" ht="15.75" hidden="1" customHeight="1">
      <c r="A1588" s="9">
        <v>7267331.0</v>
      </c>
      <c r="B1588" s="2" t="s">
        <v>3033</v>
      </c>
      <c r="C1588" s="2" t="s">
        <v>7466</v>
      </c>
      <c r="D1588" s="2" t="s">
        <v>3061</v>
      </c>
      <c r="E1588" s="10" t="s">
        <v>3067</v>
      </c>
      <c r="F1588" s="2" t="s">
        <v>756</v>
      </c>
      <c r="G1588" s="2"/>
      <c r="H1588" s="2"/>
      <c r="I1588" s="2" t="s">
        <v>7466</v>
      </c>
    </row>
    <row r="1589" ht="15.75" hidden="1" customHeight="1">
      <c r="A1589" s="9">
        <v>7267332.0</v>
      </c>
      <c r="B1589" s="2" t="s">
        <v>7468</v>
      </c>
      <c r="C1589" s="2" t="s">
        <v>7469</v>
      </c>
      <c r="D1589" s="2" t="s">
        <v>7471</v>
      </c>
      <c r="E1589" s="10" t="s">
        <v>7472</v>
      </c>
      <c r="F1589" s="2" t="s">
        <v>756</v>
      </c>
      <c r="G1589" s="2"/>
      <c r="H1589" s="2"/>
      <c r="I1589" s="2" t="s">
        <v>7469</v>
      </c>
    </row>
    <row r="1590" ht="15.75" hidden="1" customHeight="1">
      <c r="A1590" s="9">
        <v>7267333.0</v>
      </c>
      <c r="B1590" s="2" t="s">
        <v>7473</v>
      </c>
      <c r="C1590" s="2" t="s">
        <v>7474</v>
      </c>
      <c r="D1590" s="2" t="s">
        <v>7475</v>
      </c>
      <c r="E1590" s="10" t="s">
        <v>7476</v>
      </c>
      <c r="F1590" s="2" t="s">
        <v>756</v>
      </c>
      <c r="G1590" s="2"/>
      <c r="H1590" s="2"/>
      <c r="I1590" s="2" t="s">
        <v>7474</v>
      </c>
    </row>
    <row r="1591" ht="15.75" hidden="1" customHeight="1">
      <c r="A1591" s="9">
        <v>7267334.0</v>
      </c>
      <c r="B1591" s="2" t="s">
        <v>7477</v>
      </c>
      <c r="C1591" s="2" t="s">
        <v>7478</v>
      </c>
      <c r="D1591" s="2" t="s">
        <v>7479</v>
      </c>
      <c r="E1591" s="10" t="s">
        <v>7480</v>
      </c>
      <c r="F1591" s="2" t="s">
        <v>756</v>
      </c>
      <c r="G1591" s="2"/>
      <c r="H1591" s="2"/>
      <c r="I1591" s="2" t="s">
        <v>7478</v>
      </c>
    </row>
    <row r="1592" ht="15.75" hidden="1" customHeight="1">
      <c r="A1592" s="9">
        <v>7267335.0</v>
      </c>
      <c r="B1592" s="2" t="s">
        <v>7482</v>
      </c>
      <c r="C1592" s="2" t="s">
        <v>7483</v>
      </c>
      <c r="D1592" s="2" t="s">
        <v>7484</v>
      </c>
      <c r="E1592" s="10" t="s">
        <v>7485</v>
      </c>
      <c r="F1592" s="2" t="s">
        <v>756</v>
      </c>
      <c r="G1592" s="2"/>
      <c r="H1592" s="2"/>
      <c r="I1592" s="2" t="s">
        <v>7483</v>
      </c>
    </row>
    <row r="1593" ht="15.75" hidden="1" customHeight="1">
      <c r="A1593" s="9">
        <v>7267336.0</v>
      </c>
      <c r="B1593" s="2" t="s">
        <v>7487</v>
      </c>
      <c r="C1593" s="2" t="s">
        <v>7488</v>
      </c>
      <c r="D1593" s="2" t="s">
        <v>7489</v>
      </c>
      <c r="E1593" s="10" t="s">
        <v>7490</v>
      </c>
      <c r="F1593" s="2" t="s">
        <v>756</v>
      </c>
      <c r="G1593" s="2"/>
      <c r="H1593" s="2"/>
      <c r="I1593" s="2" t="s">
        <v>7488</v>
      </c>
    </row>
    <row r="1594" ht="15.75" hidden="1" customHeight="1">
      <c r="A1594" s="9">
        <v>7267337.0</v>
      </c>
      <c r="B1594" s="2" t="s">
        <v>7491</v>
      </c>
      <c r="C1594" s="2" t="s">
        <v>7493</v>
      </c>
      <c r="D1594" s="2" t="s">
        <v>7494</v>
      </c>
      <c r="E1594" s="10" t="s">
        <v>7495</v>
      </c>
      <c r="F1594" s="2" t="s">
        <v>756</v>
      </c>
      <c r="G1594" s="2"/>
      <c r="H1594" s="2"/>
      <c r="I1594" s="2" t="s">
        <v>7493</v>
      </c>
    </row>
    <row r="1595" ht="15.75" hidden="1" customHeight="1">
      <c r="A1595" s="9">
        <v>7267338.0</v>
      </c>
      <c r="B1595" s="2" t="s">
        <v>7496</v>
      </c>
      <c r="C1595" s="2" t="s">
        <v>7497</v>
      </c>
      <c r="D1595" s="2" t="s">
        <v>7498</v>
      </c>
      <c r="E1595" s="10" t="s">
        <v>7499</v>
      </c>
      <c r="F1595" s="2" t="s">
        <v>756</v>
      </c>
      <c r="G1595" s="2"/>
      <c r="H1595" s="2"/>
      <c r="I1595" s="2" t="s">
        <v>7497</v>
      </c>
    </row>
    <row r="1596" ht="15.75" hidden="1" customHeight="1">
      <c r="A1596" s="9">
        <v>7267339.0</v>
      </c>
      <c r="B1596" s="2" t="s">
        <v>7500</v>
      </c>
      <c r="C1596" s="2" t="s">
        <v>7501</v>
      </c>
      <c r="D1596" s="2" t="s">
        <v>7502</v>
      </c>
      <c r="E1596" s="10" t="s">
        <v>7503</v>
      </c>
      <c r="F1596" s="2" t="s">
        <v>756</v>
      </c>
      <c r="G1596" s="2"/>
      <c r="H1596" s="2"/>
      <c r="I1596" s="2" t="s">
        <v>7501</v>
      </c>
    </row>
    <row r="1597" ht="15.75" hidden="1" customHeight="1">
      <c r="A1597" s="9">
        <v>7267340.0</v>
      </c>
      <c r="B1597" s="2" t="s">
        <v>7505</v>
      </c>
      <c r="C1597" s="2" t="s">
        <v>7506</v>
      </c>
      <c r="D1597" s="2" t="s">
        <v>4468</v>
      </c>
      <c r="E1597" s="10" t="s">
        <v>4474</v>
      </c>
      <c r="F1597" s="2" t="s">
        <v>756</v>
      </c>
      <c r="G1597" s="2"/>
      <c r="H1597" s="2"/>
      <c r="I1597" s="2" t="s">
        <v>7506</v>
      </c>
    </row>
    <row r="1598" ht="15.75" hidden="1" customHeight="1">
      <c r="A1598" s="9">
        <v>7267341.0</v>
      </c>
      <c r="B1598" s="2" t="s">
        <v>7508</v>
      </c>
      <c r="C1598" s="2" t="s">
        <v>7509</v>
      </c>
      <c r="D1598" s="2" t="s">
        <v>7510</v>
      </c>
      <c r="E1598" s="10" t="s">
        <v>7511</v>
      </c>
      <c r="F1598" s="2" t="s">
        <v>756</v>
      </c>
      <c r="G1598" s="2"/>
      <c r="H1598" s="2"/>
      <c r="I1598" s="2" t="s">
        <v>7509</v>
      </c>
    </row>
    <row r="1599" ht="15.75" hidden="1" customHeight="1">
      <c r="A1599" s="9">
        <v>7267342.0</v>
      </c>
      <c r="B1599" s="2" t="s">
        <v>7512</v>
      </c>
      <c r="C1599" s="2" t="s">
        <v>7513</v>
      </c>
      <c r="D1599" s="2" t="s">
        <v>7514</v>
      </c>
      <c r="E1599" s="10" t="s">
        <v>7515</v>
      </c>
      <c r="F1599" s="2" t="s">
        <v>756</v>
      </c>
      <c r="G1599" s="2"/>
      <c r="H1599" s="2"/>
      <c r="I1599" s="2" t="s">
        <v>7513</v>
      </c>
    </row>
    <row r="1600" ht="15.75" hidden="1" customHeight="1">
      <c r="A1600" s="9">
        <v>7267343.0</v>
      </c>
      <c r="B1600" s="2" t="s">
        <v>7516</v>
      </c>
      <c r="C1600" s="2" t="s">
        <v>7517</v>
      </c>
      <c r="D1600" s="2" t="s">
        <v>7518</v>
      </c>
      <c r="E1600" s="10" t="s">
        <v>7519</v>
      </c>
      <c r="F1600" s="2" t="s">
        <v>756</v>
      </c>
      <c r="G1600" s="2"/>
      <c r="H1600" s="2"/>
      <c r="I1600" s="2" t="s">
        <v>7517</v>
      </c>
    </row>
    <row r="1601" ht="15.75" hidden="1" customHeight="1">
      <c r="A1601" s="9">
        <v>7267344.0</v>
      </c>
      <c r="B1601" s="2" t="s">
        <v>7087</v>
      </c>
      <c r="C1601" s="2" t="s">
        <v>7521</v>
      </c>
      <c r="D1601" s="2" t="s">
        <v>7082</v>
      </c>
      <c r="E1601" s="10" t="s">
        <v>7088</v>
      </c>
      <c r="F1601" s="2" t="s">
        <v>756</v>
      </c>
      <c r="G1601" s="2"/>
      <c r="H1601" s="2"/>
      <c r="I1601" s="2" t="s">
        <v>7521</v>
      </c>
    </row>
    <row r="1602" ht="15.75" hidden="1" customHeight="1">
      <c r="A1602" s="9">
        <v>7267345.0</v>
      </c>
      <c r="B1602" s="2" t="s">
        <v>7522</v>
      </c>
      <c r="C1602" s="2" t="s">
        <v>7523</v>
      </c>
      <c r="D1602" s="2" t="s">
        <v>7524</v>
      </c>
      <c r="E1602" s="10" t="s">
        <v>7525</v>
      </c>
      <c r="F1602" s="2" t="s">
        <v>756</v>
      </c>
      <c r="G1602" s="2"/>
      <c r="H1602" s="2"/>
      <c r="I1602" s="2" t="s">
        <v>7523</v>
      </c>
    </row>
    <row r="1603" ht="15.75" hidden="1" customHeight="1">
      <c r="A1603" s="9">
        <v>7267346.0</v>
      </c>
      <c r="B1603" s="2" t="s">
        <v>7526</v>
      </c>
      <c r="C1603" s="2" t="s">
        <v>7527</v>
      </c>
      <c r="D1603" s="2" t="s">
        <v>7528</v>
      </c>
      <c r="E1603" s="10" t="s">
        <v>7530</v>
      </c>
      <c r="F1603" s="2" t="s">
        <v>756</v>
      </c>
      <c r="G1603" s="2"/>
      <c r="H1603" s="2"/>
      <c r="I1603" s="2" t="s">
        <v>7527</v>
      </c>
    </row>
    <row r="1604" ht="15.75" hidden="1" customHeight="1">
      <c r="A1604" s="9">
        <v>7267347.0</v>
      </c>
      <c r="B1604" s="2" t="s">
        <v>7533</v>
      </c>
      <c r="C1604" s="2" t="s">
        <v>7534</v>
      </c>
      <c r="D1604" s="2" t="s">
        <v>7535</v>
      </c>
      <c r="E1604" s="10" t="s">
        <v>7536</v>
      </c>
      <c r="F1604" s="2" t="s">
        <v>756</v>
      </c>
      <c r="G1604" s="2"/>
      <c r="H1604" s="2"/>
      <c r="I1604" s="2" t="s">
        <v>7534</v>
      </c>
    </row>
    <row r="1605" ht="15.75" hidden="1" customHeight="1">
      <c r="A1605" s="9">
        <v>7267348.0</v>
      </c>
      <c r="B1605" s="2" t="s">
        <v>7538</v>
      </c>
      <c r="C1605" s="2" t="s">
        <v>7539</v>
      </c>
      <c r="D1605" s="2" t="s">
        <v>7540</v>
      </c>
      <c r="E1605" s="10" t="s">
        <v>7541</v>
      </c>
      <c r="F1605" s="2" t="s">
        <v>756</v>
      </c>
      <c r="G1605" s="2"/>
      <c r="H1605" s="2"/>
      <c r="I1605" s="2" t="s">
        <v>7539</v>
      </c>
    </row>
    <row r="1606" ht="15.75" hidden="1" customHeight="1">
      <c r="A1606" s="9">
        <v>7267349.0</v>
      </c>
      <c r="B1606" s="2" t="s">
        <v>7542</v>
      </c>
      <c r="C1606" s="2" t="s">
        <v>7543</v>
      </c>
      <c r="D1606" s="2" t="s">
        <v>7544</v>
      </c>
      <c r="E1606" s="10" t="s">
        <v>7545</v>
      </c>
      <c r="F1606" s="2" t="s">
        <v>756</v>
      </c>
      <c r="G1606" s="2"/>
      <c r="H1606" s="2"/>
      <c r="I1606" s="2" t="s">
        <v>7543</v>
      </c>
    </row>
    <row r="1607" ht="15.75" hidden="1" customHeight="1">
      <c r="A1607" s="9">
        <v>7267350.0</v>
      </c>
      <c r="B1607" s="2" t="s">
        <v>7546</v>
      </c>
      <c r="C1607" s="2" t="s">
        <v>7547</v>
      </c>
      <c r="D1607" s="2" t="s">
        <v>7548</v>
      </c>
      <c r="E1607" s="10" t="s">
        <v>7549</v>
      </c>
      <c r="F1607" s="2" t="s">
        <v>756</v>
      </c>
      <c r="G1607" s="2"/>
      <c r="H1607" s="2"/>
      <c r="I1607" s="2" t="s">
        <v>7547</v>
      </c>
    </row>
    <row r="1608" ht="15.75" hidden="1" customHeight="1">
      <c r="A1608" s="9">
        <v>7267351.0</v>
      </c>
      <c r="B1608" s="2" t="s">
        <v>7551</v>
      </c>
      <c r="C1608" s="2" t="s">
        <v>7552</v>
      </c>
      <c r="D1608" s="2" t="s">
        <v>7553</v>
      </c>
      <c r="E1608" s="10" t="s">
        <v>7554</v>
      </c>
      <c r="F1608" s="2" t="s">
        <v>756</v>
      </c>
      <c r="G1608" s="2"/>
      <c r="H1608" s="2"/>
      <c r="I1608" s="2" t="s">
        <v>7552</v>
      </c>
    </row>
    <row r="1609" ht="15.75" hidden="1" customHeight="1">
      <c r="A1609" s="9">
        <v>7267352.0</v>
      </c>
      <c r="B1609" s="2" t="s">
        <v>7556</v>
      </c>
      <c r="C1609" s="2" t="s">
        <v>7557</v>
      </c>
      <c r="D1609" s="2" t="s">
        <v>7558</v>
      </c>
      <c r="E1609" s="10" t="s">
        <v>7559</v>
      </c>
      <c r="F1609" s="2" t="s">
        <v>756</v>
      </c>
      <c r="G1609" s="2"/>
      <c r="H1609" s="2"/>
      <c r="I1609" s="2" t="s">
        <v>7557</v>
      </c>
    </row>
    <row r="1610" ht="15.75" hidden="1" customHeight="1">
      <c r="A1610" s="9">
        <v>7267353.0</v>
      </c>
      <c r="B1610" s="2" t="s">
        <v>4104</v>
      </c>
      <c r="C1610" s="2" t="s">
        <v>7560</v>
      </c>
      <c r="D1610" s="2" t="s">
        <v>4100</v>
      </c>
      <c r="E1610" s="10" t="s">
        <v>4105</v>
      </c>
      <c r="F1610" s="2" t="s">
        <v>756</v>
      </c>
      <c r="G1610" s="2"/>
      <c r="H1610" s="2"/>
      <c r="I1610" s="2" t="s">
        <v>7560</v>
      </c>
    </row>
    <row r="1611" ht="15.75" hidden="1" customHeight="1">
      <c r="A1611" s="9">
        <v>7267354.0</v>
      </c>
      <c r="B1611" s="2" t="s">
        <v>113</v>
      </c>
      <c r="C1611" s="2" t="s">
        <v>7561</v>
      </c>
      <c r="D1611" s="2" t="s">
        <v>111</v>
      </c>
      <c r="E1611" s="10" t="s">
        <v>117</v>
      </c>
      <c r="F1611" s="2" t="s">
        <v>123</v>
      </c>
      <c r="G1611" s="2"/>
      <c r="H1611" s="2"/>
      <c r="I1611" s="2" t="s">
        <v>7561</v>
      </c>
    </row>
    <row r="1612" ht="15.75" hidden="1" customHeight="1">
      <c r="A1612" s="9">
        <v>7267355.0</v>
      </c>
      <c r="B1612" s="2" t="s">
        <v>7563</v>
      </c>
      <c r="C1612" s="2" t="s">
        <v>7564</v>
      </c>
      <c r="D1612" s="2" t="s">
        <v>7565</v>
      </c>
      <c r="E1612" s="10" t="s">
        <v>7566</v>
      </c>
      <c r="F1612" s="2" t="s">
        <v>123</v>
      </c>
      <c r="G1612" s="2"/>
      <c r="H1612" s="2"/>
      <c r="I1612" s="2" t="s">
        <v>7564</v>
      </c>
    </row>
    <row r="1613" ht="15.75" hidden="1" customHeight="1">
      <c r="A1613" s="9">
        <v>7267356.0</v>
      </c>
      <c r="B1613" s="2" t="s">
        <v>1928</v>
      </c>
      <c r="C1613" s="2" t="s">
        <v>7568</v>
      </c>
      <c r="D1613" s="2" t="s">
        <v>1925</v>
      </c>
      <c r="E1613" s="10" t="s">
        <v>1931</v>
      </c>
      <c r="F1613" s="2" t="s">
        <v>123</v>
      </c>
      <c r="G1613" s="2"/>
      <c r="H1613" s="2"/>
      <c r="I1613" s="2" t="s">
        <v>7568</v>
      </c>
    </row>
    <row r="1614" ht="15.75" hidden="1" customHeight="1">
      <c r="A1614" s="9">
        <v>7267357.0</v>
      </c>
      <c r="B1614" s="2" t="s">
        <v>7569</v>
      </c>
      <c r="C1614" s="2" t="s">
        <v>7570</v>
      </c>
      <c r="D1614" s="2" t="s">
        <v>7571</v>
      </c>
      <c r="E1614" s="10" t="s">
        <v>7572</v>
      </c>
      <c r="F1614" s="2" t="s">
        <v>123</v>
      </c>
      <c r="G1614" s="2"/>
      <c r="H1614" s="2"/>
      <c r="I1614" s="2" t="s">
        <v>7570</v>
      </c>
    </row>
    <row r="1615" ht="15.75" hidden="1" customHeight="1">
      <c r="A1615" s="9">
        <v>7267358.0</v>
      </c>
      <c r="B1615" s="2" t="s">
        <v>7573</v>
      </c>
      <c r="C1615" s="2" t="s">
        <v>7575</v>
      </c>
      <c r="D1615" s="2" t="s">
        <v>7576</v>
      </c>
      <c r="E1615" s="10" t="s">
        <v>7577</v>
      </c>
      <c r="F1615" s="2" t="s">
        <v>123</v>
      </c>
      <c r="G1615" s="2"/>
      <c r="H1615" s="2"/>
      <c r="I1615" s="2" t="s">
        <v>7575</v>
      </c>
    </row>
    <row r="1616" ht="15.75" hidden="1" customHeight="1">
      <c r="A1616" s="9">
        <v>7267359.0</v>
      </c>
      <c r="B1616" s="2" t="s">
        <v>7579</v>
      </c>
      <c r="C1616" s="2" t="s">
        <v>7580</v>
      </c>
      <c r="D1616" s="2" t="s">
        <v>7581</v>
      </c>
      <c r="E1616" s="10" t="s">
        <v>7582</v>
      </c>
      <c r="F1616" s="2" t="s">
        <v>123</v>
      </c>
      <c r="G1616" s="2"/>
      <c r="H1616" s="2"/>
      <c r="I1616" s="2" t="s">
        <v>7580</v>
      </c>
    </row>
    <row r="1617" ht="15.75" hidden="1" customHeight="1">
      <c r="A1617" s="9">
        <v>7267360.0</v>
      </c>
      <c r="B1617" s="2" t="s">
        <v>7584</v>
      </c>
      <c r="C1617" s="2" t="s">
        <v>7585</v>
      </c>
      <c r="D1617" s="2" t="s">
        <v>7586</v>
      </c>
      <c r="E1617" s="10" t="s">
        <v>7587</v>
      </c>
      <c r="F1617" s="2" t="s">
        <v>123</v>
      </c>
      <c r="G1617" s="2"/>
      <c r="H1617" s="2"/>
      <c r="I1617" s="2" t="s">
        <v>7585</v>
      </c>
    </row>
    <row r="1618" ht="15.75" hidden="1" customHeight="1">
      <c r="A1618" s="9">
        <v>7267361.0</v>
      </c>
      <c r="B1618" s="2" t="s">
        <v>7588</v>
      </c>
      <c r="C1618" s="2" t="s">
        <v>7589</v>
      </c>
      <c r="D1618" s="2" t="s">
        <v>7590</v>
      </c>
      <c r="E1618" s="10" t="s">
        <v>7591</v>
      </c>
      <c r="F1618" s="2" t="s">
        <v>123</v>
      </c>
      <c r="G1618" s="2"/>
      <c r="H1618" s="2"/>
      <c r="I1618" s="2" t="s">
        <v>7589</v>
      </c>
    </row>
    <row r="1619" ht="15.75" hidden="1" customHeight="1">
      <c r="A1619" s="9">
        <v>7267362.0</v>
      </c>
      <c r="B1619" s="2" t="s">
        <v>7592</v>
      </c>
      <c r="C1619" s="2" t="s">
        <v>7593</v>
      </c>
      <c r="D1619" s="2" t="s">
        <v>7594</v>
      </c>
      <c r="E1619" s="10" t="s">
        <v>7595</v>
      </c>
      <c r="F1619" s="2" t="s">
        <v>123</v>
      </c>
      <c r="G1619" s="2"/>
      <c r="H1619" s="2"/>
      <c r="I1619" s="2" t="s">
        <v>7593</v>
      </c>
    </row>
    <row r="1620" ht="15.75" hidden="1" customHeight="1">
      <c r="A1620" s="9">
        <v>7267363.0</v>
      </c>
      <c r="B1620" s="2" t="s">
        <v>7435</v>
      </c>
      <c r="C1620" s="2" t="s">
        <v>7597</v>
      </c>
      <c r="D1620" s="2" t="s">
        <v>7432</v>
      </c>
      <c r="E1620" s="10" t="s">
        <v>7438</v>
      </c>
      <c r="F1620" s="2" t="s">
        <v>123</v>
      </c>
      <c r="G1620" s="2"/>
      <c r="H1620" s="2"/>
      <c r="I1620" s="2" t="s">
        <v>7597</v>
      </c>
    </row>
    <row r="1621" ht="15.75" hidden="1" customHeight="1">
      <c r="A1621" s="9">
        <v>7267364.0</v>
      </c>
      <c r="B1621" s="2" t="s">
        <v>5584</v>
      </c>
      <c r="C1621" s="2" t="s">
        <v>7599</v>
      </c>
      <c r="D1621" s="2" t="s">
        <v>5664</v>
      </c>
      <c r="E1621" s="10" t="s">
        <v>5669</v>
      </c>
      <c r="F1621" s="2" t="s">
        <v>123</v>
      </c>
      <c r="G1621" s="2"/>
      <c r="H1621" s="2"/>
      <c r="I1621" s="2" t="s">
        <v>7599</v>
      </c>
    </row>
    <row r="1622" ht="15.75" hidden="1" customHeight="1">
      <c r="A1622" s="9">
        <v>7267365.0</v>
      </c>
      <c r="B1622" s="2" t="s">
        <v>7600</v>
      </c>
      <c r="C1622" s="2" t="s">
        <v>7601</v>
      </c>
      <c r="D1622" s="2" t="s">
        <v>7602</v>
      </c>
      <c r="E1622" s="10" t="s">
        <v>7603</v>
      </c>
      <c r="F1622" s="2" t="s">
        <v>123</v>
      </c>
      <c r="G1622" s="2"/>
      <c r="H1622" s="2"/>
      <c r="I1622" s="2" t="s">
        <v>7601</v>
      </c>
    </row>
    <row r="1623" ht="15.75" hidden="1" customHeight="1">
      <c r="A1623" s="9">
        <v>7267366.0</v>
      </c>
      <c r="B1623" s="2" t="s">
        <v>7604</v>
      </c>
      <c r="C1623" s="2" t="s">
        <v>7605</v>
      </c>
      <c r="D1623" s="2" t="s">
        <v>7606</v>
      </c>
      <c r="E1623" s="10" t="s">
        <v>7607</v>
      </c>
      <c r="F1623" s="2" t="s">
        <v>123</v>
      </c>
      <c r="G1623" s="2"/>
      <c r="H1623" s="2"/>
      <c r="I1623" s="2" t="s">
        <v>7605</v>
      </c>
    </row>
    <row r="1624" ht="15.75" hidden="1" customHeight="1">
      <c r="A1624" s="9">
        <v>7267367.0</v>
      </c>
      <c r="B1624" s="2" t="s">
        <v>7608</v>
      </c>
      <c r="C1624" s="2" t="s">
        <v>7610</v>
      </c>
      <c r="D1624" s="2" t="s">
        <v>7611</v>
      </c>
      <c r="E1624" s="10" t="s">
        <v>7612</v>
      </c>
      <c r="F1624" s="2" t="s">
        <v>123</v>
      </c>
      <c r="G1624" s="2"/>
      <c r="H1624" s="2"/>
      <c r="I1624" s="2" t="s">
        <v>7610</v>
      </c>
    </row>
    <row r="1625" ht="15.75" hidden="1" customHeight="1">
      <c r="A1625" s="9">
        <v>7267368.0</v>
      </c>
      <c r="B1625" s="2" t="s">
        <v>7613</v>
      </c>
      <c r="C1625" s="2" t="s">
        <v>7614</v>
      </c>
      <c r="D1625" s="2" t="s">
        <v>7615</v>
      </c>
      <c r="E1625" s="10" t="s">
        <v>7616</v>
      </c>
      <c r="F1625" s="2" t="s">
        <v>123</v>
      </c>
      <c r="G1625" s="2"/>
      <c r="H1625" s="2"/>
      <c r="I1625" s="2" t="s">
        <v>7614</v>
      </c>
    </row>
    <row r="1626" ht="15.75" hidden="1" customHeight="1">
      <c r="A1626" s="9">
        <v>7267370.0</v>
      </c>
      <c r="B1626" s="2" t="s">
        <v>7618</v>
      </c>
      <c r="C1626" s="2" t="s">
        <v>7619</v>
      </c>
      <c r="D1626" s="2" t="s">
        <v>7620</v>
      </c>
      <c r="E1626" s="10" t="s">
        <v>7621</v>
      </c>
      <c r="F1626" s="2" t="s">
        <v>123</v>
      </c>
      <c r="G1626" s="2"/>
      <c r="H1626" s="2"/>
      <c r="I1626" s="2" t="s">
        <v>7619</v>
      </c>
    </row>
    <row r="1627" ht="15.75" hidden="1" customHeight="1">
      <c r="A1627" s="9">
        <v>7267371.0</v>
      </c>
      <c r="B1627" s="2" t="s">
        <v>7623</v>
      </c>
      <c r="C1627" s="2" t="s">
        <v>7624</v>
      </c>
      <c r="D1627" s="2" t="s">
        <v>7625</v>
      </c>
      <c r="E1627" s="10" t="s">
        <v>7626</v>
      </c>
      <c r="F1627" s="2" t="s">
        <v>123</v>
      </c>
      <c r="G1627" s="2"/>
      <c r="H1627" s="2"/>
      <c r="I1627" s="2" t="s">
        <v>7624</v>
      </c>
    </row>
    <row r="1628" ht="15.75" hidden="1" customHeight="1">
      <c r="A1628" s="9">
        <v>7267372.0</v>
      </c>
      <c r="B1628" s="2" t="s">
        <v>7627</v>
      </c>
      <c r="C1628" s="2" t="s">
        <v>7628</v>
      </c>
      <c r="D1628" s="2" t="s">
        <v>7630</v>
      </c>
      <c r="E1628" s="10" t="s">
        <v>7631</v>
      </c>
      <c r="F1628" s="2" t="s">
        <v>123</v>
      </c>
      <c r="G1628" s="2"/>
      <c r="H1628" s="2"/>
      <c r="I1628" s="2" t="s">
        <v>7628</v>
      </c>
    </row>
    <row r="1629" ht="15.75" hidden="1" customHeight="1">
      <c r="A1629" s="9">
        <v>7267373.0</v>
      </c>
      <c r="B1629" s="2" t="s">
        <v>7632</v>
      </c>
      <c r="C1629" s="2" t="s">
        <v>7633</v>
      </c>
      <c r="D1629" s="2" t="s">
        <v>7634</v>
      </c>
      <c r="E1629" s="10" t="s">
        <v>7635</v>
      </c>
      <c r="F1629" s="2" t="s">
        <v>123</v>
      </c>
      <c r="G1629" s="2"/>
      <c r="H1629" s="2"/>
      <c r="I1629" s="2" t="s">
        <v>7633</v>
      </c>
    </row>
    <row r="1630" ht="15.75" hidden="1" customHeight="1">
      <c r="A1630" s="9">
        <v>7267374.0</v>
      </c>
      <c r="B1630" s="2" t="s">
        <v>7637</v>
      </c>
      <c r="C1630" s="2" t="s">
        <v>7638</v>
      </c>
      <c r="D1630" s="2" t="s">
        <v>7639</v>
      </c>
      <c r="E1630" s="10" t="s">
        <v>7640</v>
      </c>
      <c r="F1630" s="2" t="s">
        <v>123</v>
      </c>
      <c r="G1630" s="2"/>
      <c r="H1630" s="2"/>
      <c r="I1630" s="2" t="s">
        <v>7638</v>
      </c>
    </row>
    <row r="1631" ht="15.75" hidden="1" customHeight="1">
      <c r="A1631" s="9">
        <v>7267839.0</v>
      </c>
      <c r="B1631" s="2" t="s">
        <v>7641</v>
      </c>
      <c r="C1631" s="2" t="s">
        <v>7642</v>
      </c>
      <c r="D1631" s="2" t="s">
        <v>7643</v>
      </c>
      <c r="E1631" s="10" t="s">
        <v>7644</v>
      </c>
      <c r="F1631" s="2" t="s">
        <v>1653</v>
      </c>
      <c r="G1631" s="2"/>
      <c r="H1631" s="2"/>
      <c r="I1631" s="2" t="s">
        <v>7642</v>
      </c>
    </row>
    <row r="1632" ht="15.75" hidden="1" customHeight="1">
      <c r="A1632" s="9">
        <v>7267840.0</v>
      </c>
      <c r="B1632" s="2" t="s">
        <v>7645</v>
      </c>
      <c r="C1632" s="2" t="s">
        <v>7646</v>
      </c>
      <c r="D1632" s="2" t="s">
        <v>7647</v>
      </c>
      <c r="E1632" s="10" t="s">
        <v>7648</v>
      </c>
      <c r="F1632" s="2" t="s">
        <v>30</v>
      </c>
      <c r="G1632" s="2"/>
      <c r="H1632" s="2"/>
      <c r="I1632" s="2" t="s">
        <v>7646</v>
      </c>
    </row>
    <row r="1633" ht="15.75" hidden="1" customHeight="1">
      <c r="A1633" s="9">
        <v>7267841.0</v>
      </c>
      <c r="B1633" s="2" t="s">
        <v>7649</v>
      </c>
      <c r="C1633" s="2" t="s">
        <v>7650</v>
      </c>
      <c r="D1633" s="2" t="s">
        <v>7651</v>
      </c>
      <c r="E1633" s="10" t="s">
        <v>7652</v>
      </c>
      <c r="F1633" s="2" t="s">
        <v>30</v>
      </c>
      <c r="G1633" s="2"/>
      <c r="H1633" s="2"/>
      <c r="I1633" s="2" t="s">
        <v>7650</v>
      </c>
    </row>
    <row r="1634" ht="15.75" hidden="1" customHeight="1">
      <c r="A1634" s="9">
        <v>7267842.0</v>
      </c>
      <c r="B1634" s="2" t="s">
        <v>7653</v>
      </c>
      <c r="C1634" s="2" t="s">
        <v>7654</v>
      </c>
      <c r="D1634" s="2" t="s">
        <v>511</v>
      </c>
      <c r="E1634" s="10" t="s">
        <v>518</v>
      </c>
      <c r="F1634" s="2" t="s">
        <v>524</v>
      </c>
      <c r="G1634" s="2"/>
      <c r="H1634" s="2"/>
      <c r="I1634" s="2" t="s">
        <v>7654</v>
      </c>
    </row>
    <row r="1635" ht="15.75" customHeight="1">
      <c r="A1635" s="9">
        <v>7267843.0</v>
      </c>
      <c r="B1635" s="2" t="s">
        <v>1347</v>
      </c>
      <c r="C1635" s="2" t="s">
        <v>7655</v>
      </c>
      <c r="D1635" s="2" t="s">
        <v>7656</v>
      </c>
      <c r="E1635" s="10" t="s">
        <v>3835</v>
      </c>
      <c r="F1635" s="2" t="s">
        <v>221</v>
      </c>
      <c r="G1635" s="2"/>
      <c r="H1635" s="2"/>
      <c r="I1635" s="2" t="s">
        <v>7655</v>
      </c>
    </row>
    <row r="1636" ht="15.75" customHeight="1">
      <c r="A1636" s="9">
        <v>7267844.0</v>
      </c>
      <c r="B1636" s="2" t="s">
        <v>1458</v>
      </c>
      <c r="C1636" s="2" t="s">
        <v>7658</v>
      </c>
      <c r="D1636" s="2" t="s">
        <v>7659</v>
      </c>
      <c r="E1636" s="10" t="s">
        <v>3880</v>
      </c>
      <c r="F1636" s="2" t="s">
        <v>221</v>
      </c>
      <c r="G1636" s="2"/>
      <c r="H1636" s="2"/>
      <c r="I1636" s="2" t="s">
        <v>7658</v>
      </c>
    </row>
    <row r="1637" ht="15.75" hidden="1" customHeight="1">
      <c r="A1637" s="9">
        <v>7267845.0</v>
      </c>
      <c r="B1637" s="2" t="s">
        <v>7660</v>
      </c>
      <c r="C1637" s="2" t="s">
        <v>7661</v>
      </c>
      <c r="D1637" s="2" t="s">
        <v>7662</v>
      </c>
      <c r="E1637" s="10" t="s">
        <v>7663</v>
      </c>
      <c r="F1637" s="2" t="s">
        <v>365</v>
      </c>
      <c r="G1637" s="2"/>
      <c r="H1637" s="2"/>
      <c r="I1637" s="2" t="s">
        <v>7661</v>
      </c>
    </row>
    <row r="1638" ht="15.75" hidden="1" customHeight="1">
      <c r="A1638" s="9">
        <v>7267846.0</v>
      </c>
      <c r="B1638" s="2" t="s">
        <v>7664</v>
      </c>
      <c r="C1638" s="2" t="s">
        <v>7665</v>
      </c>
      <c r="D1638" s="2" t="s">
        <v>7666</v>
      </c>
      <c r="E1638" s="10" t="s">
        <v>7667</v>
      </c>
      <c r="F1638" s="2" t="s">
        <v>617</v>
      </c>
      <c r="G1638" s="2"/>
      <c r="H1638" s="2"/>
      <c r="I1638" s="2" t="s">
        <v>7665</v>
      </c>
    </row>
    <row r="1639" ht="15.75" hidden="1" customHeight="1">
      <c r="A1639" s="9">
        <v>7267847.0</v>
      </c>
      <c r="B1639" s="2" t="s">
        <v>6362</v>
      </c>
      <c r="C1639" s="2" t="s">
        <v>7670</v>
      </c>
      <c r="D1639" s="2" t="s">
        <v>7671</v>
      </c>
      <c r="E1639" s="10" t="s">
        <v>7672</v>
      </c>
      <c r="F1639" s="2" t="s">
        <v>238</v>
      </c>
      <c r="G1639" s="2"/>
      <c r="H1639" s="2"/>
      <c r="I1639" s="2" t="s">
        <v>7670</v>
      </c>
    </row>
    <row r="1640" ht="15.75" hidden="1" customHeight="1">
      <c r="A1640" s="9">
        <v>7267848.0</v>
      </c>
      <c r="B1640" s="2" t="s">
        <v>7673</v>
      </c>
      <c r="C1640" s="2" t="s">
        <v>7674</v>
      </c>
      <c r="D1640" s="2" t="s">
        <v>7675</v>
      </c>
      <c r="E1640" s="10" t="s">
        <v>7676</v>
      </c>
      <c r="F1640" s="2" t="s">
        <v>889</v>
      </c>
      <c r="G1640" s="2"/>
      <c r="H1640" s="2"/>
      <c r="I1640" s="2" t="s">
        <v>7674</v>
      </c>
    </row>
    <row r="1641" ht="15.75" hidden="1" customHeight="1">
      <c r="A1641" s="9">
        <v>7267849.0</v>
      </c>
      <c r="B1641" s="2" t="s">
        <v>7678</v>
      </c>
      <c r="C1641" s="2" t="s">
        <v>7679</v>
      </c>
      <c r="D1641" s="2" t="s">
        <v>3784</v>
      </c>
      <c r="E1641" s="10" t="s">
        <v>3788</v>
      </c>
      <c r="F1641" s="2" t="s">
        <v>346</v>
      </c>
      <c r="G1641" s="2"/>
      <c r="H1641" s="2"/>
      <c r="I1641" s="2" t="s">
        <v>7679</v>
      </c>
    </row>
    <row r="1642" ht="15.75" hidden="1" customHeight="1">
      <c r="A1642" s="9">
        <v>7267850.0</v>
      </c>
      <c r="B1642" s="2" t="s">
        <v>7680</v>
      </c>
      <c r="C1642" s="2" t="s">
        <v>7681</v>
      </c>
      <c r="D1642" s="2" t="s">
        <v>7682</v>
      </c>
      <c r="E1642" s="10" t="s">
        <v>7683</v>
      </c>
      <c r="F1642" s="2" t="s">
        <v>1064</v>
      </c>
      <c r="G1642" s="2"/>
      <c r="H1642" s="2"/>
      <c r="I1642" s="2" t="s">
        <v>7681</v>
      </c>
    </row>
    <row r="1643" ht="15.75" hidden="1" customHeight="1">
      <c r="A1643" s="9">
        <v>7267852.0</v>
      </c>
      <c r="B1643" s="2" t="s">
        <v>7684</v>
      </c>
      <c r="C1643" s="2" t="s">
        <v>7685</v>
      </c>
      <c r="D1643" s="2" t="s">
        <v>7687</v>
      </c>
      <c r="E1643" s="10" t="s">
        <v>7688</v>
      </c>
      <c r="F1643" s="2" t="s">
        <v>1064</v>
      </c>
      <c r="G1643" s="2"/>
      <c r="H1643" s="2"/>
      <c r="I1643" s="2" t="s">
        <v>7685</v>
      </c>
    </row>
    <row r="1644" ht="15.75" hidden="1" customHeight="1">
      <c r="A1644" s="9">
        <v>7267853.0</v>
      </c>
      <c r="B1644" s="2" t="s">
        <v>7690</v>
      </c>
      <c r="C1644" s="2" t="s">
        <v>7691</v>
      </c>
      <c r="D1644" s="2" t="s">
        <v>7692</v>
      </c>
      <c r="E1644" s="10" t="s">
        <v>1806</v>
      </c>
      <c r="F1644" s="2" t="s">
        <v>42</v>
      </c>
      <c r="G1644" s="2"/>
      <c r="H1644" s="2"/>
      <c r="I1644" s="2" t="s">
        <v>7691</v>
      </c>
    </row>
    <row r="1645" ht="15.75" hidden="1" customHeight="1">
      <c r="A1645" s="9">
        <v>7267854.0</v>
      </c>
      <c r="B1645" s="2" t="s">
        <v>7693</v>
      </c>
      <c r="C1645" s="2" t="s">
        <v>7694</v>
      </c>
      <c r="D1645" s="2" t="s">
        <v>7696</v>
      </c>
      <c r="E1645" s="10" t="s">
        <v>7697</v>
      </c>
      <c r="F1645" s="2" t="s">
        <v>277</v>
      </c>
      <c r="G1645" s="2"/>
      <c r="H1645" s="2"/>
      <c r="I1645" s="2" t="s">
        <v>7694</v>
      </c>
    </row>
    <row r="1646" ht="15.75" hidden="1" customHeight="1">
      <c r="A1646" s="9">
        <v>7267855.0</v>
      </c>
      <c r="B1646" s="2" t="s">
        <v>7698</v>
      </c>
      <c r="C1646" s="2" t="s">
        <v>7699</v>
      </c>
      <c r="D1646" s="2" t="s">
        <v>553</v>
      </c>
      <c r="E1646" s="10" t="s">
        <v>560</v>
      </c>
      <c r="F1646" s="2" t="s">
        <v>469</v>
      </c>
      <c r="G1646" s="2"/>
      <c r="H1646" s="2"/>
      <c r="I1646" s="2" t="s">
        <v>7699</v>
      </c>
    </row>
    <row r="1647" ht="15.75" hidden="1" customHeight="1">
      <c r="A1647" s="9">
        <v>7267856.0</v>
      </c>
      <c r="B1647" s="2" t="s">
        <v>7700</v>
      </c>
      <c r="C1647" s="2" t="s">
        <v>7701</v>
      </c>
      <c r="D1647" s="2" t="s">
        <v>7702</v>
      </c>
      <c r="E1647" s="10" t="s">
        <v>7703</v>
      </c>
      <c r="F1647" s="2" t="s">
        <v>469</v>
      </c>
      <c r="G1647" s="2"/>
      <c r="H1647" s="2"/>
      <c r="I1647" s="2" t="s">
        <v>7701</v>
      </c>
    </row>
    <row r="1648" ht="15.75" hidden="1" customHeight="1">
      <c r="A1648" s="9">
        <v>7267857.0</v>
      </c>
      <c r="B1648" s="2" t="s">
        <v>7704</v>
      </c>
      <c r="C1648" s="2" t="s">
        <v>7705</v>
      </c>
      <c r="D1648" s="2" t="s">
        <v>7706</v>
      </c>
      <c r="E1648" s="10" t="s">
        <v>7707</v>
      </c>
      <c r="F1648" s="2" t="s">
        <v>3956</v>
      </c>
      <c r="G1648" s="2"/>
      <c r="H1648" s="2"/>
      <c r="I1648" s="2" t="s">
        <v>7705</v>
      </c>
    </row>
    <row r="1649" ht="15.75" hidden="1" customHeight="1">
      <c r="A1649" s="9">
        <v>7268786.0</v>
      </c>
      <c r="B1649" s="2" t="s">
        <v>7708</v>
      </c>
      <c r="C1649" s="2" t="s">
        <v>7709</v>
      </c>
      <c r="D1649" s="2" t="s">
        <v>7710</v>
      </c>
      <c r="E1649" s="10" t="s">
        <v>7712</v>
      </c>
      <c r="F1649" s="2" t="s">
        <v>106</v>
      </c>
      <c r="G1649" s="2"/>
      <c r="H1649" s="2"/>
      <c r="I1649" s="2" t="s">
        <v>7709</v>
      </c>
    </row>
    <row r="1650" ht="15.75" hidden="1" customHeight="1">
      <c r="A1650" s="9">
        <v>7269697.0</v>
      </c>
      <c r="B1650" s="2" t="s">
        <v>7713</v>
      </c>
      <c r="C1650" s="2" t="s">
        <v>7714</v>
      </c>
      <c r="D1650" s="2" t="s">
        <v>5770</v>
      </c>
      <c r="E1650" s="10" t="s">
        <v>5776</v>
      </c>
      <c r="F1650" s="2" t="s">
        <v>1946</v>
      </c>
      <c r="G1650" s="2"/>
      <c r="H1650" s="2"/>
      <c r="I1650" s="2" t="s">
        <v>7714</v>
      </c>
    </row>
    <row r="1651" ht="15.75" hidden="1" customHeight="1">
      <c r="A1651" s="9">
        <v>7270075.0</v>
      </c>
      <c r="B1651" s="2" t="s">
        <v>7715</v>
      </c>
      <c r="C1651" s="2" t="s">
        <v>7716</v>
      </c>
      <c r="D1651" s="2" t="s">
        <v>7718</v>
      </c>
      <c r="E1651" s="10" t="s">
        <v>7719</v>
      </c>
      <c r="F1651" s="2" t="s">
        <v>57</v>
      </c>
      <c r="G1651" s="2"/>
      <c r="H1651" s="2"/>
      <c r="I1651" s="2" t="s">
        <v>7716</v>
      </c>
    </row>
    <row r="1652" ht="15.75" hidden="1" customHeight="1">
      <c r="A1652" s="9">
        <v>7270081.0</v>
      </c>
      <c r="B1652" s="2" t="s">
        <v>7721</v>
      </c>
      <c r="C1652" s="2" t="s">
        <v>7722</v>
      </c>
      <c r="D1652" s="2" t="s">
        <v>7723</v>
      </c>
      <c r="E1652" s="10" t="s">
        <v>7724</v>
      </c>
      <c r="F1652" s="2" t="s">
        <v>7725</v>
      </c>
      <c r="G1652" s="2"/>
      <c r="H1652" s="2"/>
      <c r="I1652" s="2" t="s">
        <v>7722</v>
      </c>
    </row>
    <row r="1653" ht="15.75" hidden="1" customHeight="1">
      <c r="A1653" s="9">
        <v>7270082.0</v>
      </c>
      <c r="B1653" s="2" t="s">
        <v>7727</v>
      </c>
      <c r="C1653" s="2" t="s">
        <v>7728</v>
      </c>
      <c r="D1653" s="2" t="s">
        <v>7729</v>
      </c>
      <c r="E1653" s="10" t="s">
        <v>7730</v>
      </c>
      <c r="F1653" s="2" t="s">
        <v>7731</v>
      </c>
      <c r="G1653" s="2"/>
      <c r="H1653" s="2"/>
      <c r="I1653" s="2" t="s">
        <v>7728</v>
      </c>
    </row>
    <row r="1654" ht="15.75" hidden="1" customHeight="1">
      <c r="A1654" s="9">
        <v>7270083.0</v>
      </c>
      <c r="B1654" s="2" t="s">
        <v>7732</v>
      </c>
      <c r="C1654" s="2" t="s">
        <v>7733</v>
      </c>
      <c r="D1654" s="2" t="s">
        <v>7734</v>
      </c>
      <c r="E1654" s="10" t="s">
        <v>6361</v>
      </c>
      <c r="F1654" s="2" t="s">
        <v>7731</v>
      </c>
      <c r="G1654" s="2"/>
      <c r="H1654" s="2"/>
      <c r="I1654" s="2" t="s">
        <v>7733</v>
      </c>
    </row>
    <row r="1655" ht="15.75" hidden="1" customHeight="1">
      <c r="A1655" s="9">
        <v>7270084.0</v>
      </c>
      <c r="B1655" s="2" t="s">
        <v>7735</v>
      </c>
      <c r="C1655" s="2" t="s">
        <v>7736</v>
      </c>
      <c r="D1655" s="2" t="s">
        <v>7737</v>
      </c>
      <c r="E1655" s="10" t="s">
        <v>7738</v>
      </c>
      <c r="F1655" s="2" t="s">
        <v>7731</v>
      </c>
      <c r="G1655" s="2"/>
      <c r="H1655" s="2"/>
      <c r="I1655" s="2" t="s">
        <v>7736</v>
      </c>
    </row>
    <row r="1656" ht="15.75" hidden="1" customHeight="1">
      <c r="A1656" s="9">
        <v>7270085.0</v>
      </c>
      <c r="B1656" s="2" t="s">
        <v>7740</v>
      </c>
      <c r="C1656" s="2" t="s">
        <v>7741</v>
      </c>
      <c r="D1656" s="2" t="s">
        <v>7742</v>
      </c>
      <c r="E1656" s="10" t="s">
        <v>7743</v>
      </c>
      <c r="F1656" s="2" t="s">
        <v>792</v>
      </c>
      <c r="G1656" s="2"/>
      <c r="H1656" s="2"/>
      <c r="I1656" s="2" t="s">
        <v>7741</v>
      </c>
    </row>
    <row r="1657" ht="15.75" hidden="1" customHeight="1">
      <c r="A1657" s="9">
        <v>7270086.0</v>
      </c>
      <c r="B1657" s="2" t="s">
        <v>7745</v>
      </c>
      <c r="C1657" s="2" t="s">
        <v>7746</v>
      </c>
      <c r="D1657" s="2" t="s">
        <v>7747</v>
      </c>
      <c r="E1657" s="10" t="s">
        <v>7748</v>
      </c>
      <c r="F1657" s="2" t="s">
        <v>792</v>
      </c>
      <c r="G1657" s="2"/>
      <c r="H1657" s="2"/>
      <c r="I1657" s="2" t="s">
        <v>7746</v>
      </c>
    </row>
    <row r="1658" ht="15.75" hidden="1" customHeight="1">
      <c r="A1658" s="9">
        <v>7270087.0</v>
      </c>
      <c r="B1658" s="2" t="s">
        <v>7749</v>
      </c>
      <c r="C1658" s="2" t="s">
        <v>7750</v>
      </c>
      <c r="D1658" s="2" t="s">
        <v>3767</v>
      </c>
      <c r="E1658" s="10" t="s">
        <v>3773</v>
      </c>
      <c r="F1658" s="2" t="s">
        <v>792</v>
      </c>
      <c r="G1658" s="2"/>
      <c r="H1658" s="2"/>
      <c r="I1658" s="2" t="s">
        <v>7750</v>
      </c>
    </row>
    <row r="1659" ht="15.75" hidden="1" customHeight="1">
      <c r="A1659" s="9">
        <v>7270088.0</v>
      </c>
      <c r="B1659" s="2" t="s">
        <v>7752</v>
      </c>
      <c r="C1659" s="2" t="s">
        <v>7753</v>
      </c>
      <c r="D1659" s="2" t="s">
        <v>7754</v>
      </c>
      <c r="E1659" s="10" t="s">
        <v>7756</v>
      </c>
      <c r="F1659" s="2" t="s">
        <v>792</v>
      </c>
      <c r="G1659" s="2"/>
      <c r="H1659" s="2"/>
      <c r="I1659" s="2" t="s">
        <v>7753</v>
      </c>
    </row>
    <row r="1660" ht="15.75" hidden="1" customHeight="1">
      <c r="A1660" s="9">
        <v>7270089.0</v>
      </c>
      <c r="B1660" s="2" t="s">
        <v>7759</v>
      </c>
      <c r="C1660" s="2" t="s">
        <v>7760</v>
      </c>
      <c r="D1660" s="2" t="s">
        <v>4084</v>
      </c>
      <c r="E1660" s="10" t="s">
        <v>4090</v>
      </c>
      <c r="F1660" s="2" t="s">
        <v>792</v>
      </c>
      <c r="G1660" s="2"/>
      <c r="H1660" s="2"/>
      <c r="I1660" s="2" t="s">
        <v>7760</v>
      </c>
    </row>
    <row r="1661" ht="15.75" hidden="1" customHeight="1">
      <c r="A1661" s="9">
        <v>7270090.0</v>
      </c>
      <c r="B1661" s="2" t="s">
        <v>7761</v>
      </c>
      <c r="C1661" s="2" t="s">
        <v>7762</v>
      </c>
      <c r="D1661" s="2" t="s">
        <v>7763</v>
      </c>
      <c r="E1661" s="10" t="s">
        <v>7764</v>
      </c>
      <c r="F1661" s="2" t="s">
        <v>792</v>
      </c>
      <c r="G1661" s="2"/>
      <c r="H1661" s="2"/>
      <c r="I1661" s="2" t="s">
        <v>7762</v>
      </c>
    </row>
    <row r="1662" ht="15.75" hidden="1" customHeight="1">
      <c r="A1662" s="9">
        <v>7270091.0</v>
      </c>
      <c r="B1662" s="2" t="s">
        <v>7765</v>
      </c>
      <c r="C1662" s="2" t="s">
        <v>7766</v>
      </c>
      <c r="D1662" s="2" t="s">
        <v>7450</v>
      </c>
      <c r="E1662" s="10" t="s">
        <v>7455</v>
      </c>
      <c r="F1662" s="2" t="s">
        <v>792</v>
      </c>
      <c r="G1662" s="2"/>
      <c r="H1662" s="2"/>
      <c r="I1662" s="2" t="s">
        <v>7766</v>
      </c>
    </row>
    <row r="1663" ht="15.75" hidden="1" customHeight="1">
      <c r="A1663" s="9">
        <v>7270092.0</v>
      </c>
      <c r="B1663" s="2" t="s">
        <v>7768</v>
      </c>
      <c r="C1663" s="2" t="s">
        <v>7769</v>
      </c>
      <c r="D1663" s="2" t="s">
        <v>7770</v>
      </c>
      <c r="E1663" s="10" t="s">
        <v>7771</v>
      </c>
      <c r="F1663" s="2" t="s">
        <v>792</v>
      </c>
      <c r="G1663" s="2"/>
      <c r="H1663" s="2"/>
      <c r="I1663" s="2" t="s">
        <v>7769</v>
      </c>
    </row>
    <row r="1664" ht="15.75" hidden="1" customHeight="1">
      <c r="A1664" s="9">
        <v>7270093.0</v>
      </c>
      <c r="B1664" s="2" t="s">
        <v>7417</v>
      </c>
      <c r="C1664" s="2" t="s">
        <v>7772</v>
      </c>
      <c r="D1664" s="2" t="s">
        <v>7413</v>
      </c>
      <c r="E1664" s="10" t="s">
        <v>7420</v>
      </c>
      <c r="F1664" s="2" t="s">
        <v>792</v>
      </c>
      <c r="G1664" s="2"/>
      <c r="H1664" s="2"/>
      <c r="I1664" s="2" t="s">
        <v>7772</v>
      </c>
    </row>
    <row r="1665" ht="15.75" hidden="1" customHeight="1">
      <c r="A1665" s="9">
        <v>7270094.0</v>
      </c>
      <c r="B1665" s="2" t="s">
        <v>7773</v>
      </c>
      <c r="C1665" s="2" t="s">
        <v>7774</v>
      </c>
      <c r="D1665" s="2" t="s">
        <v>7775</v>
      </c>
      <c r="E1665" s="10" t="s">
        <v>7776</v>
      </c>
      <c r="F1665" s="2" t="s">
        <v>792</v>
      </c>
      <c r="G1665" s="2"/>
      <c r="H1665" s="2"/>
      <c r="I1665" s="2" t="s">
        <v>7774</v>
      </c>
    </row>
    <row r="1666" ht="15.75" hidden="1" customHeight="1">
      <c r="A1666" s="9">
        <v>7270095.0</v>
      </c>
      <c r="B1666" s="2" t="s">
        <v>7777</v>
      </c>
      <c r="C1666" s="2" t="s">
        <v>7778</v>
      </c>
      <c r="D1666" s="2" t="s">
        <v>7780</v>
      </c>
      <c r="E1666" s="10" t="s">
        <v>7781</v>
      </c>
      <c r="F1666" s="2" t="s">
        <v>792</v>
      </c>
      <c r="G1666" s="2"/>
      <c r="H1666" s="2"/>
      <c r="I1666" s="2" t="s">
        <v>7778</v>
      </c>
    </row>
    <row r="1667" ht="15.75" hidden="1" customHeight="1">
      <c r="A1667" s="9">
        <v>7270096.0</v>
      </c>
      <c r="B1667" s="2" t="s">
        <v>7783</v>
      </c>
      <c r="C1667" s="2" t="s">
        <v>7784</v>
      </c>
      <c r="D1667" s="2" t="s">
        <v>7785</v>
      </c>
      <c r="E1667" s="10" t="s">
        <v>7786</v>
      </c>
      <c r="F1667" s="2" t="s">
        <v>792</v>
      </c>
      <c r="G1667" s="2"/>
      <c r="H1667" s="2"/>
      <c r="I1667" s="2" t="s">
        <v>7784</v>
      </c>
    </row>
    <row r="1668" ht="15.75" hidden="1" customHeight="1">
      <c r="A1668" s="9">
        <v>7270097.0</v>
      </c>
      <c r="B1668" s="2" t="s">
        <v>7787</v>
      </c>
      <c r="C1668" s="2" t="s">
        <v>7788</v>
      </c>
      <c r="D1668" s="2" t="s">
        <v>7789</v>
      </c>
      <c r="E1668" s="10" t="s">
        <v>7790</v>
      </c>
      <c r="F1668" s="2" t="s">
        <v>792</v>
      </c>
      <c r="G1668" s="2"/>
      <c r="H1668" s="2"/>
      <c r="I1668" s="2" t="s">
        <v>7788</v>
      </c>
    </row>
    <row r="1669" ht="15.75" hidden="1" customHeight="1">
      <c r="A1669" s="9">
        <v>7270098.0</v>
      </c>
      <c r="B1669" s="2" t="s">
        <v>7792</v>
      </c>
      <c r="C1669" s="2" t="s">
        <v>7793</v>
      </c>
      <c r="D1669" s="2" t="s">
        <v>7794</v>
      </c>
      <c r="E1669" s="10" t="s">
        <v>7795</v>
      </c>
      <c r="F1669" s="2" t="s">
        <v>792</v>
      </c>
      <c r="G1669" s="2"/>
      <c r="H1669" s="2"/>
      <c r="I1669" s="2" t="s">
        <v>7793</v>
      </c>
    </row>
    <row r="1670" ht="15.75" hidden="1" customHeight="1">
      <c r="A1670" s="9">
        <v>7270099.0</v>
      </c>
      <c r="B1670" s="2" t="s">
        <v>7796</v>
      </c>
      <c r="C1670" s="2" t="s">
        <v>7797</v>
      </c>
      <c r="D1670" s="2" t="s">
        <v>7798</v>
      </c>
      <c r="E1670" s="10" t="s">
        <v>7799</v>
      </c>
      <c r="F1670" s="2" t="s">
        <v>792</v>
      </c>
      <c r="G1670" s="2"/>
      <c r="H1670" s="2"/>
      <c r="I1670" s="2" t="s">
        <v>7797</v>
      </c>
    </row>
    <row r="1671" ht="15.75" hidden="1" customHeight="1">
      <c r="A1671" s="9">
        <v>7270100.0</v>
      </c>
      <c r="B1671" s="2" t="s">
        <v>7800</v>
      </c>
      <c r="C1671" s="2" t="s">
        <v>7801</v>
      </c>
      <c r="D1671" s="2" t="s">
        <v>7802</v>
      </c>
      <c r="E1671" s="10" t="s">
        <v>7804</v>
      </c>
      <c r="F1671" s="2" t="s">
        <v>792</v>
      </c>
      <c r="G1671" s="2"/>
      <c r="H1671" s="2"/>
      <c r="I1671" s="2" t="s">
        <v>7801</v>
      </c>
    </row>
    <row r="1672" ht="15.75" hidden="1" customHeight="1">
      <c r="A1672" s="9">
        <v>7270101.0</v>
      </c>
      <c r="B1672" s="2" t="s">
        <v>7807</v>
      </c>
      <c r="C1672" s="2" t="s">
        <v>7808</v>
      </c>
      <c r="D1672" s="2" t="s">
        <v>7809</v>
      </c>
      <c r="E1672" s="10" t="s">
        <v>7810</v>
      </c>
      <c r="F1672" s="2" t="s">
        <v>792</v>
      </c>
      <c r="G1672" s="2"/>
      <c r="H1672" s="2"/>
      <c r="I1672" s="2" t="s">
        <v>7808</v>
      </c>
    </row>
    <row r="1673" ht="15.75" hidden="1" customHeight="1">
      <c r="A1673" s="9">
        <v>7270102.0</v>
      </c>
      <c r="B1673" s="2" t="s">
        <v>7812</v>
      </c>
      <c r="C1673" s="2" t="s">
        <v>7813</v>
      </c>
      <c r="D1673" s="2" t="s">
        <v>7814</v>
      </c>
      <c r="E1673" s="10" t="s">
        <v>7815</v>
      </c>
      <c r="F1673" s="2" t="s">
        <v>792</v>
      </c>
      <c r="G1673" s="2"/>
      <c r="H1673" s="2"/>
      <c r="I1673" s="2" t="s">
        <v>7813</v>
      </c>
    </row>
    <row r="1674" ht="15.75" hidden="1" customHeight="1">
      <c r="A1674" s="9">
        <v>7270103.0</v>
      </c>
      <c r="B1674" s="2" t="s">
        <v>7816</v>
      </c>
      <c r="C1674" s="2" t="s">
        <v>7817</v>
      </c>
      <c r="D1674" s="2" t="s">
        <v>7819</v>
      </c>
      <c r="E1674" s="10" t="s">
        <v>7820</v>
      </c>
      <c r="F1674" s="2" t="s">
        <v>792</v>
      </c>
      <c r="G1674" s="2"/>
      <c r="H1674" s="2"/>
      <c r="I1674" s="2" t="s">
        <v>7817</v>
      </c>
    </row>
    <row r="1675" ht="15.75" hidden="1" customHeight="1">
      <c r="A1675" s="9">
        <v>7270104.0</v>
      </c>
      <c r="B1675" s="2" t="s">
        <v>7823</v>
      </c>
      <c r="C1675" s="2" t="s">
        <v>7824</v>
      </c>
      <c r="D1675" s="2" t="s">
        <v>7825</v>
      </c>
      <c r="E1675" s="10" t="s">
        <v>7826</v>
      </c>
      <c r="F1675" s="2" t="s">
        <v>792</v>
      </c>
      <c r="G1675" s="2"/>
      <c r="H1675" s="2"/>
      <c r="I1675" s="2" t="s">
        <v>7824</v>
      </c>
    </row>
    <row r="1676" ht="15.75" hidden="1" customHeight="1">
      <c r="A1676" s="9">
        <v>7270105.0</v>
      </c>
      <c r="B1676" s="2" t="s">
        <v>7827</v>
      </c>
      <c r="C1676" s="2" t="s">
        <v>7828</v>
      </c>
      <c r="D1676" s="2" t="s">
        <v>7829</v>
      </c>
      <c r="E1676" s="10" t="s">
        <v>7830</v>
      </c>
      <c r="F1676" s="2" t="s">
        <v>792</v>
      </c>
      <c r="G1676" s="2"/>
      <c r="H1676" s="2"/>
      <c r="I1676" s="2" t="s">
        <v>7828</v>
      </c>
    </row>
    <row r="1677" ht="15.75" hidden="1" customHeight="1">
      <c r="A1677" s="9">
        <v>7270106.0</v>
      </c>
      <c r="B1677" s="2" t="s">
        <v>7832</v>
      </c>
      <c r="C1677" s="2" t="s">
        <v>7833</v>
      </c>
      <c r="D1677" s="2" t="s">
        <v>781</v>
      </c>
      <c r="E1677" s="10" t="s">
        <v>786</v>
      </c>
      <c r="F1677" s="2" t="s">
        <v>792</v>
      </c>
      <c r="G1677" s="2"/>
      <c r="H1677" s="2"/>
      <c r="I1677" s="2" t="s">
        <v>7833</v>
      </c>
    </row>
    <row r="1678" ht="15.75" hidden="1" customHeight="1">
      <c r="A1678" s="9">
        <v>7270107.0</v>
      </c>
      <c r="B1678" s="2" t="s">
        <v>7835</v>
      </c>
      <c r="C1678" s="2" t="s">
        <v>7836</v>
      </c>
      <c r="D1678" s="2" t="s">
        <v>7837</v>
      </c>
      <c r="E1678" s="10" t="s">
        <v>7838</v>
      </c>
      <c r="F1678" s="2" t="s">
        <v>792</v>
      </c>
      <c r="G1678" s="2"/>
      <c r="H1678" s="2"/>
      <c r="I1678" s="2" t="s">
        <v>7836</v>
      </c>
    </row>
    <row r="1679" ht="15.75" hidden="1" customHeight="1">
      <c r="A1679" s="9">
        <v>7270108.0</v>
      </c>
      <c r="B1679" s="2" t="s">
        <v>7839</v>
      </c>
      <c r="C1679" s="2" t="s">
        <v>7840</v>
      </c>
      <c r="D1679" s="2" t="s">
        <v>7841</v>
      </c>
      <c r="E1679" s="10" t="s">
        <v>7842</v>
      </c>
      <c r="F1679" s="2" t="s">
        <v>792</v>
      </c>
      <c r="G1679" s="2"/>
      <c r="H1679" s="2"/>
      <c r="I1679" s="2" t="s">
        <v>7840</v>
      </c>
    </row>
    <row r="1680" ht="15.75" hidden="1" customHeight="1">
      <c r="A1680" s="9">
        <v>7270109.0</v>
      </c>
      <c r="B1680" s="2" t="s">
        <v>7843</v>
      </c>
      <c r="C1680" s="2" t="s">
        <v>7844</v>
      </c>
      <c r="D1680" s="2" t="s">
        <v>7845</v>
      </c>
      <c r="E1680" s="10" t="s">
        <v>7846</v>
      </c>
      <c r="F1680" s="2" t="s">
        <v>792</v>
      </c>
      <c r="G1680" s="2"/>
      <c r="H1680" s="2"/>
      <c r="I1680" s="2" t="s">
        <v>7844</v>
      </c>
    </row>
    <row r="1681" ht="15.75" hidden="1" customHeight="1">
      <c r="A1681" s="9">
        <v>7270110.0</v>
      </c>
      <c r="B1681" s="2" t="s">
        <v>7847</v>
      </c>
      <c r="C1681" s="2" t="s">
        <v>7849</v>
      </c>
      <c r="D1681" s="2" t="s">
        <v>7850</v>
      </c>
      <c r="E1681" s="10" t="s">
        <v>7851</v>
      </c>
      <c r="F1681" s="2" t="s">
        <v>303</v>
      </c>
      <c r="G1681" s="2"/>
      <c r="H1681" s="2"/>
      <c r="I1681" s="2" t="s">
        <v>7849</v>
      </c>
    </row>
    <row r="1682" ht="15.75" hidden="1" customHeight="1">
      <c r="A1682" s="9">
        <v>7270111.0</v>
      </c>
      <c r="B1682" s="2" t="s">
        <v>5747</v>
      </c>
      <c r="C1682" s="2" t="s">
        <v>7852</v>
      </c>
      <c r="D1682" s="2" t="s">
        <v>7853</v>
      </c>
      <c r="E1682" s="10" t="s">
        <v>295</v>
      </c>
      <c r="F1682" s="2" t="s">
        <v>303</v>
      </c>
      <c r="G1682" s="2"/>
      <c r="H1682" s="2"/>
      <c r="I1682" s="2" t="s">
        <v>7852</v>
      </c>
    </row>
    <row r="1683" ht="15.75" hidden="1" customHeight="1">
      <c r="A1683" s="9">
        <v>7270112.0</v>
      </c>
      <c r="B1683" s="2" t="s">
        <v>7855</v>
      </c>
      <c r="C1683" s="2" t="s">
        <v>7856</v>
      </c>
      <c r="D1683" s="2" t="s">
        <v>7751</v>
      </c>
      <c r="E1683" s="10" t="s">
        <v>7757</v>
      </c>
      <c r="F1683" s="2" t="s">
        <v>303</v>
      </c>
      <c r="G1683" s="2"/>
      <c r="H1683" s="2"/>
      <c r="I1683" s="2" t="s">
        <v>7856</v>
      </c>
    </row>
    <row r="1684" ht="15.75" hidden="1" customHeight="1">
      <c r="A1684" s="9">
        <v>7270113.0</v>
      </c>
      <c r="B1684" s="2" t="s">
        <v>390</v>
      </c>
      <c r="C1684" s="2" t="s">
        <v>7857</v>
      </c>
      <c r="D1684" s="2" t="s">
        <v>7858</v>
      </c>
      <c r="E1684" s="10" t="s">
        <v>7859</v>
      </c>
      <c r="F1684" s="2" t="s">
        <v>303</v>
      </c>
      <c r="G1684" s="2"/>
      <c r="H1684" s="2"/>
      <c r="I1684" s="2" t="s">
        <v>7857</v>
      </c>
    </row>
    <row r="1685" ht="15.75" hidden="1" customHeight="1">
      <c r="A1685" s="9">
        <v>7270114.0</v>
      </c>
      <c r="B1685" s="2" t="s">
        <v>7861</v>
      </c>
      <c r="C1685" s="2" t="s">
        <v>7862</v>
      </c>
      <c r="D1685" s="2" t="s">
        <v>3912</v>
      </c>
      <c r="E1685" s="10" t="s">
        <v>7863</v>
      </c>
      <c r="F1685" s="2" t="s">
        <v>303</v>
      </c>
      <c r="G1685" s="2"/>
      <c r="H1685" s="2"/>
      <c r="I1685" s="2" t="s">
        <v>7862</v>
      </c>
    </row>
    <row r="1686" ht="15.75" hidden="1" customHeight="1">
      <c r="A1686" s="9">
        <v>7270115.0</v>
      </c>
      <c r="B1686" s="2" t="s">
        <v>7865</v>
      </c>
      <c r="C1686" s="2" t="s">
        <v>7866</v>
      </c>
      <c r="D1686" s="2" t="s">
        <v>7867</v>
      </c>
      <c r="E1686" s="10" t="s">
        <v>7868</v>
      </c>
      <c r="F1686" s="2" t="s">
        <v>303</v>
      </c>
      <c r="G1686" s="2"/>
      <c r="H1686" s="2"/>
      <c r="I1686" s="2" t="s">
        <v>7866</v>
      </c>
    </row>
    <row r="1687" ht="15.75" hidden="1" customHeight="1">
      <c r="A1687" s="9">
        <v>7270117.0</v>
      </c>
      <c r="B1687" s="2" t="s">
        <v>7869</v>
      </c>
      <c r="C1687" s="2" t="s">
        <v>7870</v>
      </c>
      <c r="D1687" s="2" t="s">
        <v>7871</v>
      </c>
      <c r="E1687" s="10" t="s">
        <v>7872</v>
      </c>
      <c r="F1687" s="2" t="s">
        <v>303</v>
      </c>
      <c r="G1687" s="2"/>
      <c r="H1687" s="2"/>
      <c r="I1687" s="2" t="s">
        <v>7870</v>
      </c>
    </row>
    <row r="1688" ht="15.75" hidden="1" customHeight="1">
      <c r="A1688" s="9">
        <v>7270118.0</v>
      </c>
      <c r="B1688" s="2" t="s">
        <v>7873</v>
      </c>
      <c r="C1688" s="2" t="s">
        <v>7874</v>
      </c>
      <c r="D1688" s="2" t="s">
        <v>7099</v>
      </c>
      <c r="E1688" s="10" t="s">
        <v>7104</v>
      </c>
      <c r="F1688" s="2" t="s">
        <v>303</v>
      </c>
      <c r="G1688" s="2"/>
      <c r="H1688" s="2"/>
      <c r="I1688" s="2" t="s">
        <v>7874</v>
      </c>
    </row>
    <row r="1689" ht="15.75" hidden="1" customHeight="1">
      <c r="A1689" s="9">
        <v>7270119.0</v>
      </c>
      <c r="B1689" s="2" t="s">
        <v>7876</v>
      </c>
      <c r="C1689" s="2" t="s">
        <v>7877</v>
      </c>
      <c r="D1689" s="2" t="s">
        <v>4403</v>
      </c>
      <c r="E1689" s="10" t="s">
        <v>4409</v>
      </c>
      <c r="F1689" s="2" t="s">
        <v>303</v>
      </c>
      <c r="G1689" s="2"/>
      <c r="H1689" s="2"/>
      <c r="I1689" s="2" t="s">
        <v>7877</v>
      </c>
    </row>
    <row r="1690" ht="15.75" hidden="1" customHeight="1">
      <c r="A1690" s="9">
        <v>7270120.0</v>
      </c>
      <c r="B1690" s="2" t="s">
        <v>1145</v>
      </c>
      <c r="C1690" s="2" t="s">
        <v>7879</v>
      </c>
      <c r="D1690" s="2" t="s">
        <v>7880</v>
      </c>
      <c r="E1690" s="10" t="s">
        <v>7881</v>
      </c>
      <c r="F1690" s="2" t="s">
        <v>303</v>
      </c>
      <c r="G1690" s="2"/>
      <c r="H1690" s="2"/>
      <c r="I1690" s="2" t="s">
        <v>7879</v>
      </c>
    </row>
    <row r="1691" ht="15.75" hidden="1" customHeight="1">
      <c r="A1691" s="9">
        <v>7270121.0</v>
      </c>
      <c r="B1691" s="2" t="s">
        <v>7882</v>
      </c>
      <c r="C1691" s="2" t="s">
        <v>7883</v>
      </c>
      <c r="D1691" s="2" t="s">
        <v>7885</v>
      </c>
      <c r="E1691" s="10" t="s">
        <v>7886</v>
      </c>
      <c r="F1691" s="2" t="s">
        <v>303</v>
      </c>
      <c r="G1691" s="2"/>
      <c r="H1691" s="2"/>
      <c r="I1691" s="2" t="s">
        <v>7883</v>
      </c>
    </row>
    <row r="1692" ht="15.75" hidden="1" customHeight="1">
      <c r="A1692" s="9">
        <v>7270122.0</v>
      </c>
      <c r="B1692" s="2" t="s">
        <v>7888</v>
      </c>
      <c r="C1692" s="2" t="s">
        <v>7889</v>
      </c>
      <c r="D1692" s="2" t="s">
        <v>7890</v>
      </c>
      <c r="E1692" s="10" t="s">
        <v>7891</v>
      </c>
      <c r="F1692" s="2" t="s">
        <v>303</v>
      </c>
      <c r="G1692" s="2"/>
      <c r="H1692" s="2"/>
      <c r="I1692" s="2" t="s">
        <v>7889</v>
      </c>
    </row>
    <row r="1693" ht="15.75" hidden="1" customHeight="1">
      <c r="A1693" s="9">
        <v>7270124.0</v>
      </c>
      <c r="B1693" s="2" t="s">
        <v>7893</v>
      </c>
      <c r="C1693" s="2" t="s">
        <v>7895</v>
      </c>
      <c r="D1693" s="2" t="s">
        <v>7896</v>
      </c>
      <c r="E1693" s="10" t="s">
        <v>7897</v>
      </c>
      <c r="F1693" s="2" t="s">
        <v>303</v>
      </c>
      <c r="G1693" s="2"/>
      <c r="H1693" s="2"/>
      <c r="I1693" s="2" t="s">
        <v>7895</v>
      </c>
    </row>
    <row r="1694" ht="15.75" hidden="1" customHeight="1">
      <c r="A1694" s="9">
        <v>7270125.0</v>
      </c>
      <c r="B1694" s="2" t="s">
        <v>7899</v>
      </c>
      <c r="C1694" s="2" t="s">
        <v>7900</v>
      </c>
      <c r="D1694" s="2" t="s">
        <v>7901</v>
      </c>
      <c r="E1694" s="10" t="s">
        <v>7902</v>
      </c>
      <c r="F1694" s="2" t="s">
        <v>303</v>
      </c>
      <c r="G1694" s="2"/>
      <c r="H1694" s="2"/>
      <c r="I1694" s="2" t="s">
        <v>7900</v>
      </c>
    </row>
    <row r="1695" ht="15.75" hidden="1" customHeight="1">
      <c r="A1695" s="9">
        <v>7270126.0</v>
      </c>
      <c r="B1695" s="2" t="s">
        <v>7903</v>
      </c>
      <c r="C1695" s="2" t="s">
        <v>7904</v>
      </c>
      <c r="D1695" s="2" t="s">
        <v>7905</v>
      </c>
      <c r="E1695" s="10" t="s">
        <v>7907</v>
      </c>
      <c r="F1695" s="2" t="s">
        <v>303</v>
      </c>
      <c r="G1695" s="2"/>
      <c r="H1695" s="2"/>
      <c r="I1695" s="2" t="s">
        <v>7904</v>
      </c>
    </row>
    <row r="1696" ht="15.75" hidden="1" customHeight="1">
      <c r="A1696" s="9">
        <v>7270127.0</v>
      </c>
      <c r="B1696" s="2" t="s">
        <v>7910</v>
      </c>
      <c r="C1696" s="2" t="s">
        <v>7911</v>
      </c>
      <c r="D1696" s="2" t="s">
        <v>7912</v>
      </c>
      <c r="E1696" s="10" t="s">
        <v>7913</v>
      </c>
      <c r="F1696" s="2" t="s">
        <v>303</v>
      </c>
      <c r="G1696" s="2"/>
      <c r="H1696" s="2"/>
      <c r="I1696" s="2" t="s">
        <v>7911</v>
      </c>
    </row>
    <row r="1697" ht="15.75" hidden="1" customHeight="1">
      <c r="A1697" s="9">
        <v>7270128.0</v>
      </c>
      <c r="B1697" s="2" t="s">
        <v>7915</v>
      </c>
      <c r="C1697" s="2" t="s">
        <v>7916</v>
      </c>
      <c r="D1697" s="2" t="s">
        <v>7917</v>
      </c>
      <c r="E1697" s="10" t="s">
        <v>7918</v>
      </c>
      <c r="F1697" s="2" t="s">
        <v>303</v>
      </c>
      <c r="G1697" s="2"/>
      <c r="H1697" s="2"/>
      <c r="I1697" s="2" t="s">
        <v>7916</v>
      </c>
    </row>
    <row r="1698" ht="15.75" hidden="1" customHeight="1">
      <c r="A1698" s="9">
        <v>7270129.0</v>
      </c>
      <c r="B1698" s="2" t="s">
        <v>6110</v>
      </c>
      <c r="C1698" s="2" t="s">
        <v>7919</v>
      </c>
      <c r="D1698" s="2" t="s">
        <v>7920</v>
      </c>
      <c r="E1698" s="10" t="s">
        <v>7921</v>
      </c>
      <c r="F1698" s="2" t="s">
        <v>303</v>
      </c>
      <c r="G1698" s="2"/>
      <c r="H1698" s="2"/>
      <c r="I1698" s="2" t="s">
        <v>7919</v>
      </c>
    </row>
    <row r="1699" ht="15.75" hidden="1" customHeight="1">
      <c r="A1699" s="9">
        <v>7270130.0</v>
      </c>
      <c r="B1699" s="2" t="s">
        <v>7922</v>
      </c>
      <c r="C1699" s="2" t="s">
        <v>7924</v>
      </c>
      <c r="D1699" s="2" t="s">
        <v>7925</v>
      </c>
      <c r="E1699" s="10" t="s">
        <v>7926</v>
      </c>
      <c r="F1699" s="2" t="s">
        <v>303</v>
      </c>
      <c r="G1699" s="2"/>
      <c r="H1699" s="2"/>
      <c r="I1699" s="2" t="s">
        <v>7924</v>
      </c>
    </row>
    <row r="1700" ht="15.75" hidden="1" customHeight="1">
      <c r="A1700" s="9">
        <v>7270131.0</v>
      </c>
      <c r="B1700" s="2" t="s">
        <v>6377</v>
      </c>
      <c r="C1700" s="2" t="s">
        <v>7928</v>
      </c>
      <c r="D1700" s="2" t="s">
        <v>7929</v>
      </c>
      <c r="E1700" s="10" t="s">
        <v>7930</v>
      </c>
      <c r="F1700" s="2" t="s">
        <v>303</v>
      </c>
      <c r="G1700" s="2"/>
      <c r="H1700" s="2"/>
      <c r="I1700" s="2" t="s">
        <v>7928</v>
      </c>
    </row>
    <row r="1701" ht="15.75" hidden="1" customHeight="1">
      <c r="A1701" s="9">
        <v>7270132.0</v>
      </c>
      <c r="B1701" s="2" t="s">
        <v>7931</v>
      </c>
      <c r="C1701" s="2" t="s">
        <v>7932</v>
      </c>
      <c r="D1701" s="2" t="s">
        <v>7933</v>
      </c>
      <c r="E1701" s="10" t="s">
        <v>7934</v>
      </c>
      <c r="F1701" s="2" t="s">
        <v>303</v>
      </c>
      <c r="G1701" s="2"/>
      <c r="H1701" s="2"/>
      <c r="I1701" s="2" t="s">
        <v>7932</v>
      </c>
    </row>
    <row r="1702" ht="15.75" hidden="1" customHeight="1">
      <c r="A1702" s="9">
        <v>7270133.0</v>
      </c>
      <c r="B1702" s="2" t="s">
        <v>7935</v>
      </c>
      <c r="C1702" s="2" t="s">
        <v>7936</v>
      </c>
      <c r="D1702" s="2" t="s">
        <v>2787</v>
      </c>
      <c r="E1702" s="10" t="s">
        <v>2798</v>
      </c>
      <c r="F1702" s="2" t="s">
        <v>303</v>
      </c>
      <c r="G1702" s="2"/>
      <c r="H1702" s="2"/>
      <c r="I1702" s="2" t="s">
        <v>7936</v>
      </c>
    </row>
    <row r="1703" ht="15.75" hidden="1" customHeight="1">
      <c r="A1703" s="9">
        <v>7270134.0</v>
      </c>
      <c r="B1703" s="2" t="s">
        <v>7937</v>
      </c>
      <c r="C1703" s="2" t="s">
        <v>7938</v>
      </c>
      <c r="D1703" s="2" t="s">
        <v>7939</v>
      </c>
      <c r="E1703" s="10" t="s">
        <v>2998</v>
      </c>
      <c r="F1703" s="2" t="s">
        <v>303</v>
      </c>
      <c r="G1703" s="2"/>
      <c r="H1703" s="2"/>
      <c r="I1703" s="2" t="s">
        <v>7938</v>
      </c>
    </row>
    <row r="1704" ht="15.75" hidden="1" customHeight="1">
      <c r="A1704" s="9">
        <v>7270135.0</v>
      </c>
      <c r="B1704" s="2" t="s">
        <v>7941</v>
      </c>
      <c r="C1704" s="2" t="s">
        <v>7942</v>
      </c>
      <c r="D1704" s="2" t="s">
        <v>7943</v>
      </c>
      <c r="E1704" s="10" t="s">
        <v>7944</v>
      </c>
      <c r="F1704" s="2" t="s">
        <v>303</v>
      </c>
      <c r="G1704" s="2"/>
      <c r="H1704" s="2"/>
      <c r="I1704" s="2" t="s">
        <v>7942</v>
      </c>
    </row>
    <row r="1705" ht="15.75" hidden="1" customHeight="1">
      <c r="A1705" s="9">
        <v>7270136.0</v>
      </c>
      <c r="B1705" s="2" t="s">
        <v>7945</v>
      </c>
      <c r="C1705" s="2" t="s">
        <v>7946</v>
      </c>
      <c r="D1705" s="2" t="s">
        <v>7947</v>
      </c>
      <c r="E1705" s="10" t="s">
        <v>7948</v>
      </c>
      <c r="F1705" s="2" t="s">
        <v>303</v>
      </c>
      <c r="G1705" s="2"/>
      <c r="H1705" s="2"/>
      <c r="I1705" s="2" t="s">
        <v>7946</v>
      </c>
    </row>
    <row r="1706" ht="15.75" hidden="1" customHeight="1">
      <c r="A1706" s="9">
        <v>7270137.0</v>
      </c>
      <c r="B1706" s="2" t="s">
        <v>7949</v>
      </c>
      <c r="C1706" s="2" t="s">
        <v>7950</v>
      </c>
      <c r="D1706" s="2" t="s">
        <v>1665</v>
      </c>
      <c r="E1706" s="10" t="s">
        <v>1671</v>
      </c>
      <c r="F1706" s="2" t="s">
        <v>303</v>
      </c>
      <c r="G1706" s="2"/>
      <c r="H1706" s="2"/>
      <c r="I1706" s="2" t="s">
        <v>7950</v>
      </c>
    </row>
    <row r="1707" ht="15.75" hidden="1" customHeight="1">
      <c r="A1707" s="9">
        <v>7270138.0</v>
      </c>
      <c r="B1707" s="2" t="s">
        <v>7952</v>
      </c>
      <c r="C1707" s="2" t="s">
        <v>7953</v>
      </c>
      <c r="D1707" s="2" t="s">
        <v>7954</v>
      </c>
      <c r="E1707" s="10" t="s">
        <v>7955</v>
      </c>
      <c r="F1707" s="2" t="s">
        <v>303</v>
      </c>
      <c r="G1707" s="2"/>
      <c r="H1707" s="2"/>
      <c r="I1707" s="2" t="s">
        <v>7953</v>
      </c>
    </row>
    <row r="1708" ht="15.75" hidden="1" customHeight="1">
      <c r="A1708" s="9">
        <v>7270139.0</v>
      </c>
      <c r="B1708" s="2" t="s">
        <v>5208</v>
      </c>
      <c r="C1708" s="2" t="s">
        <v>7957</v>
      </c>
      <c r="D1708" s="2" t="s">
        <v>5207</v>
      </c>
      <c r="E1708" s="10" t="s">
        <v>5211</v>
      </c>
      <c r="F1708" s="2" t="s">
        <v>303</v>
      </c>
      <c r="G1708" s="2"/>
      <c r="H1708" s="2"/>
      <c r="I1708" s="2" t="s">
        <v>7957</v>
      </c>
    </row>
    <row r="1709" ht="15.75" hidden="1" customHeight="1">
      <c r="A1709" s="9">
        <v>7270140.0</v>
      </c>
      <c r="B1709" s="2" t="s">
        <v>7958</v>
      </c>
      <c r="C1709" s="2" t="s">
        <v>7959</v>
      </c>
      <c r="D1709" s="2" t="s">
        <v>7960</v>
      </c>
      <c r="E1709" s="10" t="s">
        <v>7961</v>
      </c>
      <c r="F1709" s="2" t="s">
        <v>303</v>
      </c>
      <c r="G1709" s="2"/>
      <c r="H1709" s="2"/>
      <c r="I1709" s="2" t="s">
        <v>7959</v>
      </c>
    </row>
    <row r="1710" ht="15.75" hidden="1" customHeight="1">
      <c r="A1710" s="9">
        <v>7270141.0</v>
      </c>
      <c r="B1710" s="2" t="s">
        <v>7962</v>
      </c>
      <c r="C1710" s="2" t="s">
        <v>7963</v>
      </c>
      <c r="D1710" s="2" t="s">
        <v>4873</v>
      </c>
      <c r="E1710" s="10" t="s">
        <v>4878</v>
      </c>
      <c r="F1710" s="2" t="s">
        <v>559</v>
      </c>
      <c r="G1710" s="2"/>
      <c r="H1710" s="2"/>
      <c r="I1710" s="2" t="s">
        <v>7963</v>
      </c>
    </row>
    <row r="1711" ht="15.75" hidden="1" customHeight="1">
      <c r="A1711" s="9">
        <v>7270142.0</v>
      </c>
      <c r="B1711" s="2" t="s">
        <v>7964</v>
      </c>
      <c r="C1711" s="2" t="s">
        <v>7965</v>
      </c>
      <c r="D1711" s="2" t="s">
        <v>7966</v>
      </c>
      <c r="E1711" s="10" t="s">
        <v>7967</v>
      </c>
      <c r="F1711" s="2" t="s">
        <v>559</v>
      </c>
      <c r="G1711" s="2"/>
      <c r="H1711" s="2"/>
      <c r="I1711" s="2" t="s">
        <v>7965</v>
      </c>
    </row>
    <row r="1712" ht="15.75" hidden="1" customHeight="1">
      <c r="A1712" s="9">
        <v>7270143.0</v>
      </c>
      <c r="B1712" s="2" t="s">
        <v>7969</v>
      </c>
      <c r="C1712" s="2" t="s">
        <v>7970</v>
      </c>
      <c r="D1712" s="2" t="s">
        <v>7971</v>
      </c>
      <c r="E1712" s="10" t="s">
        <v>7972</v>
      </c>
      <c r="F1712" s="2" t="s">
        <v>559</v>
      </c>
      <c r="G1712" s="2"/>
      <c r="H1712" s="2"/>
      <c r="I1712" s="2" t="s">
        <v>7970</v>
      </c>
    </row>
    <row r="1713" ht="15.75" hidden="1" customHeight="1">
      <c r="A1713" s="9">
        <v>7270144.0</v>
      </c>
      <c r="B1713" s="2" t="s">
        <v>7973</v>
      </c>
      <c r="C1713" s="2" t="s">
        <v>7974</v>
      </c>
      <c r="D1713" s="2" t="s">
        <v>7975</v>
      </c>
      <c r="E1713" s="10" t="s">
        <v>7976</v>
      </c>
      <c r="F1713" s="2" t="s">
        <v>559</v>
      </c>
      <c r="G1713" s="2"/>
      <c r="H1713" s="2"/>
      <c r="I1713" s="2" t="s">
        <v>7974</v>
      </c>
    </row>
    <row r="1714" ht="15.75" hidden="1" customHeight="1">
      <c r="A1714" s="9">
        <v>7270145.0</v>
      </c>
      <c r="B1714" s="2" t="s">
        <v>7977</v>
      </c>
      <c r="C1714" s="2" t="s">
        <v>7978</v>
      </c>
      <c r="D1714" s="2" t="s">
        <v>7980</v>
      </c>
      <c r="E1714" s="10" t="s">
        <v>7981</v>
      </c>
      <c r="F1714" s="2" t="s">
        <v>559</v>
      </c>
      <c r="G1714" s="2"/>
      <c r="H1714" s="2"/>
      <c r="I1714" s="2" t="s">
        <v>7978</v>
      </c>
    </row>
    <row r="1715" ht="15.75" hidden="1" customHeight="1">
      <c r="A1715" s="9">
        <v>7270146.0</v>
      </c>
      <c r="B1715" s="2" t="s">
        <v>7982</v>
      </c>
      <c r="C1715" s="2" t="s">
        <v>7983</v>
      </c>
      <c r="D1715" s="2" t="s">
        <v>7985</v>
      </c>
      <c r="E1715" s="10" t="s">
        <v>7986</v>
      </c>
      <c r="F1715" s="2" t="s">
        <v>559</v>
      </c>
      <c r="G1715" s="2"/>
      <c r="H1715" s="2"/>
      <c r="I1715" s="2" t="s">
        <v>7983</v>
      </c>
    </row>
    <row r="1716" ht="15.75" hidden="1" customHeight="1">
      <c r="A1716" s="9">
        <v>7270147.0</v>
      </c>
      <c r="B1716" s="2" t="s">
        <v>7987</v>
      </c>
      <c r="C1716" s="2" t="s">
        <v>7988</v>
      </c>
      <c r="D1716" s="2" t="s">
        <v>7989</v>
      </c>
      <c r="E1716" s="10" t="s">
        <v>7990</v>
      </c>
      <c r="F1716" s="2" t="s">
        <v>559</v>
      </c>
      <c r="G1716" s="2"/>
      <c r="H1716" s="2"/>
      <c r="I1716" s="2" t="s">
        <v>7988</v>
      </c>
    </row>
    <row r="1717" ht="15.75" hidden="1" customHeight="1">
      <c r="A1717" s="9">
        <v>7270148.0</v>
      </c>
      <c r="B1717" s="2" t="s">
        <v>7991</v>
      </c>
      <c r="C1717" s="2" t="s">
        <v>7993</v>
      </c>
      <c r="D1717" s="2" t="s">
        <v>7994</v>
      </c>
      <c r="E1717" s="10" t="s">
        <v>7995</v>
      </c>
      <c r="F1717" s="2" t="s">
        <v>559</v>
      </c>
      <c r="G1717" s="2"/>
      <c r="H1717" s="2"/>
      <c r="I1717" s="2" t="s">
        <v>7993</v>
      </c>
    </row>
    <row r="1718" ht="15.75" hidden="1" customHeight="1">
      <c r="A1718" s="9">
        <v>7270149.0</v>
      </c>
      <c r="B1718" s="2" t="s">
        <v>7998</v>
      </c>
      <c r="C1718" s="2" t="s">
        <v>7999</v>
      </c>
      <c r="D1718" s="2" t="s">
        <v>8000</v>
      </c>
      <c r="E1718" s="10" t="s">
        <v>8001</v>
      </c>
      <c r="F1718" s="2" t="s">
        <v>559</v>
      </c>
      <c r="G1718" s="2"/>
      <c r="H1718" s="2"/>
      <c r="I1718" s="2" t="s">
        <v>7999</v>
      </c>
    </row>
    <row r="1719" ht="15.75" hidden="1" customHeight="1">
      <c r="A1719" s="9">
        <v>7270150.0</v>
      </c>
      <c r="B1719" s="2" t="s">
        <v>8002</v>
      </c>
      <c r="C1719" s="2" t="s">
        <v>8003</v>
      </c>
      <c r="D1719" s="2" t="s">
        <v>8004</v>
      </c>
      <c r="E1719" s="10" t="s">
        <v>8005</v>
      </c>
      <c r="F1719" s="2" t="s">
        <v>559</v>
      </c>
      <c r="G1719" s="2"/>
      <c r="H1719" s="2"/>
      <c r="I1719" s="2" t="s">
        <v>8003</v>
      </c>
    </row>
    <row r="1720" ht="15.75" hidden="1" customHeight="1">
      <c r="A1720" s="9">
        <v>7270151.0</v>
      </c>
      <c r="B1720" s="2" t="s">
        <v>8006</v>
      </c>
      <c r="C1720" s="2" t="s">
        <v>8007</v>
      </c>
      <c r="D1720" s="2" t="s">
        <v>8008</v>
      </c>
      <c r="E1720" s="10" t="s">
        <v>8009</v>
      </c>
      <c r="F1720" s="2" t="s">
        <v>559</v>
      </c>
      <c r="G1720" s="2"/>
      <c r="H1720" s="2"/>
      <c r="I1720" s="2" t="s">
        <v>8007</v>
      </c>
    </row>
    <row r="1721" ht="15.75" hidden="1" customHeight="1">
      <c r="A1721" s="9">
        <v>7270152.0</v>
      </c>
      <c r="B1721" s="2" t="s">
        <v>8011</v>
      </c>
      <c r="C1721" s="2" t="s">
        <v>8012</v>
      </c>
      <c r="D1721" s="2" t="s">
        <v>8013</v>
      </c>
      <c r="E1721" s="10" t="s">
        <v>8014</v>
      </c>
      <c r="F1721" s="2" t="s">
        <v>559</v>
      </c>
      <c r="G1721" s="2"/>
      <c r="H1721" s="2"/>
      <c r="I1721" s="2" t="s">
        <v>8012</v>
      </c>
    </row>
    <row r="1722" ht="15.75" hidden="1" customHeight="1">
      <c r="A1722" s="9">
        <v>7270153.0</v>
      </c>
      <c r="B1722" s="2" t="s">
        <v>8016</v>
      </c>
      <c r="C1722" s="2" t="s">
        <v>8017</v>
      </c>
      <c r="D1722" s="2" t="s">
        <v>8018</v>
      </c>
      <c r="E1722" s="10" t="s">
        <v>8019</v>
      </c>
      <c r="F1722" s="2" t="s">
        <v>559</v>
      </c>
      <c r="G1722" s="2"/>
      <c r="H1722" s="2"/>
      <c r="I1722" s="2" t="s">
        <v>8017</v>
      </c>
    </row>
    <row r="1723" ht="15.75" hidden="1" customHeight="1">
      <c r="A1723" s="9">
        <v>7270154.0</v>
      </c>
      <c r="B1723" s="2" t="s">
        <v>8020</v>
      </c>
      <c r="C1723" s="2" t="s">
        <v>8021</v>
      </c>
      <c r="D1723" s="2" t="s">
        <v>8022</v>
      </c>
      <c r="E1723" s="10" t="s">
        <v>8023</v>
      </c>
      <c r="F1723" s="2" t="s">
        <v>559</v>
      </c>
      <c r="G1723" s="2"/>
      <c r="H1723" s="2"/>
      <c r="I1723" s="2" t="s">
        <v>8021</v>
      </c>
    </row>
    <row r="1724" ht="15.75" hidden="1" customHeight="1">
      <c r="A1724" s="9">
        <v>7270155.0</v>
      </c>
      <c r="B1724" s="2" t="s">
        <v>8024</v>
      </c>
      <c r="C1724" s="2" t="s">
        <v>8025</v>
      </c>
      <c r="D1724" s="2" t="s">
        <v>8026</v>
      </c>
      <c r="E1724" s="10" t="s">
        <v>8027</v>
      </c>
      <c r="F1724" s="2" t="s">
        <v>559</v>
      </c>
      <c r="G1724" s="2"/>
      <c r="H1724" s="2"/>
      <c r="I1724" s="2" t="s">
        <v>8025</v>
      </c>
    </row>
    <row r="1725" ht="15.75" hidden="1" customHeight="1">
      <c r="A1725" s="9">
        <v>7270156.0</v>
      </c>
      <c r="B1725" s="2" t="s">
        <v>8028</v>
      </c>
      <c r="C1725" s="2" t="s">
        <v>8029</v>
      </c>
      <c r="D1725" s="2" t="s">
        <v>5005</v>
      </c>
      <c r="E1725" s="10" t="s">
        <v>5012</v>
      </c>
      <c r="F1725" s="2" t="s">
        <v>559</v>
      </c>
      <c r="G1725" s="2"/>
      <c r="H1725" s="2"/>
      <c r="I1725" s="2" t="s">
        <v>8029</v>
      </c>
    </row>
    <row r="1726" ht="15.75" hidden="1" customHeight="1">
      <c r="A1726" s="9">
        <v>7270157.0</v>
      </c>
      <c r="B1726" s="2" t="s">
        <v>8030</v>
      </c>
      <c r="C1726" s="2" t="s">
        <v>8031</v>
      </c>
      <c r="D1726" s="2" t="s">
        <v>8032</v>
      </c>
      <c r="E1726" s="10" t="s">
        <v>8033</v>
      </c>
      <c r="F1726" s="2" t="s">
        <v>559</v>
      </c>
      <c r="G1726" s="2"/>
      <c r="H1726" s="2"/>
      <c r="I1726" s="2" t="s">
        <v>8031</v>
      </c>
    </row>
    <row r="1727" ht="15.75" hidden="1" customHeight="1">
      <c r="A1727" s="9">
        <v>7270158.0</v>
      </c>
      <c r="B1727" s="2" t="s">
        <v>8035</v>
      </c>
      <c r="C1727" s="2" t="s">
        <v>8036</v>
      </c>
      <c r="D1727" s="2" t="s">
        <v>8037</v>
      </c>
      <c r="E1727" s="10" t="s">
        <v>8038</v>
      </c>
      <c r="F1727" s="2" t="s">
        <v>559</v>
      </c>
      <c r="G1727" s="2"/>
      <c r="H1727" s="2"/>
      <c r="I1727" s="2" t="s">
        <v>8036</v>
      </c>
    </row>
    <row r="1728" ht="15.75" hidden="1" customHeight="1">
      <c r="A1728" s="9">
        <v>7270159.0</v>
      </c>
      <c r="B1728" s="2" t="s">
        <v>8039</v>
      </c>
      <c r="C1728" s="2" t="s">
        <v>8040</v>
      </c>
      <c r="D1728" s="2" t="s">
        <v>8041</v>
      </c>
      <c r="E1728" s="10" t="s">
        <v>8042</v>
      </c>
      <c r="F1728" s="2" t="s">
        <v>559</v>
      </c>
      <c r="G1728" s="2"/>
      <c r="H1728" s="2"/>
      <c r="I1728" s="2" t="s">
        <v>8040</v>
      </c>
    </row>
    <row r="1729" ht="15.75" hidden="1" customHeight="1">
      <c r="A1729" s="9">
        <v>7270160.0</v>
      </c>
      <c r="B1729" s="2" t="s">
        <v>8044</v>
      </c>
      <c r="C1729" s="2" t="s">
        <v>8046</v>
      </c>
      <c r="D1729" s="2" t="s">
        <v>4484</v>
      </c>
      <c r="E1729" s="10" t="s">
        <v>4492</v>
      </c>
      <c r="F1729" s="2" t="s">
        <v>559</v>
      </c>
      <c r="G1729" s="2"/>
      <c r="H1729" s="2"/>
      <c r="I1729" s="2" t="s">
        <v>8046</v>
      </c>
    </row>
    <row r="1730" ht="15.75" hidden="1" customHeight="1">
      <c r="A1730" s="9">
        <v>7270161.0</v>
      </c>
      <c r="B1730" s="2" t="s">
        <v>8048</v>
      </c>
      <c r="C1730" s="2" t="s">
        <v>8049</v>
      </c>
      <c r="D1730" s="2" t="s">
        <v>7239</v>
      </c>
      <c r="E1730" s="10" t="s">
        <v>7244</v>
      </c>
      <c r="F1730" s="2" t="s">
        <v>559</v>
      </c>
      <c r="G1730" s="2"/>
      <c r="H1730" s="2"/>
      <c r="I1730" s="2" t="s">
        <v>8049</v>
      </c>
    </row>
    <row r="1731" ht="15.75" hidden="1" customHeight="1">
      <c r="A1731" s="9">
        <v>7270162.0</v>
      </c>
      <c r="B1731" s="2" t="s">
        <v>8050</v>
      </c>
      <c r="C1731" s="2" t="s">
        <v>8051</v>
      </c>
      <c r="D1731" s="2" t="s">
        <v>3988</v>
      </c>
      <c r="E1731" s="10" t="s">
        <v>3994</v>
      </c>
      <c r="F1731" s="2" t="s">
        <v>559</v>
      </c>
      <c r="G1731" s="2"/>
      <c r="H1731" s="2"/>
      <c r="I1731" s="2" t="s">
        <v>8051</v>
      </c>
    </row>
    <row r="1732" ht="15.75" hidden="1" customHeight="1">
      <c r="A1732" s="9">
        <v>7270163.0</v>
      </c>
      <c r="B1732" s="2" t="s">
        <v>8052</v>
      </c>
      <c r="C1732" s="2" t="s">
        <v>8053</v>
      </c>
      <c r="D1732" s="2" t="s">
        <v>8054</v>
      </c>
      <c r="E1732" s="10" t="s">
        <v>8055</v>
      </c>
      <c r="F1732" s="2" t="s">
        <v>559</v>
      </c>
      <c r="G1732" s="2"/>
      <c r="H1732" s="2"/>
      <c r="I1732" s="2" t="s">
        <v>8053</v>
      </c>
    </row>
    <row r="1733" ht="15.75" hidden="1" customHeight="1">
      <c r="A1733" s="9">
        <v>7270164.0</v>
      </c>
      <c r="B1733" s="2" t="s">
        <v>8056</v>
      </c>
      <c r="C1733" s="2" t="s">
        <v>8058</v>
      </c>
      <c r="D1733" s="2" t="s">
        <v>8059</v>
      </c>
      <c r="E1733" s="10" t="s">
        <v>8060</v>
      </c>
      <c r="F1733" s="2" t="s">
        <v>559</v>
      </c>
      <c r="G1733" s="2"/>
      <c r="H1733" s="2"/>
      <c r="I1733" s="2" t="s">
        <v>8058</v>
      </c>
    </row>
    <row r="1734" ht="15.75" hidden="1" customHeight="1">
      <c r="A1734" s="9">
        <v>7270165.0</v>
      </c>
      <c r="B1734" s="2" t="s">
        <v>8061</v>
      </c>
      <c r="C1734" s="2" t="s">
        <v>8062</v>
      </c>
      <c r="D1734" s="2" t="s">
        <v>8063</v>
      </c>
      <c r="E1734" s="10" t="s">
        <v>8065</v>
      </c>
      <c r="F1734" s="2" t="s">
        <v>559</v>
      </c>
      <c r="G1734" s="2"/>
      <c r="H1734" s="2"/>
      <c r="I1734" s="2" t="s">
        <v>8062</v>
      </c>
    </row>
    <row r="1735" ht="15.75" hidden="1" customHeight="1">
      <c r="A1735" s="9">
        <v>7270166.0</v>
      </c>
      <c r="B1735" s="2" t="s">
        <v>4080</v>
      </c>
      <c r="C1735" s="2" t="s">
        <v>8066</v>
      </c>
      <c r="D1735" s="2" t="s">
        <v>8067</v>
      </c>
      <c r="E1735" s="10" t="s">
        <v>8068</v>
      </c>
      <c r="F1735" s="2" t="s">
        <v>559</v>
      </c>
      <c r="G1735" s="2"/>
      <c r="H1735" s="2"/>
      <c r="I1735" s="2" t="s">
        <v>8066</v>
      </c>
    </row>
    <row r="1736" ht="15.75" hidden="1" customHeight="1">
      <c r="A1736" s="9">
        <v>7270167.0</v>
      </c>
      <c r="B1736" s="2" t="s">
        <v>8069</v>
      </c>
      <c r="C1736" s="2" t="s">
        <v>8070</v>
      </c>
      <c r="D1736" s="2" t="s">
        <v>8071</v>
      </c>
      <c r="E1736" s="10" t="s">
        <v>8072</v>
      </c>
      <c r="F1736" s="2" t="s">
        <v>559</v>
      </c>
      <c r="G1736" s="2"/>
      <c r="H1736" s="2"/>
      <c r="I1736" s="2" t="s">
        <v>8070</v>
      </c>
    </row>
    <row r="1737" ht="15.75" hidden="1" customHeight="1">
      <c r="A1737" s="9">
        <v>7270168.0</v>
      </c>
      <c r="B1737" s="2" t="s">
        <v>8073</v>
      </c>
      <c r="C1737" s="2" t="s">
        <v>8074</v>
      </c>
      <c r="D1737" s="2" t="s">
        <v>8075</v>
      </c>
      <c r="E1737" s="10" t="s">
        <v>8076</v>
      </c>
      <c r="F1737" s="2" t="s">
        <v>4200</v>
      </c>
      <c r="G1737" s="2"/>
      <c r="H1737" s="2"/>
      <c r="I1737" s="2" t="s">
        <v>8074</v>
      </c>
    </row>
    <row r="1738" ht="15.75" hidden="1" customHeight="1">
      <c r="A1738" s="9">
        <v>7270169.0</v>
      </c>
      <c r="B1738" s="2" t="s">
        <v>8077</v>
      </c>
      <c r="C1738" s="2" t="s">
        <v>8078</v>
      </c>
      <c r="D1738" s="2" t="s">
        <v>8079</v>
      </c>
      <c r="E1738" s="10" t="s">
        <v>8080</v>
      </c>
      <c r="F1738" s="2" t="s">
        <v>4200</v>
      </c>
      <c r="G1738" s="2"/>
      <c r="H1738" s="2"/>
      <c r="I1738" s="2" t="s">
        <v>8078</v>
      </c>
    </row>
    <row r="1739" ht="15.75" hidden="1" customHeight="1">
      <c r="A1739" s="9">
        <v>7270170.0</v>
      </c>
      <c r="B1739" s="2" t="s">
        <v>8082</v>
      </c>
      <c r="C1739" s="2" t="s">
        <v>8084</v>
      </c>
      <c r="D1739" s="2" t="s">
        <v>8085</v>
      </c>
      <c r="E1739" s="10" t="s">
        <v>8086</v>
      </c>
      <c r="F1739" s="2" t="s">
        <v>4200</v>
      </c>
      <c r="G1739" s="2"/>
      <c r="H1739" s="2"/>
      <c r="I1739" s="2" t="s">
        <v>8084</v>
      </c>
    </row>
    <row r="1740" ht="15.75" hidden="1" customHeight="1">
      <c r="A1740" s="9">
        <v>7270171.0</v>
      </c>
      <c r="B1740" s="2" t="s">
        <v>8087</v>
      </c>
      <c r="C1740" s="2" t="s">
        <v>8088</v>
      </c>
      <c r="D1740" s="2" t="s">
        <v>8089</v>
      </c>
      <c r="E1740" s="10" t="s">
        <v>8090</v>
      </c>
      <c r="F1740" s="2" t="s">
        <v>4200</v>
      </c>
      <c r="G1740" s="2"/>
      <c r="H1740" s="2"/>
      <c r="I1740" s="2" t="s">
        <v>8088</v>
      </c>
    </row>
    <row r="1741" ht="15.75" hidden="1" customHeight="1">
      <c r="A1741" s="9">
        <v>7270172.0</v>
      </c>
      <c r="B1741" s="2" t="s">
        <v>8091</v>
      </c>
      <c r="C1741" s="2" t="s">
        <v>8093</v>
      </c>
      <c r="D1741" s="2" t="s">
        <v>8094</v>
      </c>
      <c r="E1741" s="10" t="s">
        <v>8095</v>
      </c>
      <c r="F1741" s="2" t="s">
        <v>4200</v>
      </c>
      <c r="G1741" s="2"/>
      <c r="H1741" s="2"/>
      <c r="I1741" s="2" t="s">
        <v>8093</v>
      </c>
    </row>
    <row r="1742" ht="15.75" hidden="1" customHeight="1">
      <c r="A1742" s="9">
        <v>7270173.0</v>
      </c>
      <c r="B1742" s="2" t="s">
        <v>8096</v>
      </c>
      <c r="C1742" s="2" t="s">
        <v>8097</v>
      </c>
      <c r="D1742" s="2" t="s">
        <v>8098</v>
      </c>
      <c r="E1742" s="10" t="s">
        <v>8099</v>
      </c>
      <c r="F1742" s="2" t="s">
        <v>4200</v>
      </c>
      <c r="G1742" s="2"/>
      <c r="H1742" s="2"/>
      <c r="I1742" s="2" t="s">
        <v>8097</v>
      </c>
    </row>
    <row r="1743" ht="15.75" hidden="1" customHeight="1">
      <c r="A1743" s="9">
        <v>7270174.0</v>
      </c>
      <c r="B1743" s="2" t="s">
        <v>8100</v>
      </c>
      <c r="C1743" s="2" t="s">
        <v>8101</v>
      </c>
      <c r="D1743" s="2" t="s">
        <v>8102</v>
      </c>
      <c r="E1743" s="10" t="s">
        <v>8103</v>
      </c>
      <c r="F1743" s="2" t="s">
        <v>4200</v>
      </c>
      <c r="G1743" s="2"/>
      <c r="H1743" s="2"/>
      <c r="I1743" s="2" t="s">
        <v>8101</v>
      </c>
    </row>
    <row r="1744" ht="15.75" hidden="1" customHeight="1">
      <c r="A1744" s="9">
        <v>7270175.0</v>
      </c>
      <c r="B1744" s="2" t="s">
        <v>8104</v>
      </c>
      <c r="C1744" s="2" t="s">
        <v>8105</v>
      </c>
      <c r="D1744" s="2" t="s">
        <v>8106</v>
      </c>
      <c r="E1744" s="10" t="s">
        <v>8107</v>
      </c>
      <c r="F1744" s="2" t="s">
        <v>4200</v>
      </c>
      <c r="G1744" s="2"/>
      <c r="H1744" s="2"/>
      <c r="I1744" s="2" t="s">
        <v>8105</v>
      </c>
    </row>
    <row r="1745" ht="15.75" hidden="1" customHeight="1">
      <c r="A1745" s="9">
        <v>7270176.0</v>
      </c>
      <c r="B1745" s="2" t="s">
        <v>8108</v>
      </c>
      <c r="C1745" s="2" t="s">
        <v>8109</v>
      </c>
      <c r="D1745" s="2" t="s">
        <v>4190</v>
      </c>
      <c r="E1745" s="10" t="s">
        <v>4196</v>
      </c>
      <c r="F1745" s="2" t="s">
        <v>4200</v>
      </c>
      <c r="G1745" s="2"/>
      <c r="H1745" s="2"/>
      <c r="I1745" s="2" t="s">
        <v>8109</v>
      </c>
    </row>
    <row r="1746" ht="15.75" hidden="1" customHeight="1">
      <c r="A1746" s="9">
        <v>7270177.0</v>
      </c>
      <c r="B1746" s="2" t="s">
        <v>8111</v>
      </c>
      <c r="C1746" s="2" t="s">
        <v>8112</v>
      </c>
      <c r="D1746" s="2" t="s">
        <v>5516</v>
      </c>
      <c r="E1746" s="10" t="s">
        <v>5523</v>
      </c>
      <c r="F1746" s="2" t="s">
        <v>4200</v>
      </c>
      <c r="G1746" s="2"/>
      <c r="H1746" s="2"/>
      <c r="I1746" s="2" t="s">
        <v>8112</v>
      </c>
    </row>
    <row r="1747" ht="15.75" hidden="1" customHeight="1">
      <c r="A1747" s="9">
        <v>7270178.0</v>
      </c>
      <c r="B1747" s="2" t="s">
        <v>8113</v>
      </c>
      <c r="C1747" s="2" t="s">
        <v>8114</v>
      </c>
      <c r="D1747" s="2" t="s">
        <v>8115</v>
      </c>
      <c r="E1747" s="10" t="s">
        <v>8116</v>
      </c>
      <c r="F1747" s="2" t="s">
        <v>4200</v>
      </c>
      <c r="G1747" s="2"/>
      <c r="H1747" s="2"/>
      <c r="I1747" s="2" t="s">
        <v>8114</v>
      </c>
    </row>
    <row r="1748" ht="15.75" hidden="1" customHeight="1">
      <c r="A1748" s="9">
        <v>7270179.0</v>
      </c>
      <c r="B1748" s="2" t="s">
        <v>8117</v>
      </c>
      <c r="C1748" s="2" t="s">
        <v>8118</v>
      </c>
      <c r="D1748" s="2" t="s">
        <v>8119</v>
      </c>
      <c r="E1748" s="10" t="s">
        <v>8120</v>
      </c>
      <c r="F1748" s="2" t="s">
        <v>4200</v>
      </c>
      <c r="G1748" s="2"/>
      <c r="H1748" s="2"/>
      <c r="I1748" s="2" t="s">
        <v>8118</v>
      </c>
    </row>
    <row r="1749" ht="15.75" hidden="1" customHeight="1">
      <c r="A1749" s="9">
        <v>7270180.0</v>
      </c>
      <c r="B1749" s="2" t="s">
        <v>8122</v>
      </c>
      <c r="C1749" s="2" t="s">
        <v>8123</v>
      </c>
      <c r="D1749" s="2" t="s">
        <v>8124</v>
      </c>
      <c r="E1749" s="10" t="s">
        <v>8125</v>
      </c>
      <c r="F1749" s="2" t="s">
        <v>4200</v>
      </c>
      <c r="G1749" s="2"/>
      <c r="H1749" s="2"/>
      <c r="I1749" s="2" t="s">
        <v>8123</v>
      </c>
    </row>
    <row r="1750" ht="15.75" hidden="1" customHeight="1">
      <c r="A1750" s="9">
        <v>7270181.0</v>
      </c>
      <c r="B1750" s="2" t="s">
        <v>8126</v>
      </c>
      <c r="C1750" s="2" t="s">
        <v>8127</v>
      </c>
      <c r="D1750" s="2" t="s">
        <v>8128</v>
      </c>
      <c r="E1750" s="10" t="s">
        <v>8129</v>
      </c>
      <c r="F1750" s="2" t="s">
        <v>4200</v>
      </c>
      <c r="G1750" s="2"/>
      <c r="H1750" s="2"/>
      <c r="I1750" s="2" t="s">
        <v>8127</v>
      </c>
    </row>
    <row r="1751" ht="15.75" hidden="1" customHeight="1">
      <c r="A1751" s="9">
        <v>7270182.0</v>
      </c>
      <c r="B1751" s="2" t="s">
        <v>8130</v>
      </c>
      <c r="C1751" s="2" t="s">
        <v>8131</v>
      </c>
      <c r="D1751" s="2" t="s">
        <v>8132</v>
      </c>
      <c r="E1751" s="10" t="s">
        <v>8133</v>
      </c>
      <c r="F1751" s="2" t="s">
        <v>4200</v>
      </c>
      <c r="G1751" s="2"/>
      <c r="H1751" s="2"/>
      <c r="I1751" s="2" t="s">
        <v>8131</v>
      </c>
    </row>
    <row r="1752" ht="15.75" hidden="1" customHeight="1">
      <c r="A1752" s="9">
        <v>7270183.0</v>
      </c>
      <c r="B1752" s="2" t="s">
        <v>8134</v>
      </c>
      <c r="C1752" s="2" t="s">
        <v>8135</v>
      </c>
      <c r="D1752" s="2" t="s">
        <v>8137</v>
      </c>
      <c r="E1752" s="10" t="s">
        <v>8138</v>
      </c>
      <c r="F1752" s="2" t="s">
        <v>4200</v>
      </c>
      <c r="G1752" s="2"/>
      <c r="H1752" s="2"/>
      <c r="I1752" s="2" t="s">
        <v>8135</v>
      </c>
    </row>
    <row r="1753" ht="15.75" hidden="1" customHeight="1">
      <c r="A1753" s="9">
        <v>7270184.0</v>
      </c>
      <c r="B1753" s="2" t="s">
        <v>8139</v>
      </c>
      <c r="C1753" s="2" t="s">
        <v>8141</v>
      </c>
      <c r="D1753" s="2" t="s">
        <v>8142</v>
      </c>
      <c r="E1753" s="10" t="s">
        <v>8143</v>
      </c>
      <c r="F1753" s="2" t="s">
        <v>4200</v>
      </c>
      <c r="G1753" s="2"/>
      <c r="H1753" s="2"/>
      <c r="I1753" s="2" t="s">
        <v>8141</v>
      </c>
    </row>
    <row r="1754" ht="15.75" hidden="1" customHeight="1">
      <c r="A1754" s="9">
        <v>7270185.0</v>
      </c>
      <c r="B1754" s="2" t="s">
        <v>8144</v>
      </c>
      <c r="C1754" s="2" t="s">
        <v>8145</v>
      </c>
      <c r="D1754" s="2" t="s">
        <v>8146</v>
      </c>
      <c r="E1754" s="10" t="s">
        <v>8147</v>
      </c>
      <c r="F1754" s="2" t="s">
        <v>4200</v>
      </c>
      <c r="G1754" s="2"/>
      <c r="H1754" s="2"/>
      <c r="I1754" s="2" t="s">
        <v>8145</v>
      </c>
    </row>
    <row r="1755" ht="15.75" hidden="1" customHeight="1">
      <c r="A1755" s="9">
        <v>7270186.0</v>
      </c>
      <c r="B1755" s="2" t="s">
        <v>8148</v>
      </c>
      <c r="C1755" s="2" t="s">
        <v>8149</v>
      </c>
      <c r="D1755" s="2" t="s">
        <v>8150</v>
      </c>
      <c r="E1755" s="10" t="s">
        <v>8151</v>
      </c>
      <c r="F1755" s="2" t="s">
        <v>4200</v>
      </c>
      <c r="G1755" s="2"/>
      <c r="H1755" s="2"/>
      <c r="I1755" s="2" t="s">
        <v>8149</v>
      </c>
    </row>
    <row r="1756" ht="15.75" hidden="1" customHeight="1">
      <c r="A1756" s="9">
        <v>7270187.0</v>
      </c>
      <c r="B1756" s="2" t="s">
        <v>8152</v>
      </c>
      <c r="C1756" s="2" t="s">
        <v>8153</v>
      </c>
      <c r="D1756" s="2" t="s">
        <v>8154</v>
      </c>
      <c r="E1756" s="10" t="s">
        <v>8155</v>
      </c>
      <c r="F1756" s="2" t="s">
        <v>4200</v>
      </c>
      <c r="G1756" s="2"/>
      <c r="H1756" s="2"/>
      <c r="I1756" s="2" t="s">
        <v>8153</v>
      </c>
    </row>
    <row r="1757" ht="15.75" hidden="1" customHeight="1">
      <c r="A1757" s="9">
        <v>7270188.0</v>
      </c>
      <c r="B1757" s="2" t="s">
        <v>8157</v>
      </c>
      <c r="C1757" s="2" t="s">
        <v>8158</v>
      </c>
      <c r="D1757" s="2" t="s">
        <v>8159</v>
      </c>
      <c r="E1757" s="10" t="s">
        <v>8161</v>
      </c>
      <c r="F1757" s="2" t="s">
        <v>4200</v>
      </c>
      <c r="G1757" s="2"/>
      <c r="H1757" s="2"/>
      <c r="I1757" s="2" t="s">
        <v>8158</v>
      </c>
    </row>
    <row r="1758" ht="15.75" hidden="1" customHeight="1">
      <c r="A1758" s="9">
        <v>7270189.0</v>
      </c>
      <c r="B1758" s="2" t="s">
        <v>8162</v>
      </c>
      <c r="C1758" s="2" t="s">
        <v>8163</v>
      </c>
      <c r="D1758" s="2" t="s">
        <v>8164</v>
      </c>
      <c r="E1758" s="10" t="s">
        <v>8165</v>
      </c>
      <c r="F1758" s="2" t="s">
        <v>4200</v>
      </c>
      <c r="G1758" s="2"/>
      <c r="H1758" s="2"/>
      <c r="I1758" s="2" t="s">
        <v>8163</v>
      </c>
    </row>
    <row r="1759" ht="15.75" hidden="1" customHeight="1">
      <c r="A1759" s="9">
        <v>7270190.0</v>
      </c>
      <c r="B1759" s="2" t="s">
        <v>8166</v>
      </c>
      <c r="C1759" s="2" t="s">
        <v>8167</v>
      </c>
      <c r="D1759" s="2" t="s">
        <v>3566</v>
      </c>
      <c r="E1759" s="10" t="s">
        <v>3569</v>
      </c>
      <c r="F1759" s="2" t="s">
        <v>8169</v>
      </c>
      <c r="G1759" s="2"/>
      <c r="H1759" s="2"/>
      <c r="I1759" s="2" t="s">
        <v>8167</v>
      </c>
    </row>
    <row r="1760" ht="15.75" hidden="1" customHeight="1">
      <c r="A1760" s="9">
        <v>7270191.0</v>
      </c>
      <c r="B1760" s="2" t="s">
        <v>8170</v>
      </c>
      <c r="C1760" s="2" t="s">
        <v>8171</v>
      </c>
      <c r="D1760" s="2" t="s">
        <v>8172</v>
      </c>
      <c r="E1760" s="10" t="s">
        <v>8173</v>
      </c>
      <c r="F1760" s="2" t="s">
        <v>2522</v>
      </c>
      <c r="G1760" s="2"/>
      <c r="H1760" s="2"/>
      <c r="I1760" s="2" t="s">
        <v>8171</v>
      </c>
    </row>
    <row r="1761" ht="15.75" hidden="1" customHeight="1">
      <c r="A1761" s="9">
        <v>7270192.0</v>
      </c>
      <c r="B1761" s="2" t="s">
        <v>8175</v>
      </c>
      <c r="C1761" s="2" t="s">
        <v>8176</v>
      </c>
      <c r="D1761" s="2" t="s">
        <v>8177</v>
      </c>
      <c r="E1761" s="10" t="s">
        <v>8178</v>
      </c>
      <c r="F1761" s="2" t="s">
        <v>8169</v>
      </c>
      <c r="G1761" s="2"/>
      <c r="H1761" s="2"/>
      <c r="I1761" s="2" t="s">
        <v>8176</v>
      </c>
    </row>
    <row r="1762" ht="15.75" hidden="1" customHeight="1">
      <c r="A1762" s="9">
        <v>7270193.0</v>
      </c>
      <c r="B1762" s="2" t="s">
        <v>8179</v>
      </c>
      <c r="C1762" s="2" t="s">
        <v>8180</v>
      </c>
      <c r="D1762" s="2" t="s">
        <v>8181</v>
      </c>
      <c r="E1762" s="10" t="s">
        <v>8182</v>
      </c>
      <c r="F1762" s="2" t="s">
        <v>8169</v>
      </c>
      <c r="G1762" s="2"/>
      <c r="H1762" s="2"/>
      <c r="I1762" s="2" t="s">
        <v>8180</v>
      </c>
    </row>
    <row r="1763" ht="15.75" hidden="1" customHeight="1">
      <c r="A1763" s="9">
        <v>7270194.0</v>
      </c>
      <c r="B1763" s="2" t="s">
        <v>8185</v>
      </c>
      <c r="C1763" s="2" t="s">
        <v>8186</v>
      </c>
      <c r="D1763" s="2" t="s">
        <v>8187</v>
      </c>
      <c r="E1763" s="10" t="s">
        <v>8189</v>
      </c>
      <c r="F1763" s="2" t="s">
        <v>8169</v>
      </c>
      <c r="G1763" s="2"/>
      <c r="H1763" s="2"/>
      <c r="I1763" s="2" t="s">
        <v>8186</v>
      </c>
    </row>
    <row r="1764" ht="15.75" hidden="1" customHeight="1">
      <c r="A1764" s="9">
        <v>7270195.0</v>
      </c>
      <c r="B1764" s="2" t="s">
        <v>8190</v>
      </c>
      <c r="C1764" s="2" t="s">
        <v>8191</v>
      </c>
      <c r="D1764" s="2" t="s">
        <v>2509</v>
      </c>
      <c r="E1764" s="10" t="s">
        <v>2515</v>
      </c>
      <c r="F1764" s="2" t="s">
        <v>8169</v>
      </c>
      <c r="G1764" s="2"/>
      <c r="H1764" s="2"/>
      <c r="I1764" s="2" t="s">
        <v>8191</v>
      </c>
    </row>
    <row r="1765" ht="15.75" hidden="1" customHeight="1">
      <c r="A1765" s="9">
        <v>7270196.0</v>
      </c>
      <c r="B1765" s="2" t="s">
        <v>8192</v>
      </c>
      <c r="C1765" s="2" t="s">
        <v>8193</v>
      </c>
      <c r="D1765" s="2" t="s">
        <v>8194</v>
      </c>
      <c r="E1765" s="10" t="s">
        <v>8195</v>
      </c>
      <c r="F1765" s="2" t="s">
        <v>8169</v>
      </c>
      <c r="G1765" s="2"/>
      <c r="H1765" s="2"/>
      <c r="I1765" s="2" t="s">
        <v>8193</v>
      </c>
    </row>
    <row r="1766" ht="15.75" hidden="1" customHeight="1">
      <c r="A1766" s="9">
        <v>7270197.0</v>
      </c>
      <c r="B1766" s="2" t="s">
        <v>8197</v>
      </c>
      <c r="C1766" s="2" t="s">
        <v>8198</v>
      </c>
      <c r="D1766" s="2" t="s">
        <v>3555</v>
      </c>
      <c r="E1766" s="10" t="s">
        <v>3558</v>
      </c>
      <c r="F1766" s="2" t="s">
        <v>8169</v>
      </c>
      <c r="G1766" s="2"/>
      <c r="H1766" s="2"/>
      <c r="I1766" s="2" t="s">
        <v>8198</v>
      </c>
    </row>
    <row r="1767" ht="15.75" hidden="1" customHeight="1">
      <c r="A1767" s="9">
        <v>7270198.0</v>
      </c>
      <c r="B1767" s="2" t="s">
        <v>8200</v>
      </c>
      <c r="C1767" s="2" t="s">
        <v>8201</v>
      </c>
      <c r="D1767" s="2" t="s">
        <v>8202</v>
      </c>
      <c r="E1767" s="10" t="s">
        <v>8203</v>
      </c>
      <c r="F1767" s="2" t="s">
        <v>8169</v>
      </c>
      <c r="G1767" s="2"/>
      <c r="H1767" s="2"/>
      <c r="I1767" s="2" t="s">
        <v>8201</v>
      </c>
    </row>
    <row r="1768" ht="15.75" hidden="1" customHeight="1">
      <c r="A1768" s="9">
        <v>7270199.0</v>
      </c>
      <c r="B1768" s="2" t="s">
        <v>8204</v>
      </c>
      <c r="C1768" s="2" t="s">
        <v>8205</v>
      </c>
      <c r="D1768" s="2" t="s">
        <v>8206</v>
      </c>
      <c r="E1768" s="10" t="s">
        <v>8207</v>
      </c>
      <c r="F1768" s="2" t="s">
        <v>8169</v>
      </c>
      <c r="G1768" s="2"/>
      <c r="H1768" s="2"/>
      <c r="I1768" s="2" t="s">
        <v>8205</v>
      </c>
    </row>
    <row r="1769" ht="15.75" hidden="1" customHeight="1">
      <c r="A1769" s="9">
        <v>7270200.0</v>
      </c>
      <c r="B1769" s="2" t="s">
        <v>8208</v>
      </c>
      <c r="C1769" s="2" t="s">
        <v>8210</v>
      </c>
      <c r="D1769" s="2" t="s">
        <v>8211</v>
      </c>
      <c r="E1769" s="10" t="s">
        <v>8212</v>
      </c>
      <c r="F1769" s="2" t="s">
        <v>8169</v>
      </c>
      <c r="G1769" s="2"/>
      <c r="H1769" s="2"/>
      <c r="I1769" s="2" t="s">
        <v>8210</v>
      </c>
    </row>
    <row r="1770" ht="15.75" hidden="1" customHeight="1">
      <c r="A1770" s="9">
        <v>7270201.0</v>
      </c>
      <c r="B1770" s="2" t="s">
        <v>8214</v>
      </c>
      <c r="C1770" s="2" t="s">
        <v>8215</v>
      </c>
      <c r="D1770" s="2" t="s">
        <v>8216</v>
      </c>
      <c r="E1770" s="10" t="s">
        <v>8217</v>
      </c>
      <c r="F1770" s="2" t="s">
        <v>8218</v>
      </c>
      <c r="G1770" s="2"/>
      <c r="H1770" s="2"/>
      <c r="I1770" s="2" t="s">
        <v>8215</v>
      </c>
    </row>
    <row r="1771" ht="15.75" hidden="1" customHeight="1">
      <c r="A1771" s="9">
        <v>7270202.0</v>
      </c>
      <c r="B1771" s="2" t="s">
        <v>8219</v>
      </c>
      <c r="C1771" s="2" t="s">
        <v>8220</v>
      </c>
      <c r="D1771" s="2" t="s">
        <v>5186</v>
      </c>
      <c r="E1771" s="10" t="s">
        <v>5189</v>
      </c>
      <c r="F1771" s="2" t="s">
        <v>8218</v>
      </c>
      <c r="G1771" s="2"/>
      <c r="H1771" s="2"/>
      <c r="I1771" s="2" t="s">
        <v>8220</v>
      </c>
    </row>
    <row r="1772" ht="15.75" hidden="1" customHeight="1">
      <c r="A1772" s="9">
        <v>7270203.0</v>
      </c>
      <c r="B1772" s="2" t="s">
        <v>8221</v>
      </c>
      <c r="C1772" s="2" t="s">
        <v>8222</v>
      </c>
      <c r="D1772" s="2" t="s">
        <v>8223</v>
      </c>
      <c r="E1772" s="10" t="s">
        <v>8224</v>
      </c>
      <c r="F1772" s="2" t="s">
        <v>8218</v>
      </c>
      <c r="G1772" s="2"/>
      <c r="H1772" s="2"/>
      <c r="I1772" s="2" t="s">
        <v>8222</v>
      </c>
    </row>
    <row r="1773" ht="15.75" hidden="1" customHeight="1">
      <c r="A1773" s="9">
        <v>7270204.0</v>
      </c>
      <c r="B1773" s="2" t="s">
        <v>8225</v>
      </c>
      <c r="C1773" s="2" t="s">
        <v>8226</v>
      </c>
      <c r="D1773" s="2" t="s">
        <v>8228</v>
      </c>
      <c r="E1773" s="10" t="s">
        <v>8229</v>
      </c>
      <c r="F1773" s="2" t="s">
        <v>8218</v>
      </c>
      <c r="G1773" s="2"/>
      <c r="H1773" s="2"/>
      <c r="I1773" s="2" t="s">
        <v>8226</v>
      </c>
    </row>
    <row r="1774" ht="15.75" hidden="1" customHeight="1">
      <c r="A1774" s="9">
        <v>7270205.0</v>
      </c>
      <c r="B1774" s="2" t="s">
        <v>8230</v>
      </c>
      <c r="C1774" s="2" t="s">
        <v>8231</v>
      </c>
      <c r="D1774" s="2" t="s">
        <v>8233</v>
      </c>
      <c r="E1774" s="10" t="s">
        <v>8234</v>
      </c>
      <c r="F1774" s="2" t="s">
        <v>5193</v>
      </c>
      <c r="G1774" s="2"/>
      <c r="H1774" s="2"/>
      <c r="I1774" s="2" t="s">
        <v>8231</v>
      </c>
    </row>
    <row r="1775" ht="15.75" hidden="1" customHeight="1">
      <c r="A1775" s="9">
        <v>7270206.0</v>
      </c>
      <c r="B1775" s="2" t="s">
        <v>8235</v>
      </c>
      <c r="C1775" s="2" t="s">
        <v>8236</v>
      </c>
      <c r="D1775" s="2" t="s">
        <v>8237</v>
      </c>
      <c r="E1775" s="10" t="s">
        <v>8238</v>
      </c>
      <c r="F1775" s="2" t="s">
        <v>8218</v>
      </c>
      <c r="G1775" s="2"/>
      <c r="H1775" s="2"/>
      <c r="I1775" s="2" t="s">
        <v>8236</v>
      </c>
    </row>
    <row r="1776" ht="15.75" hidden="1" customHeight="1">
      <c r="A1776" s="9">
        <v>7270207.0</v>
      </c>
      <c r="B1776" s="2" t="s">
        <v>8239</v>
      </c>
      <c r="C1776" s="2" t="s">
        <v>8240</v>
      </c>
      <c r="D1776" s="2" t="s">
        <v>3326</v>
      </c>
      <c r="E1776" s="10" t="s">
        <v>3332</v>
      </c>
      <c r="F1776" s="2" t="s">
        <v>8218</v>
      </c>
      <c r="G1776" s="2"/>
      <c r="H1776" s="2"/>
      <c r="I1776" s="2" t="s">
        <v>8240</v>
      </c>
    </row>
    <row r="1777" ht="15.75" hidden="1" customHeight="1">
      <c r="A1777" s="9">
        <v>7270208.0</v>
      </c>
      <c r="B1777" s="2" t="s">
        <v>8242</v>
      </c>
      <c r="C1777" s="2" t="s">
        <v>8243</v>
      </c>
      <c r="D1777" s="2" t="s">
        <v>8244</v>
      </c>
      <c r="E1777" s="10" t="s">
        <v>7892</v>
      </c>
      <c r="F1777" s="2" t="s">
        <v>8218</v>
      </c>
      <c r="G1777" s="2"/>
      <c r="H1777" s="2"/>
      <c r="I1777" s="2" t="s">
        <v>8243</v>
      </c>
    </row>
    <row r="1778" ht="15.75" hidden="1" customHeight="1">
      <c r="A1778" s="9">
        <v>7270209.0</v>
      </c>
      <c r="B1778" s="2" t="s">
        <v>8246</v>
      </c>
      <c r="C1778" s="2" t="s">
        <v>8247</v>
      </c>
      <c r="D1778" s="2" t="s">
        <v>8248</v>
      </c>
      <c r="E1778" s="10" t="s">
        <v>8249</v>
      </c>
      <c r="F1778" s="2" t="s">
        <v>8218</v>
      </c>
      <c r="G1778" s="2"/>
      <c r="H1778" s="2"/>
      <c r="I1778" s="2" t="s">
        <v>8247</v>
      </c>
    </row>
    <row r="1779" ht="15.75" hidden="1" customHeight="1">
      <c r="A1779" s="9">
        <v>7270210.0</v>
      </c>
      <c r="B1779" s="2" t="s">
        <v>1145</v>
      </c>
      <c r="C1779" s="2" t="s">
        <v>8250</v>
      </c>
      <c r="D1779" s="2" t="s">
        <v>8251</v>
      </c>
      <c r="E1779" s="10" t="s">
        <v>8252</v>
      </c>
      <c r="F1779" s="2" t="s">
        <v>8218</v>
      </c>
      <c r="G1779" s="2"/>
      <c r="H1779" s="2"/>
      <c r="I1779" s="2" t="s">
        <v>8250</v>
      </c>
    </row>
    <row r="1780" ht="15.75" hidden="1" customHeight="1">
      <c r="A1780" s="9">
        <v>7270211.0</v>
      </c>
      <c r="B1780" s="2" t="s">
        <v>8254</v>
      </c>
      <c r="C1780" s="2" t="s">
        <v>8255</v>
      </c>
      <c r="D1780" s="2" t="s">
        <v>8256</v>
      </c>
      <c r="E1780" s="10" t="s">
        <v>8257</v>
      </c>
      <c r="F1780" s="2" t="s">
        <v>8218</v>
      </c>
      <c r="G1780" s="2"/>
      <c r="H1780" s="2"/>
      <c r="I1780" s="2" t="s">
        <v>8255</v>
      </c>
    </row>
    <row r="1781" ht="15.75" hidden="1" customHeight="1">
      <c r="A1781" s="9">
        <v>7270212.0</v>
      </c>
      <c r="B1781" s="2" t="s">
        <v>8258</v>
      </c>
      <c r="C1781" s="2" t="s">
        <v>8260</v>
      </c>
      <c r="D1781" s="2" t="s">
        <v>5404</v>
      </c>
      <c r="E1781" s="10" t="s">
        <v>5407</v>
      </c>
      <c r="F1781" s="2" t="s">
        <v>8218</v>
      </c>
      <c r="G1781" s="2"/>
      <c r="H1781" s="2"/>
      <c r="I1781" s="2" t="s">
        <v>8260</v>
      </c>
    </row>
    <row r="1782" ht="15.75" hidden="1" customHeight="1">
      <c r="A1782" s="9">
        <v>7270213.0</v>
      </c>
      <c r="B1782" s="2" t="s">
        <v>8261</v>
      </c>
      <c r="C1782" s="2" t="s">
        <v>8262</v>
      </c>
      <c r="D1782" s="2" t="s">
        <v>8264</v>
      </c>
      <c r="E1782" s="10" t="s">
        <v>8265</v>
      </c>
      <c r="F1782" s="2" t="s">
        <v>8218</v>
      </c>
      <c r="G1782" s="2"/>
      <c r="H1782" s="2"/>
      <c r="I1782" s="2" t="s">
        <v>8262</v>
      </c>
    </row>
    <row r="1783" ht="15.75" hidden="1" customHeight="1">
      <c r="A1783" s="9">
        <v>7270214.0</v>
      </c>
      <c r="B1783" s="2" t="s">
        <v>3722</v>
      </c>
      <c r="C1783" s="2" t="s">
        <v>8266</v>
      </c>
      <c r="D1783" s="2" t="s">
        <v>3718</v>
      </c>
      <c r="E1783" s="10" t="s">
        <v>3723</v>
      </c>
      <c r="F1783" s="2" t="s">
        <v>8218</v>
      </c>
      <c r="G1783" s="2"/>
      <c r="H1783" s="2"/>
      <c r="I1783" s="2" t="s">
        <v>8266</v>
      </c>
    </row>
    <row r="1784" ht="15.75" hidden="1" customHeight="1">
      <c r="A1784" s="9">
        <v>7270215.0</v>
      </c>
      <c r="B1784" s="2" t="s">
        <v>8267</v>
      </c>
      <c r="C1784" s="2" t="s">
        <v>8269</v>
      </c>
      <c r="D1784" s="2" t="s">
        <v>8270</v>
      </c>
      <c r="E1784" s="10" t="s">
        <v>8271</v>
      </c>
      <c r="F1784" s="2" t="s">
        <v>8218</v>
      </c>
      <c r="G1784" s="2"/>
      <c r="H1784" s="2"/>
      <c r="I1784" s="2" t="s">
        <v>8269</v>
      </c>
    </row>
    <row r="1785" ht="15.75" hidden="1" customHeight="1">
      <c r="A1785" s="9">
        <v>7270216.0</v>
      </c>
      <c r="B1785" s="2" t="s">
        <v>8273</v>
      </c>
      <c r="C1785" s="2" t="s">
        <v>8274</v>
      </c>
      <c r="D1785" s="2" t="s">
        <v>8276</v>
      </c>
      <c r="E1785" s="10" t="s">
        <v>8277</v>
      </c>
      <c r="F1785" s="2" t="s">
        <v>8218</v>
      </c>
      <c r="G1785" s="2"/>
      <c r="H1785" s="2"/>
      <c r="I1785" s="2" t="s">
        <v>8274</v>
      </c>
    </row>
    <row r="1786" ht="15.75" hidden="1" customHeight="1">
      <c r="A1786" s="9">
        <v>7270217.0</v>
      </c>
      <c r="B1786" s="2" t="s">
        <v>8278</v>
      </c>
      <c r="C1786" s="2" t="s">
        <v>8279</v>
      </c>
      <c r="D1786" s="2" t="s">
        <v>8280</v>
      </c>
      <c r="E1786" s="10" t="s">
        <v>8281</v>
      </c>
      <c r="F1786" s="2" t="s">
        <v>8218</v>
      </c>
      <c r="G1786" s="2"/>
      <c r="H1786" s="2"/>
      <c r="I1786" s="2" t="s">
        <v>8279</v>
      </c>
    </row>
    <row r="1787" ht="15.75" hidden="1" customHeight="1">
      <c r="A1787" s="9">
        <v>7270218.0</v>
      </c>
      <c r="B1787" s="2" t="s">
        <v>8282</v>
      </c>
      <c r="C1787" s="2" t="s">
        <v>8283</v>
      </c>
      <c r="D1787" s="2" t="s">
        <v>8284</v>
      </c>
      <c r="E1787" s="10" t="s">
        <v>8285</v>
      </c>
      <c r="F1787" s="2" t="s">
        <v>8218</v>
      </c>
      <c r="G1787" s="2"/>
      <c r="H1787" s="2"/>
      <c r="I1787" s="2" t="s">
        <v>8283</v>
      </c>
    </row>
    <row r="1788" ht="15.75" hidden="1" customHeight="1">
      <c r="A1788" s="9">
        <v>7270343.0</v>
      </c>
      <c r="B1788" s="2" t="s">
        <v>8287</v>
      </c>
      <c r="C1788" s="2" t="s">
        <v>8288</v>
      </c>
      <c r="D1788" s="2" t="s">
        <v>4779</v>
      </c>
      <c r="E1788" s="10" t="s">
        <v>4785</v>
      </c>
      <c r="F1788" s="2" t="s">
        <v>792</v>
      </c>
      <c r="G1788" s="2"/>
      <c r="H1788" s="2"/>
      <c r="I1788" s="2" t="s">
        <v>8288</v>
      </c>
    </row>
    <row r="1789" ht="15.75" hidden="1" customHeight="1">
      <c r="A1789" s="9">
        <v>7270344.0</v>
      </c>
      <c r="B1789" s="2" t="s">
        <v>8289</v>
      </c>
      <c r="C1789" s="2" t="s">
        <v>8290</v>
      </c>
      <c r="D1789" s="2" t="s">
        <v>5998</v>
      </c>
      <c r="E1789" s="10" t="s">
        <v>6005</v>
      </c>
      <c r="F1789" s="2" t="s">
        <v>559</v>
      </c>
      <c r="G1789" s="2"/>
      <c r="H1789" s="2"/>
      <c r="I1789" s="2" t="s">
        <v>8290</v>
      </c>
    </row>
    <row r="1790" ht="15.75" hidden="1" customHeight="1">
      <c r="A1790" s="9">
        <v>7270345.0</v>
      </c>
      <c r="B1790" s="2" t="s">
        <v>8292</v>
      </c>
      <c r="C1790" s="2" t="s">
        <v>8293</v>
      </c>
      <c r="D1790" s="2" t="s">
        <v>8294</v>
      </c>
      <c r="E1790" s="10" t="s">
        <v>8295</v>
      </c>
      <c r="F1790" s="2" t="s">
        <v>4200</v>
      </c>
      <c r="G1790" s="2"/>
      <c r="H1790" s="2"/>
      <c r="I1790" s="2" t="s">
        <v>8293</v>
      </c>
    </row>
    <row r="1791" ht="15.75" hidden="1" customHeight="1">
      <c r="A1791" s="9">
        <v>7271048.0</v>
      </c>
      <c r="B1791" s="2" t="s">
        <v>8296</v>
      </c>
      <c r="C1791" s="2" t="s">
        <v>8297</v>
      </c>
      <c r="D1791" s="2" t="s">
        <v>8298</v>
      </c>
      <c r="E1791" s="10" t="s">
        <v>8299</v>
      </c>
      <c r="F1791" s="2" t="s">
        <v>57</v>
      </c>
      <c r="G1791" s="2"/>
      <c r="H1791" s="2"/>
      <c r="I1791" s="2" t="s">
        <v>8297</v>
      </c>
    </row>
    <row r="1792" ht="15.75" hidden="1" customHeight="1">
      <c r="A1792" s="9">
        <v>7271147.0</v>
      </c>
      <c r="B1792" s="2" t="s">
        <v>8301</v>
      </c>
      <c r="C1792" s="2" t="s">
        <v>8303</v>
      </c>
      <c r="D1792" s="2" t="s">
        <v>8304</v>
      </c>
      <c r="E1792" s="10" t="s">
        <v>8305</v>
      </c>
      <c r="F1792" s="2" t="s">
        <v>231</v>
      </c>
      <c r="G1792" s="2"/>
      <c r="H1792" s="2"/>
      <c r="I1792" s="2" t="s">
        <v>8303</v>
      </c>
    </row>
    <row r="1793" ht="15.75" hidden="1" customHeight="1">
      <c r="A1793" s="9">
        <v>7272652.0</v>
      </c>
      <c r="B1793" s="2" t="s">
        <v>7522</v>
      </c>
      <c r="C1793" s="2" t="s">
        <v>8307</v>
      </c>
      <c r="D1793" s="2" t="s">
        <v>8308</v>
      </c>
      <c r="E1793" s="10" t="s">
        <v>8309</v>
      </c>
      <c r="F1793" s="2" t="s">
        <v>106</v>
      </c>
      <c r="G1793" s="2"/>
      <c r="H1793" s="2"/>
      <c r="I1793" s="2" t="s">
        <v>8307</v>
      </c>
    </row>
    <row r="1794" ht="15.75" hidden="1" customHeight="1">
      <c r="A1794" s="9">
        <v>7272668.0</v>
      </c>
      <c r="B1794" s="2" t="s">
        <v>5219</v>
      </c>
      <c r="C1794" s="2" t="s">
        <v>8310</v>
      </c>
      <c r="D1794" s="2" t="s">
        <v>5218</v>
      </c>
      <c r="E1794" s="10" t="s">
        <v>5222</v>
      </c>
      <c r="F1794" s="2" t="s">
        <v>231</v>
      </c>
      <c r="G1794" s="2"/>
      <c r="H1794" s="2"/>
      <c r="I1794" s="2" t="s">
        <v>8310</v>
      </c>
    </row>
    <row r="1795" ht="15.75" hidden="1" customHeight="1">
      <c r="A1795" s="9">
        <v>7273042.0</v>
      </c>
      <c r="B1795" s="2" t="s">
        <v>5354</v>
      </c>
      <c r="C1795" s="2" t="s">
        <v>8311</v>
      </c>
      <c r="D1795" s="2" t="s">
        <v>5351</v>
      </c>
      <c r="E1795" s="10" t="s">
        <v>5355</v>
      </c>
      <c r="F1795" s="2" t="s">
        <v>57</v>
      </c>
      <c r="G1795" s="2"/>
      <c r="H1795" s="2"/>
      <c r="I1795" s="2" t="s">
        <v>8311</v>
      </c>
    </row>
    <row r="1796" ht="15.75" hidden="1" customHeight="1">
      <c r="A1796" s="9">
        <v>7273054.0</v>
      </c>
      <c r="B1796" s="2" t="s">
        <v>8313</v>
      </c>
      <c r="C1796" s="2" t="s">
        <v>8314</v>
      </c>
      <c r="D1796" s="2" t="s">
        <v>8315</v>
      </c>
      <c r="E1796" s="10" t="s">
        <v>8316</v>
      </c>
      <c r="F1796" s="2" t="s">
        <v>81</v>
      </c>
      <c r="G1796" s="2"/>
      <c r="H1796" s="2"/>
      <c r="I1796" s="2" t="s">
        <v>8314</v>
      </c>
    </row>
    <row r="1797" ht="15.75" hidden="1" customHeight="1">
      <c r="A1797" s="9">
        <v>7273662.0</v>
      </c>
      <c r="B1797" s="2" t="s">
        <v>3900</v>
      </c>
      <c r="C1797" s="2" t="s">
        <v>8318</v>
      </c>
      <c r="D1797" s="2" t="s">
        <v>3899</v>
      </c>
      <c r="E1797" s="10" t="s">
        <v>3904</v>
      </c>
      <c r="F1797" s="2" t="s">
        <v>57</v>
      </c>
      <c r="G1797" s="2"/>
      <c r="H1797" s="2"/>
      <c r="I1797" s="2" t="s">
        <v>8318</v>
      </c>
    </row>
    <row r="1798" ht="15.75" hidden="1" customHeight="1">
      <c r="A1798" s="9">
        <v>7273809.0</v>
      </c>
      <c r="B1798" s="2" t="s">
        <v>8319</v>
      </c>
      <c r="C1798" s="2" t="s">
        <v>8320</v>
      </c>
      <c r="D1798" s="2" t="s">
        <v>8321</v>
      </c>
      <c r="E1798" s="10" t="s">
        <v>8322</v>
      </c>
      <c r="F1798" s="2" t="s">
        <v>1607</v>
      </c>
      <c r="G1798" s="2"/>
      <c r="H1798" s="2"/>
      <c r="I1798" s="2" t="s">
        <v>8320</v>
      </c>
    </row>
    <row r="1799" ht="15.75" hidden="1" customHeight="1">
      <c r="A1799" s="9">
        <v>7273811.0</v>
      </c>
      <c r="B1799" s="2" t="s">
        <v>8325</v>
      </c>
      <c r="C1799" s="2" t="s">
        <v>8326</v>
      </c>
      <c r="D1799" s="2" t="s">
        <v>8327</v>
      </c>
      <c r="E1799" s="10" t="s">
        <v>8328</v>
      </c>
      <c r="F1799" s="2" t="s">
        <v>1303</v>
      </c>
      <c r="G1799" s="2"/>
      <c r="H1799" s="2"/>
      <c r="I1799" s="2" t="s">
        <v>8326</v>
      </c>
    </row>
    <row r="1800" ht="15.75" hidden="1" customHeight="1">
      <c r="A1800" s="9">
        <v>7273817.0</v>
      </c>
      <c r="B1800" s="2" t="s">
        <v>8330</v>
      </c>
      <c r="C1800" s="2" t="s">
        <v>8331</v>
      </c>
      <c r="D1800" s="2" t="s">
        <v>8333</v>
      </c>
      <c r="E1800" s="10" t="s">
        <v>8334</v>
      </c>
      <c r="F1800" s="2" t="s">
        <v>1303</v>
      </c>
      <c r="G1800" s="2"/>
      <c r="H1800" s="2"/>
      <c r="I1800" s="2" t="s">
        <v>8331</v>
      </c>
    </row>
    <row r="1801" ht="15.75" hidden="1" customHeight="1">
      <c r="A1801" s="9">
        <v>7273822.0</v>
      </c>
      <c r="B1801" s="2" t="s">
        <v>2221</v>
      </c>
      <c r="C1801" s="2" t="s">
        <v>8335</v>
      </c>
      <c r="D1801" s="2" t="s">
        <v>2220</v>
      </c>
      <c r="E1801" s="10" t="s">
        <v>2225</v>
      </c>
      <c r="F1801" s="2" t="s">
        <v>100</v>
      </c>
      <c r="G1801" s="2"/>
      <c r="H1801" s="2"/>
      <c r="I1801" s="2" t="s">
        <v>8335</v>
      </c>
    </row>
    <row r="1802" ht="15.75" hidden="1" customHeight="1">
      <c r="A1802" s="9">
        <v>7273823.0</v>
      </c>
      <c r="B1802" s="2" t="s">
        <v>8336</v>
      </c>
      <c r="C1802" s="2" t="s">
        <v>8338</v>
      </c>
      <c r="D1802" s="2" t="s">
        <v>8339</v>
      </c>
      <c r="E1802" s="10" t="s">
        <v>8340</v>
      </c>
      <c r="F1802" s="2" t="s">
        <v>1607</v>
      </c>
      <c r="G1802" s="2"/>
      <c r="H1802" s="2"/>
      <c r="I1802" s="2" t="s">
        <v>8338</v>
      </c>
    </row>
    <row r="1803" ht="15.75" hidden="1" customHeight="1">
      <c r="A1803" s="9">
        <v>7273824.0</v>
      </c>
      <c r="B1803" s="2" t="s">
        <v>4836</v>
      </c>
      <c r="C1803" s="2" t="s">
        <v>8342</v>
      </c>
      <c r="D1803" s="2" t="s">
        <v>8343</v>
      </c>
      <c r="E1803" s="10" t="s">
        <v>8344</v>
      </c>
      <c r="F1803" s="2" t="s">
        <v>1607</v>
      </c>
      <c r="G1803" s="2"/>
      <c r="H1803" s="2"/>
      <c r="I1803" s="2" t="s">
        <v>8342</v>
      </c>
    </row>
    <row r="1804" ht="15.75" hidden="1" customHeight="1">
      <c r="A1804" s="9">
        <v>7277776.0</v>
      </c>
      <c r="B1804" s="2" t="s">
        <v>5110</v>
      </c>
      <c r="C1804" s="2" t="s">
        <v>8345</v>
      </c>
      <c r="D1804" s="2" t="s">
        <v>5105</v>
      </c>
      <c r="E1804" s="10" t="s">
        <v>5112</v>
      </c>
      <c r="F1804" s="2" t="s">
        <v>1303</v>
      </c>
      <c r="G1804" s="2"/>
      <c r="H1804" s="2"/>
      <c r="I1804" s="2" t="s">
        <v>8345</v>
      </c>
    </row>
    <row r="1805" ht="15.75" hidden="1" customHeight="1">
      <c r="A1805" s="9">
        <v>7278919.0</v>
      </c>
      <c r="B1805" s="2" t="s">
        <v>8346</v>
      </c>
      <c r="C1805" s="2" t="s">
        <v>8347</v>
      </c>
      <c r="D1805" s="2" t="s">
        <v>8348</v>
      </c>
      <c r="E1805" s="10" t="s">
        <v>8349</v>
      </c>
      <c r="F1805" s="2" t="s">
        <v>1303</v>
      </c>
      <c r="G1805" s="2"/>
      <c r="H1805" s="2"/>
      <c r="I1805" s="2" t="s">
        <v>8347</v>
      </c>
    </row>
    <row r="1806" ht="15.75" hidden="1" customHeight="1">
      <c r="A1806" s="9">
        <v>7278920.0</v>
      </c>
      <c r="B1806" s="2" t="s">
        <v>8351</v>
      </c>
      <c r="C1806" s="2" t="s">
        <v>8352</v>
      </c>
      <c r="D1806" s="2" t="s">
        <v>8353</v>
      </c>
      <c r="E1806" s="10" t="s">
        <v>8355</v>
      </c>
      <c r="F1806" s="2" t="s">
        <v>8356</v>
      </c>
      <c r="G1806" s="2"/>
      <c r="H1806" s="2"/>
      <c r="I1806" s="2" t="s">
        <v>8352</v>
      </c>
    </row>
    <row r="1807" ht="15.75" hidden="1" customHeight="1">
      <c r="A1807" s="9">
        <v>7278921.0</v>
      </c>
      <c r="B1807" s="2" t="s">
        <v>8357</v>
      </c>
      <c r="C1807" s="2" t="s">
        <v>8358</v>
      </c>
      <c r="D1807" s="2" t="s">
        <v>8359</v>
      </c>
      <c r="E1807" s="10" t="s">
        <v>8360</v>
      </c>
      <c r="F1807" s="2" t="s">
        <v>8356</v>
      </c>
      <c r="G1807" s="2"/>
      <c r="H1807" s="2"/>
      <c r="I1807" s="2" t="s">
        <v>8358</v>
      </c>
    </row>
    <row r="1808" ht="15.75" hidden="1" customHeight="1">
      <c r="A1808" s="9">
        <v>7278922.0</v>
      </c>
      <c r="B1808" s="2" t="s">
        <v>8361</v>
      </c>
      <c r="C1808" s="2" t="s">
        <v>8362</v>
      </c>
      <c r="D1808" s="2" t="s">
        <v>8363</v>
      </c>
      <c r="E1808" s="10" t="s">
        <v>8364</v>
      </c>
      <c r="F1808" s="2" t="s">
        <v>8356</v>
      </c>
      <c r="G1808" s="2"/>
      <c r="H1808" s="2"/>
      <c r="I1808" s="2" t="s">
        <v>8362</v>
      </c>
    </row>
    <row r="1809" ht="15.75" hidden="1" customHeight="1">
      <c r="A1809" s="9">
        <v>7278923.0</v>
      </c>
      <c r="B1809" s="2" t="s">
        <v>8366</v>
      </c>
      <c r="C1809" s="2" t="s">
        <v>8367</v>
      </c>
      <c r="D1809" s="2" t="s">
        <v>8368</v>
      </c>
      <c r="E1809" s="10" t="s">
        <v>8369</v>
      </c>
      <c r="F1809" s="2" t="s">
        <v>57</v>
      </c>
      <c r="G1809" s="2"/>
      <c r="H1809" s="2"/>
      <c r="I1809" s="2" t="s">
        <v>8367</v>
      </c>
    </row>
    <row r="1810" ht="15.75" hidden="1" customHeight="1">
      <c r="A1810" s="9">
        <v>7278924.0</v>
      </c>
      <c r="B1810" s="2" t="s">
        <v>8371</v>
      </c>
      <c r="C1810" s="2" t="s">
        <v>8372</v>
      </c>
      <c r="D1810" s="2" t="s">
        <v>8373</v>
      </c>
      <c r="E1810" s="10" t="s">
        <v>8374</v>
      </c>
      <c r="F1810" s="2" t="s">
        <v>57</v>
      </c>
      <c r="G1810" s="2"/>
      <c r="H1810" s="2"/>
      <c r="I1810" s="2" t="s">
        <v>8372</v>
      </c>
    </row>
    <row r="1811" ht="15.75" hidden="1" customHeight="1">
      <c r="A1811" s="9">
        <v>7278925.0</v>
      </c>
      <c r="B1811" s="2" t="s">
        <v>8375</v>
      </c>
      <c r="C1811" s="2" t="s">
        <v>8376</v>
      </c>
      <c r="D1811" s="2" t="s">
        <v>8377</v>
      </c>
      <c r="E1811" s="10" t="s">
        <v>8378</v>
      </c>
      <c r="F1811" s="2" t="s">
        <v>57</v>
      </c>
      <c r="G1811" s="2"/>
      <c r="H1811" s="2"/>
      <c r="I1811" s="2" t="s">
        <v>8376</v>
      </c>
    </row>
    <row r="1812" ht="15.75" hidden="1" customHeight="1">
      <c r="A1812" s="9">
        <v>7278926.0</v>
      </c>
      <c r="B1812" s="2" t="s">
        <v>8379</v>
      </c>
      <c r="C1812" s="2" t="s">
        <v>8380</v>
      </c>
      <c r="D1812" s="2" t="s">
        <v>8381</v>
      </c>
      <c r="E1812" s="10" t="s">
        <v>8382</v>
      </c>
      <c r="F1812" s="2" t="s">
        <v>57</v>
      </c>
      <c r="G1812" s="2"/>
      <c r="H1812" s="2"/>
      <c r="I1812" s="2" t="s">
        <v>8380</v>
      </c>
    </row>
    <row r="1813" ht="15.75" hidden="1" customHeight="1">
      <c r="A1813" s="9">
        <v>7278927.0</v>
      </c>
      <c r="B1813" s="2" t="s">
        <v>3127</v>
      </c>
      <c r="C1813" s="2" t="s">
        <v>8384</v>
      </c>
      <c r="D1813" s="2" t="s">
        <v>3123</v>
      </c>
      <c r="E1813" s="10" t="s">
        <v>3129</v>
      </c>
      <c r="F1813" s="2" t="s">
        <v>57</v>
      </c>
      <c r="G1813" s="2"/>
      <c r="H1813" s="2"/>
      <c r="I1813" s="2" t="s">
        <v>8384</v>
      </c>
    </row>
    <row r="1814" ht="15.75" hidden="1" customHeight="1">
      <c r="A1814" s="9">
        <v>7278928.0</v>
      </c>
      <c r="B1814" s="2" t="s">
        <v>7173</v>
      </c>
      <c r="C1814" s="2" t="s">
        <v>8386</v>
      </c>
      <c r="D1814" s="2" t="s">
        <v>7172</v>
      </c>
      <c r="E1814" s="10" t="s">
        <v>7175</v>
      </c>
      <c r="F1814" s="2" t="s">
        <v>57</v>
      </c>
      <c r="G1814" s="2"/>
      <c r="H1814" s="2"/>
      <c r="I1814" s="2" t="s">
        <v>8386</v>
      </c>
    </row>
    <row r="1815" ht="15.75" hidden="1" customHeight="1">
      <c r="A1815" s="9">
        <v>7278929.0</v>
      </c>
      <c r="B1815" s="2" t="s">
        <v>8387</v>
      </c>
      <c r="C1815" s="2" t="s">
        <v>8388</v>
      </c>
      <c r="D1815" s="2" t="s">
        <v>8389</v>
      </c>
      <c r="E1815" s="10" t="s">
        <v>8390</v>
      </c>
      <c r="F1815" s="2" t="s">
        <v>57</v>
      </c>
      <c r="G1815" s="2"/>
      <c r="H1815" s="2"/>
      <c r="I1815" s="2" t="s">
        <v>8388</v>
      </c>
    </row>
    <row r="1816" ht="15.75" hidden="1" customHeight="1">
      <c r="A1816" s="9">
        <v>7278930.0</v>
      </c>
      <c r="B1816" s="2" t="s">
        <v>5092</v>
      </c>
      <c r="C1816" s="2" t="s">
        <v>8393</v>
      </c>
      <c r="D1816" s="2" t="s">
        <v>5087</v>
      </c>
      <c r="E1816" s="10" t="s">
        <v>5093</v>
      </c>
      <c r="F1816" s="2" t="s">
        <v>106</v>
      </c>
      <c r="G1816" s="2"/>
      <c r="H1816" s="2"/>
      <c r="I1816" s="2" t="s">
        <v>8393</v>
      </c>
    </row>
    <row r="1817" ht="15.75" hidden="1" customHeight="1">
      <c r="A1817" s="9">
        <v>7278931.0</v>
      </c>
      <c r="B1817" s="2" t="s">
        <v>8395</v>
      </c>
      <c r="C1817" s="2" t="s">
        <v>8396</v>
      </c>
      <c r="D1817" s="2" t="s">
        <v>8397</v>
      </c>
      <c r="E1817" s="10" t="s">
        <v>8398</v>
      </c>
      <c r="F1817" s="2" t="s">
        <v>57</v>
      </c>
      <c r="G1817" s="2"/>
      <c r="H1817" s="2"/>
      <c r="I1817" s="2" t="s">
        <v>8396</v>
      </c>
    </row>
    <row r="1818" ht="15.75" hidden="1" customHeight="1">
      <c r="A1818" s="9">
        <v>7278932.0</v>
      </c>
      <c r="B1818" s="2" t="s">
        <v>8399</v>
      </c>
      <c r="C1818" s="2" t="s">
        <v>8400</v>
      </c>
      <c r="D1818" s="2" t="s">
        <v>8401</v>
      </c>
      <c r="E1818" s="10" t="s">
        <v>8402</v>
      </c>
      <c r="F1818" s="2" t="s">
        <v>231</v>
      </c>
      <c r="G1818" s="2"/>
      <c r="H1818" s="2"/>
      <c r="I1818" s="2" t="s">
        <v>8400</v>
      </c>
    </row>
    <row r="1819" ht="15.75" hidden="1" customHeight="1">
      <c r="A1819" s="9">
        <v>7278933.0</v>
      </c>
      <c r="B1819" s="2" t="s">
        <v>8403</v>
      </c>
      <c r="C1819" s="2" t="s">
        <v>8404</v>
      </c>
      <c r="D1819" s="2" t="s">
        <v>8405</v>
      </c>
      <c r="E1819" s="10" t="s">
        <v>8406</v>
      </c>
      <c r="F1819" s="2" t="s">
        <v>231</v>
      </c>
      <c r="G1819" s="2"/>
      <c r="H1819" s="2"/>
      <c r="I1819" s="2" t="s">
        <v>8404</v>
      </c>
    </row>
    <row r="1820" ht="15.75" hidden="1" customHeight="1">
      <c r="A1820" s="9">
        <v>7278934.0</v>
      </c>
      <c r="B1820" s="2" t="s">
        <v>8408</v>
      </c>
      <c r="C1820" s="2" t="s">
        <v>8409</v>
      </c>
      <c r="D1820" s="2" t="s">
        <v>8410</v>
      </c>
      <c r="E1820" s="10" t="s">
        <v>8411</v>
      </c>
      <c r="F1820" s="2" t="s">
        <v>231</v>
      </c>
      <c r="G1820" s="2"/>
      <c r="H1820" s="2"/>
      <c r="I1820" s="2" t="s">
        <v>8409</v>
      </c>
    </row>
    <row r="1821" ht="15.75" hidden="1" customHeight="1">
      <c r="A1821" s="9">
        <v>7278935.0</v>
      </c>
      <c r="B1821" s="2" t="s">
        <v>8413</v>
      </c>
      <c r="C1821" s="2" t="s">
        <v>8414</v>
      </c>
      <c r="D1821" s="2" t="s">
        <v>8415</v>
      </c>
      <c r="E1821" s="10" t="s">
        <v>8416</v>
      </c>
      <c r="F1821" s="2" t="s">
        <v>231</v>
      </c>
      <c r="G1821" s="2"/>
      <c r="H1821" s="2"/>
      <c r="I1821" s="2" t="s">
        <v>8414</v>
      </c>
    </row>
    <row r="1822" ht="15.75" hidden="1" customHeight="1">
      <c r="A1822" s="9">
        <v>7278936.0</v>
      </c>
      <c r="B1822" s="2" t="s">
        <v>8417</v>
      </c>
      <c r="C1822" s="2" t="s">
        <v>8418</v>
      </c>
      <c r="D1822" s="2" t="s">
        <v>8419</v>
      </c>
      <c r="E1822" s="10" t="s">
        <v>8420</v>
      </c>
      <c r="F1822" s="2" t="s">
        <v>231</v>
      </c>
      <c r="G1822" s="2"/>
      <c r="H1822" s="2"/>
      <c r="I1822" s="2" t="s">
        <v>8418</v>
      </c>
    </row>
    <row r="1823" ht="15.75" hidden="1" customHeight="1">
      <c r="A1823" s="9">
        <v>7278937.0</v>
      </c>
      <c r="B1823" s="2" t="s">
        <v>589</v>
      </c>
      <c r="C1823" s="2" t="s">
        <v>8421</v>
      </c>
      <c r="D1823" s="2" t="s">
        <v>587</v>
      </c>
      <c r="E1823" s="10" t="s">
        <v>594</v>
      </c>
      <c r="F1823" s="2" t="s">
        <v>231</v>
      </c>
      <c r="G1823" s="2"/>
      <c r="H1823" s="2"/>
      <c r="I1823" s="2" t="s">
        <v>8421</v>
      </c>
    </row>
    <row r="1824" ht="15.75" hidden="1" customHeight="1">
      <c r="A1824" s="9">
        <v>7278938.0</v>
      </c>
      <c r="B1824" s="2" t="s">
        <v>8423</v>
      </c>
      <c r="C1824" s="2" t="s">
        <v>8424</v>
      </c>
      <c r="D1824" s="2" t="s">
        <v>8426</v>
      </c>
      <c r="E1824" s="10" t="s">
        <v>8427</v>
      </c>
      <c r="F1824" s="2" t="s">
        <v>231</v>
      </c>
      <c r="G1824" s="2"/>
      <c r="H1824" s="2"/>
      <c r="I1824" s="2" t="s">
        <v>8424</v>
      </c>
    </row>
    <row r="1825" ht="15.75" hidden="1" customHeight="1">
      <c r="A1825" s="9">
        <v>7278939.0</v>
      </c>
      <c r="B1825" s="2" t="s">
        <v>4029</v>
      </c>
      <c r="C1825" s="2" t="s">
        <v>8428</v>
      </c>
      <c r="D1825" s="2" t="s">
        <v>4026</v>
      </c>
      <c r="E1825" s="10" t="s">
        <v>4032</v>
      </c>
      <c r="F1825" s="2" t="s">
        <v>231</v>
      </c>
      <c r="G1825" s="2"/>
      <c r="H1825" s="2"/>
      <c r="I1825" s="2" t="s">
        <v>8428</v>
      </c>
    </row>
    <row r="1826" ht="15.75" hidden="1" customHeight="1">
      <c r="A1826" s="9">
        <v>7278940.0</v>
      </c>
      <c r="B1826" s="2" t="s">
        <v>8429</v>
      </c>
      <c r="C1826" s="2" t="s">
        <v>8430</v>
      </c>
      <c r="D1826" s="2" t="s">
        <v>8432</v>
      </c>
      <c r="E1826" s="10" t="s">
        <v>8433</v>
      </c>
      <c r="F1826" s="2" t="s">
        <v>231</v>
      </c>
      <c r="G1826" s="2"/>
      <c r="H1826" s="2"/>
      <c r="I1826" s="2" t="s">
        <v>8430</v>
      </c>
    </row>
    <row r="1827" ht="15.75" hidden="1" customHeight="1">
      <c r="A1827" s="9">
        <v>7278942.0</v>
      </c>
      <c r="B1827" s="2" t="s">
        <v>8435</v>
      </c>
      <c r="C1827" s="2" t="s">
        <v>8436</v>
      </c>
      <c r="D1827" s="2" t="s">
        <v>8437</v>
      </c>
      <c r="E1827" s="10" t="s">
        <v>8438</v>
      </c>
      <c r="F1827" s="2" t="s">
        <v>231</v>
      </c>
      <c r="G1827" s="2"/>
      <c r="H1827" s="2"/>
      <c r="I1827" s="2" t="s">
        <v>8436</v>
      </c>
    </row>
    <row r="1828" ht="15.75" hidden="1" customHeight="1">
      <c r="A1828" s="9">
        <v>7278943.0</v>
      </c>
      <c r="B1828" s="2" t="s">
        <v>8440</v>
      </c>
      <c r="C1828" s="2" t="s">
        <v>8441</v>
      </c>
      <c r="D1828" s="2" t="s">
        <v>8442</v>
      </c>
      <c r="E1828" s="10" t="s">
        <v>8443</v>
      </c>
      <c r="F1828" s="2" t="s">
        <v>231</v>
      </c>
      <c r="G1828" s="2"/>
      <c r="H1828" s="2"/>
      <c r="I1828" s="2" t="s">
        <v>8441</v>
      </c>
    </row>
    <row r="1829" ht="15.75" hidden="1" customHeight="1">
      <c r="A1829" s="9">
        <v>7278944.0</v>
      </c>
      <c r="B1829" s="2" t="s">
        <v>8444</v>
      </c>
      <c r="C1829" s="2" t="s">
        <v>8445</v>
      </c>
      <c r="D1829" s="2" t="s">
        <v>8446</v>
      </c>
      <c r="E1829" s="10" t="s">
        <v>8447</v>
      </c>
      <c r="F1829" s="2" t="s">
        <v>231</v>
      </c>
      <c r="G1829" s="2"/>
      <c r="H1829" s="2"/>
      <c r="I1829" s="2" t="s">
        <v>8445</v>
      </c>
    </row>
    <row r="1830" ht="15.75" hidden="1" customHeight="1">
      <c r="A1830" s="9">
        <v>7278945.0</v>
      </c>
      <c r="B1830" s="2" t="s">
        <v>8448</v>
      </c>
      <c r="C1830" s="2" t="s">
        <v>8449</v>
      </c>
      <c r="D1830" s="2" t="s">
        <v>8450</v>
      </c>
      <c r="E1830" s="10" t="s">
        <v>8452</v>
      </c>
      <c r="F1830" s="2" t="s">
        <v>81</v>
      </c>
      <c r="G1830" s="2"/>
      <c r="H1830" s="2"/>
      <c r="I1830" s="2" t="s">
        <v>8449</v>
      </c>
    </row>
    <row r="1831" ht="15.75" hidden="1" customHeight="1">
      <c r="A1831" s="9">
        <v>7278946.0</v>
      </c>
      <c r="B1831" s="2" t="s">
        <v>8453</v>
      </c>
      <c r="C1831" s="2" t="s">
        <v>8454</v>
      </c>
      <c r="D1831" s="2" t="s">
        <v>8455</v>
      </c>
      <c r="E1831" s="10" t="s">
        <v>8457</v>
      </c>
      <c r="F1831" s="2" t="s">
        <v>81</v>
      </c>
      <c r="G1831" s="2"/>
      <c r="H1831" s="2"/>
      <c r="I1831" s="2" t="s">
        <v>8454</v>
      </c>
    </row>
    <row r="1832" ht="15.75" hidden="1" customHeight="1">
      <c r="A1832" s="9">
        <v>7278947.0</v>
      </c>
      <c r="B1832" s="2" t="s">
        <v>8458</v>
      </c>
      <c r="C1832" s="2" t="s">
        <v>8459</v>
      </c>
      <c r="D1832" s="2" t="s">
        <v>8460</v>
      </c>
      <c r="E1832" s="10" t="s">
        <v>8461</v>
      </c>
      <c r="F1832" s="2" t="s">
        <v>231</v>
      </c>
      <c r="G1832" s="2"/>
      <c r="H1832" s="2"/>
      <c r="I1832" s="2" t="s">
        <v>8459</v>
      </c>
    </row>
    <row r="1833" ht="15.75" hidden="1" customHeight="1">
      <c r="A1833" s="9">
        <v>7278948.0</v>
      </c>
      <c r="B1833" s="2" t="s">
        <v>8462</v>
      </c>
      <c r="C1833" s="2" t="s">
        <v>8463</v>
      </c>
      <c r="D1833" s="2" t="s">
        <v>8464</v>
      </c>
      <c r="E1833" s="10" t="s">
        <v>8465</v>
      </c>
      <c r="F1833" s="2" t="s">
        <v>81</v>
      </c>
      <c r="G1833" s="2"/>
      <c r="H1833" s="2"/>
      <c r="I1833" s="2" t="s">
        <v>8463</v>
      </c>
    </row>
    <row r="1834" ht="15.75" hidden="1" customHeight="1">
      <c r="A1834" s="9">
        <v>7278949.0</v>
      </c>
      <c r="B1834" s="2" t="s">
        <v>8466</v>
      </c>
      <c r="C1834" s="2" t="s">
        <v>8467</v>
      </c>
      <c r="D1834" s="2" t="s">
        <v>8468</v>
      </c>
      <c r="E1834" s="10" t="s">
        <v>8469</v>
      </c>
      <c r="F1834" s="2" t="s">
        <v>81</v>
      </c>
      <c r="G1834" s="2"/>
      <c r="H1834" s="2"/>
      <c r="I1834" s="2" t="s">
        <v>8467</v>
      </c>
    </row>
    <row r="1835" ht="15.75" hidden="1" customHeight="1">
      <c r="A1835" s="9">
        <v>7278950.0</v>
      </c>
      <c r="B1835" s="2" t="s">
        <v>4430</v>
      </c>
      <c r="C1835" s="2" t="s">
        <v>8471</v>
      </c>
      <c r="D1835" s="2" t="s">
        <v>4426</v>
      </c>
      <c r="E1835" s="10" t="s">
        <v>4436</v>
      </c>
      <c r="F1835" s="2" t="s">
        <v>231</v>
      </c>
      <c r="G1835" s="2"/>
      <c r="H1835" s="2"/>
      <c r="I1835" s="2" t="s">
        <v>8471</v>
      </c>
    </row>
    <row r="1836" ht="15.75" hidden="1" customHeight="1">
      <c r="A1836" s="9">
        <v>7278951.0</v>
      </c>
      <c r="B1836" s="2" t="s">
        <v>4299</v>
      </c>
      <c r="C1836" s="2" t="s">
        <v>8472</v>
      </c>
      <c r="D1836" s="2" t="s">
        <v>4298</v>
      </c>
      <c r="E1836" s="10" t="s">
        <v>4302</v>
      </c>
      <c r="F1836" s="2" t="s">
        <v>81</v>
      </c>
      <c r="G1836" s="2"/>
      <c r="H1836" s="2"/>
      <c r="I1836" s="2" t="s">
        <v>8472</v>
      </c>
    </row>
    <row r="1837" ht="15.75" hidden="1" customHeight="1">
      <c r="A1837" s="9">
        <v>7278952.0</v>
      </c>
      <c r="B1837" s="2" t="s">
        <v>8473</v>
      </c>
      <c r="C1837" s="2" t="s">
        <v>8474</v>
      </c>
      <c r="D1837" s="2" t="s">
        <v>8475</v>
      </c>
      <c r="E1837" s="10" t="s">
        <v>8476</v>
      </c>
      <c r="F1837" s="2" t="s">
        <v>81</v>
      </c>
      <c r="G1837" s="2"/>
      <c r="H1837" s="2"/>
      <c r="I1837" s="2" t="s">
        <v>8474</v>
      </c>
    </row>
    <row r="1838" ht="15.75" hidden="1" customHeight="1">
      <c r="A1838" s="9">
        <v>7278953.0</v>
      </c>
      <c r="B1838" s="2" t="s">
        <v>8477</v>
      </c>
      <c r="C1838" s="2" t="s">
        <v>8479</v>
      </c>
      <c r="D1838" s="2" t="s">
        <v>8480</v>
      </c>
      <c r="E1838" s="10" t="s">
        <v>8481</v>
      </c>
      <c r="F1838" s="2" t="s">
        <v>106</v>
      </c>
      <c r="G1838" s="2"/>
      <c r="H1838" s="2"/>
      <c r="I1838" s="2" t="s">
        <v>8479</v>
      </c>
    </row>
    <row r="1839" ht="15.75" hidden="1" customHeight="1">
      <c r="A1839" s="9">
        <v>7278954.0</v>
      </c>
      <c r="B1839" s="2" t="s">
        <v>8482</v>
      </c>
      <c r="C1839" s="2" t="s">
        <v>8483</v>
      </c>
      <c r="D1839" s="2" t="s">
        <v>8484</v>
      </c>
      <c r="E1839" s="10" t="s">
        <v>8485</v>
      </c>
      <c r="F1839" s="2" t="s">
        <v>106</v>
      </c>
      <c r="G1839" s="2"/>
      <c r="H1839" s="2"/>
      <c r="I1839" s="2" t="s">
        <v>8483</v>
      </c>
    </row>
    <row r="1840" ht="15.75" hidden="1" customHeight="1">
      <c r="A1840" s="9">
        <v>7278955.0</v>
      </c>
      <c r="B1840" s="2" t="s">
        <v>1121</v>
      </c>
      <c r="C1840" s="2" t="s">
        <v>8488</v>
      </c>
      <c r="D1840" s="2" t="s">
        <v>1118</v>
      </c>
      <c r="E1840" s="10" t="s">
        <v>1124</v>
      </c>
      <c r="F1840" s="2" t="s">
        <v>57</v>
      </c>
      <c r="G1840" s="2"/>
      <c r="H1840" s="2"/>
      <c r="I1840" s="2" t="s">
        <v>8488</v>
      </c>
    </row>
    <row r="1841" ht="15.75" hidden="1" customHeight="1">
      <c r="A1841" s="9">
        <v>7278956.0</v>
      </c>
      <c r="B1841" s="2" t="s">
        <v>6800</v>
      </c>
      <c r="C1841" s="2" t="s">
        <v>8489</v>
      </c>
      <c r="D1841" s="2" t="s">
        <v>6796</v>
      </c>
      <c r="E1841" s="10" t="s">
        <v>6804</v>
      </c>
      <c r="F1841" s="2" t="s">
        <v>81</v>
      </c>
      <c r="G1841" s="2"/>
      <c r="H1841" s="2"/>
      <c r="I1841" s="2" t="s">
        <v>8489</v>
      </c>
    </row>
    <row r="1842" ht="15.75" hidden="1" customHeight="1">
      <c r="A1842" s="9">
        <v>7278957.0</v>
      </c>
      <c r="B1842" s="2" t="s">
        <v>8490</v>
      </c>
      <c r="C1842" s="2" t="s">
        <v>8491</v>
      </c>
      <c r="D1842" s="2" t="s">
        <v>8492</v>
      </c>
      <c r="E1842" s="10" t="s">
        <v>8493</v>
      </c>
      <c r="F1842" s="2" t="s">
        <v>106</v>
      </c>
      <c r="G1842" s="2"/>
      <c r="H1842" s="2"/>
      <c r="I1842" s="2" t="s">
        <v>8491</v>
      </c>
    </row>
    <row r="1843" ht="15.75" hidden="1" customHeight="1">
      <c r="A1843" s="9">
        <v>7278958.0</v>
      </c>
      <c r="B1843" s="2" t="s">
        <v>8495</v>
      </c>
      <c r="C1843" s="2" t="s">
        <v>8496</v>
      </c>
      <c r="D1843" s="2" t="s">
        <v>8497</v>
      </c>
      <c r="E1843" s="10" t="s">
        <v>8498</v>
      </c>
      <c r="F1843" s="2" t="s">
        <v>81</v>
      </c>
      <c r="G1843" s="2"/>
      <c r="H1843" s="2"/>
      <c r="I1843" s="2" t="s">
        <v>8496</v>
      </c>
    </row>
    <row r="1844" ht="15.75" hidden="1" customHeight="1">
      <c r="A1844" s="9">
        <v>7278959.0</v>
      </c>
      <c r="B1844" s="2" t="s">
        <v>8499</v>
      </c>
      <c r="C1844" s="2" t="s">
        <v>8500</v>
      </c>
      <c r="D1844" s="2" t="s">
        <v>8501</v>
      </c>
      <c r="E1844" s="10" t="s">
        <v>8503</v>
      </c>
      <c r="F1844" s="2" t="s">
        <v>57</v>
      </c>
      <c r="G1844" s="2"/>
      <c r="H1844" s="2"/>
      <c r="I1844" s="2" t="s">
        <v>8500</v>
      </c>
    </row>
    <row r="1845" ht="15.75" hidden="1" customHeight="1">
      <c r="A1845" s="9">
        <v>7278960.0</v>
      </c>
      <c r="B1845" s="2" t="s">
        <v>8504</v>
      </c>
      <c r="C1845" s="2" t="s">
        <v>8505</v>
      </c>
      <c r="D1845" s="2" t="s">
        <v>8506</v>
      </c>
      <c r="E1845" s="10" t="s">
        <v>8507</v>
      </c>
      <c r="F1845" s="2" t="s">
        <v>231</v>
      </c>
      <c r="G1845" s="2"/>
      <c r="H1845" s="2"/>
      <c r="I1845" s="2" t="s">
        <v>8505</v>
      </c>
    </row>
    <row r="1846" ht="15.75" hidden="1" customHeight="1">
      <c r="A1846" s="9">
        <v>7278961.0</v>
      </c>
      <c r="B1846" s="2" t="s">
        <v>8508</v>
      </c>
      <c r="C1846" s="2" t="s">
        <v>8509</v>
      </c>
      <c r="D1846" s="2" t="s">
        <v>8510</v>
      </c>
      <c r="E1846" s="10" t="s">
        <v>8511</v>
      </c>
      <c r="F1846" s="2" t="s">
        <v>81</v>
      </c>
      <c r="G1846" s="2"/>
      <c r="H1846" s="2"/>
      <c r="I1846" s="2" t="s">
        <v>8509</v>
      </c>
    </row>
    <row r="1847" ht="15.75" hidden="1" customHeight="1">
      <c r="A1847" s="9">
        <v>7278962.0</v>
      </c>
      <c r="B1847" s="2" t="s">
        <v>8512</v>
      </c>
      <c r="C1847" s="2" t="s">
        <v>8513</v>
      </c>
      <c r="D1847" s="2" t="s">
        <v>8514</v>
      </c>
      <c r="E1847" s="10" t="s">
        <v>8516</v>
      </c>
      <c r="F1847" s="2" t="s">
        <v>3118</v>
      </c>
      <c r="G1847" s="2"/>
      <c r="H1847" s="2"/>
      <c r="I1847" s="2" t="s">
        <v>8513</v>
      </c>
    </row>
    <row r="1848" ht="15.75" hidden="1" customHeight="1">
      <c r="A1848" s="9">
        <v>7278963.0</v>
      </c>
      <c r="B1848" s="2" t="s">
        <v>1598</v>
      </c>
      <c r="C1848" s="2" t="s">
        <v>8517</v>
      </c>
      <c r="D1848" s="2" t="s">
        <v>1595</v>
      </c>
      <c r="E1848" s="10" t="s">
        <v>1600</v>
      </c>
      <c r="F1848" s="2" t="s">
        <v>1607</v>
      </c>
      <c r="G1848" s="2"/>
      <c r="H1848" s="2"/>
      <c r="I1848" s="2" t="s">
        <v>8517</v>
      </c>
    </row>
    <row r="1849" ht="15.75" hidden="1" customHeight="1">
      <c r="A1849" s="9">
        <v>7278964.0</v>
      </c>
      <c r="B1849" s="2" t="s">
        <v>8519</v>
      </c>
      <c r="C1849" s="2" t="s">
        <v>8520</v>
      </c>
      <c r="D1849" s="2" t="s">
        <v>8521</v>
      </c>
      <c r="E1849" s="10" t="s">
        <v>8522</v>
      </c>
      <c r="F1849" s="2" t="s">
        <v>1607</v>
      </c>
      <c r="G1849" s="2"/>
      <c r="H1849" s="2"/>
      <c r="I1849" s="2" t="s">
        <v>8520</v>
      </c>
    </row>
    <row r="1850" ht="15.75" hidden="1" customHeight="1">
      <c r="A1850" s="9">
        <v>7278965.0</v>
      </c>
      <c r="B1850" s="2" t="s">
        <v>5284</v>
      </c>
      <c r="C1850" s="2" t="s">
        <v>8523</v>
      </c>
      <c r="D1850" s="2" t="s">
        <v>5283</v>
      </c>
      <c r="E1850" s="10" t="s">
        <v>5287</v>
      </c>
      <c r="F1850" s="2" t="s">
        <v>1607</v>
      </c>
      <c r="G1850" s="2"/>
      <c r="H1850" s="2"/>
      <c r="I1850" s="2" t="s">
        <v>8523</v>
      </c>
    </row>
    <row r="1851" ht="15.75" hidden="1" customHeight="1">
      <c r="A1851" s="9">
        <v>7278966.0</v>
      </c>
      <c r="B1851" s="2" t="s">
        <v>8524</v>
      </c>
      <c r="C1851" s="2" t="s">
        <v>8525</v>
      </c>
      <c r="D1851" s="2" t="s">
        <v>8526</v>
      </c>
      <c r="E1851" s="10" t="s">
        <v>8527</v>
      </c>
      <c r="F1851" s="2" t="s">
        <v>1607</v>
      </c>
      <c r="G1851" s="2"/>
      <c r="H1851" s="2"/>
      <c r="I1851" s="2" t="s">
        <v>8525</v>
      </c>
    </row>
    <row r="1852" ht="15.75" hidden="1" customHeight="1">
      <c r="A1852" s="9">
        <v>7278967.0</v>
      </c>
      <c r="B1852" s="2" t="s">
        <v>8529</v>
      </c>
      <c r="C1852" s="2" t="s">
        <v>8530</v>
      </c>
      <c r="D1852" s="2" t="s">
        <v>8531</v>
      </c>
      <c r="E1852" s="10" t="s">
        <v>8532</v>
      </c>
      <c r="F1852" s="2" t="s">
        <v>1607</v>
      </c>
      <c r="G1852" s="2"/>
      <c r="H1852" s="2"/>
      <c r="I1852" s="2" t="s">
        <v>8530</v>
      </c>
    </row>
    <row r="1853" ht="15.75" hidden="1" customHeight="1">
      <c r="A1853" s="9">
        <v>7278968.0</v>
      </c>
      <c r="B1853" s="2" t="s">
        <v>8534</v>
      </c>
      <c r="C1853" s="2" t="s">
        <v>8535</v>
      </c>
      <c r="D1853" s="2" t="s">
        <v>8536</v>
      </c>
      <c r="E1853" s="10" t="s">
        <v>8537</v>
      </c>
      <c r="F1853" s="2" t="s">
        <v>1607</v>
      </c>
      <c r="G1853" s="2"/>
      <c r="H1853" s="2"/>
      <c r="I1853" s="2" t="s">
        <v>8535</v>
      </c>
    </row>
    <row r="1854" ht="15.75" hidden="1" customHeight="1">
      <c r="A1854" s="9">
        <v>7278969.0</v>
      </c>
      <c r="B1854" s="2" t="s">
        <v>8538</v>
      </c>
      <c r="C1854" s="2" t="s">
        <v>8539</v>
      </c>
      <c r="D1854" s="2" t="s">
        <v>8540</v>
      </c>
      <c r="E1854" s="10" t="s">
        <v>8541</v>
      </c>
      <c r="F1854" s="2" t="s">
        <v>1303</v>
      </c>
      <c r="G1854" s="2"/>
      <c r="H1854" s="2"/>
      <c r="I1854" s="2" t="s">
        <v>8539</v>
      </c>
    </row>
    <row r="1855" ht="15.75" hidden="1" customHeight="1">
      <c r="A1855" s="9">
        <v>7278970.0</v>
      </c>
      <c r="B1855" s="2" t="s">
        <v>8542</v>
      </c>
      <c r="C1855" s="2" t="s">
        <v>8543</v>
      </c>
      <c r="D1855" s="2" t="s">
        <v>8544</v>
      </c>
      <c r="E1855" s="10" t="s">
        <v>8545</v>
      </c>
      <c r="F1855" s="2" t="s">
        <v>1607</v>
      </c>
      <c r="G1855" s="2"/>
      <c r="H1855" s="2"/>
      <c r="I1855" s="2" t="s">
        <v>8543</v>
      </c>
    </row>
    <row r="1856" ht="15.75" hidden="1" customHeight="1">
      <c r="A1856" s="9">
        <v>7278971.0</v>
      </c>
      <c r="B1856" s="2" t="s">
        <v>8548</v>
      </c>
      <c r="C1856" s="2" t="s">
        <v>8549</v>
      </c>
      <c r="D1856" s="2" t="s">
        <v>8550</v>
      </c>
      <c r="E1856" s="10" t="s">
        <v>8551</v>
      </c>
      <c r="F1856" s="2" t="s">
        <v>1607</v>
      </c>
      <c r="G1856" s="2"/>
      <c r="H1856" s="2"/>
      <c r="I1856" s="2" t="s">
        <v>8549</v>
      </c>
    </row>
    <row r="1857" ht="15.75" hidden="1" customHeight="1">
      <c r="A1857" s="9">
        <v>7278972.0</v>
      </c>
      <c r="B1857" s="2" t="s">
        <v>8553</v>
      </c>
      <c r="C1857" s="2" t="s">
        <v>8554</v>
      </c>
      <c r="D1857" s="2" t="s">
        <v>8555</v>
      </c>
      <c r="E1857" s="10" t="s">
        <v>8556</v>
      </c>
      <c r="F1857" s="2" t="s">
        <v>1607</v>
      </c>
      <c r="G1857" s="2"/>
      <c r="H1857" s="2"/>
      <c r="I1857" s="2" t="s">
        <v>8554</v>
      </c>
    </row>
    <row r="1858" ht="15.75" hidden="1" customHeight="1">
      <c r="A1858" s="9">
        <v>7278973.0</v>
      </c>
      <c r="B1858" s="2" t="s">
        <v>8557</v>
      </c>
      <c r="C1858" s="2" t="s">
        <v>8558</v>
      </c>
      <c r="D1858" s="2" t="s">
        <v>8559</v>
      </c>
      <c r="E1858" s="10" t="s">
        <v>8560</v>
      </c>
      <c r="F1858" s="2" t="s">
        <v>1607</v>
      </c>
      <c r="G1858" s="2"/>
      <c r="H1858" s="2"/>
      <c r="I1858" s="2" t="s">
        <v>8558</v>
      </c>
    </row>
    <row r="1859" ht="15.75" hidden="1" customHeight="1">
      <c r="A1859" s="9">
        <v>7278974.0</v>
      </c>
      <c r="B1859" s="2" t="s">
        <v>8561</v>
      </c>
      <c r="C1859" s="2" t="s">
        <v>8562</v>
      </c>
      <c r="D1859" s="2" t="s">
        <v>8563</v>
      </c>
      <c r="E1859" s="10" t="s">
        <v>8564</v>
      </c>
      <c r="F1859" s="2" t="s">
        <v>1607</v>
      </c>
      <c r="G1859" s="2"/>
      <c r="H1859" s="2"/>
      <c r="I1859" s="2" t="s">
        <v>8562</v>
      </c>
    </row>
    <row r="1860" ht="15.75" hidden="1" customHeight="1">
      <c r="A1860" s="9">
        <v>7278975.0</v>
      </c>
      <c r="B1860" s="2" t="s">
        <v>8565</v>
      </c>
      <c r="C1860" s="2" t="s">
        <v>8566</v>
      </c>
      <c r="D1860" s="2" t="s">
        <v>8567</v>
      </c>
      <c r="E1860" s="10" t="s">
        <v>8568</v>
      </c>
      <c r="F1860" s="2" t="s">
        <v>1607</v>
      </c>
      <c r="G1860" s="2"/>
      <c r="H1860" s="2"/>
      <c r="I1860" s="2" t="s">
        <v>8566</v>
      </c>
    </row>
    <row r="1861" ht="15.75" hidden="1" customHeight="1">
      <c r="A1861" s="9">
        <v>7278976.0</v>
      </c>
      <c r="B1861" s="2" t="s">
        <v>3494</v>
      </c>
      <c r="C1861" s="2" t="s">
        <v>8570</v>
      </c>
      <c r="D1861" s="2" t="s">
        <v>3490</v>
      </c>
      <c r="E1861" s="10" t="s">
        <v>3495</v>
      </c>
      <c r="F1861" s="2" t="s">
        <v>1607</v>
      </c>
      <c r="G1861" s="2"/>
      <c r="H1861" s="2"/>
      <c r="I1861" s="2" t="s">
        <v>8570</v>
      </c>
    </row>
    <row r="1862" ht="15.75" hidden="1" customHeight="1">
      <c r="A1862" s="9">
        <v>7278977.0</v>
      </c>
      <c r="B1862" s="2" t="s">
        <v>8572</v>
      </c>
      <c r="C1862" s="2" t="s">
        <v>8573</v>
      </c>
      <c r="D1862" s="2" t="s">
        <v>8574</v>
      </c>
      <c r="E1862" s="10" t="s">
        <v>8575</v>
      </c>
      <c r="F1862" s="2" t="s">
        <v>1607</v>
      </c>
      <c r="G1862" s="2"/>
      <c r="H1862" s="2"/>
      <c r="I1862" s="2" t="s">
        <v>8573</v>
      </c>
    </row>
    <row r="1863" ht="15.75" hidden="1" customHeight="1">
      <c r="A1863" s="9">
        <v>7278978.0</v>
      </c>
      <c r="B1863" s="2" t="s">
        <v>8576</v>
      </c>
      <c r="C1863" s="2" t="s">
        <v>8577</v>
      </c>
      <c r="D1863" s="2" t="s">
        <v>8578</v>
      </c>
      <c r="E1863" s="10" t="s">
        <v>8579</v>
      </c>
      <c r="F1863" s="2" t="s">
        <v>1607</v>
      </c>
      <c r="G1863" s="2"/>
      <c r="H1863" s="2"/>
      <c r="I1863" s="2" t="s">
        <v>8577</v>
      </c>
    </row>
    <row r="1864" ht="15.75" hidden="1" customHeight="1">
      <c r="A1864" s="9">
        <v>7278979.0</v>
      </c>
      <c r="B1864" s="2" t="s">
        <v>6411</v>
      </c>
      <c r="C1864" s="2" t="s">
        <v>8580</v>
      </c>
      <c r="D1864" s="2" t="s">
        <v>6406</v>
      </c>
      <c r="E1864" s="10" t="s">
        <v>6413</v>
      </c>
      <c r="F1864" s="2" t="s">
        <v>100</v>
      </c>
      <c r="G1864" s="2"/>
      <c r="H1864" s="2"/>
      <c r="I1864" s="2" t="s">
        <v>8580</v>
      </c>
    </row>
    <row r="1865" ht="15.75" hidden="1" customHeight="1">
      <c r="A1865" s="9">
        <v>7278980.0</v>
      </c>
      <c r="B1865" s="2" t="s">
        <v>8582</v>
      </c>
      <c r="C1865" s="2" t="s">
        <v>8583</v>
      </c>
      <c r="D1865" s="2" t="s">
        <v>8584</v>
      </c>
      <c r="E1865" s="10" t="s">
        <v>8585</v>
      </c>
      <c r="F1865" s="2" t="s">
        <v>100</v>
      </c>
      <c r="G1865" s="2"/>
      <c r="H1865" s="2"/>
      <c r="I1865" s="2" t="s">
        <v>8583</v>
      </c>
    </row>
    <row r="1866" ht="15.75" hidden="1" customHeight="1">
      <c r="A1866" s="9">
        <v>7278981.0</v>
      </c>
      <c r="B1866" s="2" t="s">
        <v>8587</v>
      </c>
      <c r="C1866" s="2" t="s">
        <v>8588</v>
      </c>
      <c r="D1866" s="2" t="s">
        <v>8589</v>
      </c>
      <c r="E1866" s="10" t="s">
        <v>8590</v>
      </c>
      <c r="F1866" s="2" t="s">
        <v>100</v>
      </c>
      <c r="G1866" s="2"/>
      <c r="H1866" s="2"/>
      <c r="I1866" s="2" t="s">
        <v>8588</v>
      </c>
    </row>
    <row r="1867" ht="15.75" hidden="1" customHeight="1">
      <c r="A1867" s="9">
        <v>7278982.0</v>
      </c>
      <c r="B1867" s="2" t="s">
        <v>92</v>
      </c>
      <c r="C1867" s="2" t="s">
        <v>8591</v>
      </c>
      <c r="D1867" s="2" t="s">
        <v>87</v>
      </c>
      <c r="E1867" s="10" t="s">
        <v>95</v>
      </c>
      <c r="F1867" s="2" t="s">
        <v>100</v>
      </c>
      <c r="G1867" s="2"/>
      <c r="H1867" s="2"/>
      <c r="I1867" s="2" t="s">
        <v>8591</v>
      </c>
    </row>
    <row r="1868" ht="15.75" hidden="1" customHeight="1">
      <c r="A1868" s="9">
        <v>7278983.0</v>
      </c>
      <c r="B1868" s="2" t="s">
        <v>8593</v>
      </c>
      <c r="C1868" s="2" t="s">
        <v>8594</v>
      </c>
      <c r="D1868" s="2" t="s">
        <v>8595</v>
      </c>
      <c r="E1868" s="10" t="s">
        <v>8596</v>
      </c>
      <c r="F1868" s="2" t="s">
        <v>100</v>
      </c>
      <c r="G1868" s="2"/>
      <c r="H1868" s="2"/>
      <c r="I1868" s="2" t="s">
        <v>8594</v>
      </c>
    </row>
    <row r="1869" ht="15.75" hidden="1" customHeight="1">
      <c r="A1869" s="9">
        <v>7278984.0</v>
      </c>
      <c r="B1869" s="2" t="s">
        <v>8598</v>
      </c>
      <c r="C1869" s="2" t="s">
        <v>8599</v>
      </c>
      <c r="D1869" s="2" t="s">
        <v>8600</v>
      </c>
      <c r="E1869" s="10" t="s">
        <v>8601</v>
      </c>
      <c r="F1869" s="2" t="s">
        <v>100</v>
      </c>
      <c r="G1869" s="2"/>
      <c r="H1869" s="2"/>
      <c r="I1869" s="2" t="s">
        <v>8599</v>
      </c>
    </row>
    <row r="1870" ht="15.75" hidden="1" customHeight="1">
      <c r="A1870" s="9">
        <v>7278985.0</v>
      </c>
      <c r="B1870" s="2" t="s">
        <v>8603</v>
      </c>
      <c r="C1870" s="2" t="s">
        <v>8604</v>
      </c>
      <c r="D1870" s="2" t="s">
        <v>8605</v>
      </c>
      <c r="E1870" s="10" t="s">
        <v>8606</v>
      </c>
      <c r="F1870" s="2" t="s">
        <v>100</v>
      </c>
      <c r="G1870" s="2"/>
      <c r="H1870" s="2"/>
      <c r="I1870" s="2" t="s">
        <v>8604</v>
      </c>
    </row>
    <row r="1871" ht="15.75" hidden="1" customHeight="1">
      <c r="A1871" s="9">
        <v>7278986.0</v>
      </c>
      <c r="B1871" s="2" t="s">
        <v>3212</v>
      </c>
      <c r="C1871" s="2" t="s">
        <v>8607</v>
      </c>
      <c r="D1871" s="2" t="s">
        <v>3210</v>
      </c>
      <c r="E1871" s="10" t="s">
        <v>3214</v>
      </c>
      <c r="F1871" s="2" t="s">
        <v>100</v>
      </c>
      <c r="G1871" s="2"/>
      <c r="H1871" s="2"/>
      <c r="I1871" s="2" t="s">
        <v>8607</v>
      </c>
    </row>
    <row r="1872" ht="15.75" hidden="1" customHeight="1">
      <c r="A1872" s="9">
        <v>7278987.0</v>
      </c>
      <c r="B1872" s="2" t="s">
        <v>8609</v>
      </c>
      <c r="C1872" s="2" t="s">
        <v>8610</v>
      </c>
      <c r="D1872" s="2" t="s">
        <v>8611</v>
      </c>
      <c r="E1872" s="10" t="s">
        <v>8612</v>
      </c>
      <c r="F1872" s="2" t="s">
        <v>100</v>
      </c>
      <c r="G1872" s="2"/>
      <c r="H1872" s="2"/>
      <c r="I1872" s="2" t="s">
        <v>8610</v>
      </c>
    </row>
    <row r="1873" ht="15.75" hidden="1" customHeight="1">
      <c r="A1873" s="9">
        <v>7278988.0</v>
      </c>
      <c r="B1873" s="2" t="s">
        <v>8614</v>
      </c>
      <c r="C1873" s="2" t="s">
        <v>8615</v>
      </c>
      <c r="D1873" s="2" t="s">
        <v>8616</v>
      </c>
      <c r="E1873" s="10" t="s">
        <v>8617</v>
      </c>
      <c r="F1873" s="2" t="s">
        <v>100</v>
      </c>
      <c r="G1873" s="2"/>
      <c r="H1873" s="2"/>
      <c r="I1873" s="2" t="s">
        <v>8615</v>
      </c>
    </row>
    <row r="1874" ht="15.75" hidden="1" customHeight="1">
      <c r="A1874" s="9">
        <v>7278989.0</v>
      </c>
      <c r="B1874" s="2" t="s">
        <v>8618</v>
      </c>
      <c r="C1874" s="2" t="s">
        <v>8619</v>
      </c>
      <c r="D1874" s="2" t="s">
        <v>8620</v>
      </c>
      <c r="E1874" s="10" t="s">
        <v>8621</v>
      </c>
      <c r="F1874" s="2" t="s">
        <v>100</v>
      </c>
      <c r="G1874" s="2"/>
      <c r="H1874" s="2"/>
      <c r="I1874" s="2" t="s">
        <v>8619</v>
      </c>
    </row>
    <row r="1875" ht="15.75" hidden="1" customHeight="1">
      <c r="A1875" s="9">
        <v>7278990.0</v>
      </c>
      <c r="B1875" s="2" t="s">
        <v>8272</v>
      </c>
      <c r="C1875" s="2" t="s">
        <v>8622</v>
      </c>
      <c r="D1875" s="2" t="s">
        <v>8268</v>
      </c>
      <c r="E1875" s="10" t="s">
        <v>8275</v>
      </c>
      <c r="F1875" s="2" t="s">
        <v>100</v>
      </c>
      <c r="G1875" s="2"/>
      <c r="H1875" s="2"/>
      <c r="I1875" s="2" t="s">
        <v>8622</v>
      </c>
    </row>
    <row r="1876" ht="15.75" hidden="1" customHeight="1">
      <c r="A1876" s="9">
        <v>7278991.0</v>
      </c>
      <c r="B1876" s="2" t="s">
        <v>8623</v>
      </c>
      <c r="C1876" s="2" t="s">
        <v>8624</v>
      </c>
      <c r="D1876" s="2" t="s">
        <v>8626</v>
      </c>
      <c r="E1876" s="10" t="s">
        <v>8627</v>
      </c>
      <c r="F1876" s="2" t="s">
        <v>100</v>
      </c>
      <c r="G1876" s="2"/>
      <c r="H1876" s="2"/>
      <c r="I1876" s="2" t="s">
        <v>8624</v>
      </c>
    </row>
    <row r="1877" ht="15.75" hidden="1" customHeight="1">
      <c r="A1877" s="9">
        <v>7278992.0</v>
      </c>
      <c r="B1877" s="2" t="s">
        <v>8628</v>
      </c>
      <c r="C1877" s="2" t="s">
        <v>8629</v>
      </c>
      <c r="D1877" s="2" t="s">
        <v>8630</v>
      </c>
      <c r="E1877" s="10" t="s">
        <v>8632</v>
      </c>
      <c r="F1877" s="2" t="s">
        <v>100</v>
      </c>
      <c r="G1877" s="2"/>
      <c r="H1877" s="2"/>
      <c r="I1877" s="2" t="s">
        <v>8629</v>
      </c>
    </row>
    <row r="1878" ht="15.75" hidden="1" customHeight="1">
      <c r="A1878" s="9">
        <v>7278993.0</v>
      </c>
      <c r="B1878" s="2" t="s">
        <v>8633</v>
      </c>
      <c r="C1878" s="2" t="s">
        <v>8634</v>
      </c>
      <c r="D1878" s="2" t="s">
        <v>8635</v>
      </c>
      <c r="E1878" s="10" t="s">
        <v>8636</v>
      </c>
      <c r="F1878" s="2" t="s">
        <v>100</v>
      </c>
      <c r="G1878" s="2"/>
      <c r="H1878" s="2"/>
      <c r="I1878" s="2" t="s">
        <v>8634</v>
      </c>
    </row>
    <row r="1879" ht="15.75" hidden="1" customHeight="1">
      <c r="A1879" s="9">
        <v>7278994.0</v>
      </c>
      <c r="B1879" s="2" t="s">
        <v>3096</v>
      </c>
      <c r="C1879" s="2" t="s">
        <v>8637</v>
      </c>
      <c r="D1879" s="2" t="s">
        <v>3092</v>
      </c>
      <c r="E1879" s="10" t="s">
        <v>3097</v>
      </c>
      <c r="F1879" s="2" t="s">
        <v>100</v>
      </c>
      <c r="G1879" s="2"/>
      <c r="H1879" s="2"/>
      <c r="I1879" s="2" t="s">
        <v>8637</v>
      </c>
    </row>
    <row r="1880" ht="15.75" hidden="1" customHeight="1">
      <c r="A1880" s="9">
        <v>7278995.0</v>
      </c>
      <c r="B1880" s="2" t="s">
        <v>8638</v>
      </c>
      <c r="C1880" s="2" t="s">
        <v>8639</v>
      </c>
      <c r="D1880" s="2" t="s">
        <v>8640</v>
      </c>
      <c r="E1880" s="10" t="s">
        <v>8641</v>
      </c>
      <c r="F1880" s="2" t="s">
        <v>100</v>
      </c>
      <c r="G1880" s="2"/>
      <c r="H1880" s="2"/>
      <c r="I1880" s="2" t="s">
        <v>8639</v>
      </c>
    </row>
    <row r="1881" ht="15.75" hidden="1" customHeight="1">
      <c r="A1881" s="9">
        <v>7278996.0</v>
      </c>
      <c r="B1881" s="2" t="s">
        <v>8643</v>
      </c>
      <c r="C1881" s="2" t="s">
        <v>8644</v>
      </c>
      <c r="D1881" s="2" t="s">
        <v>8645</v>
      </c>
      <c r="E1881" s="10" t="s">
        <v>8646</v>
      </c>
      <c r="F1881" s="2" t="s">
        <v>100</v>
      </c>
      <c r="G1881" s="2"/>
      <c r="H1881" s="2"/>
      <c r="I1881" s="2" t="s">
        <v>8644</v>
      </c>
    </row>
    <row r="1882" ht="15.75" hidden="1" customHeight="1">
      <c r="A1882" s="9">
        <v>7278997.0</v>
      </c>
      <c r="B1882" s="2" t="s">
        <v>8648</v>
      </c>
      <c r="C1882" s="2" t="s">
        <v>8649</v>
      </c>
      <c r="D1882" s="2" t="s">
        <v>8650</v>
      </c>
      <c r="E1882" s="10" t="s">
        <v>8651</v>
      </c>
      <c r="F1882" s="2" t="s">
        <v>100</v>
      </c>
      <c r="G1882" s="2"/>
      <c r="H1882" s="2"/>
      <c r="I1882" s="2" t="s">
        <v>8649</v>
      </c>
    </row>
    <row r="1883" ht="15.75" hidden="1" customHeight="1">
      <c r="A1883" s="9">
        <v>7278998.0</v>
      </c>
      <c r="B1883" s="2" t="s">
        <v>1575</v>
      </c>
      <c r="C1883" s="2" t="s">
        <v>8652</v>
      </c>
      <c r="D1883" s="2" t="s">
        <v>1572</v>
      </c>
      <c r="E1883" s="10" t="s">
        <v>1578</v>
      </c>
      <c r="F1883" s="2" t="s">
        <v>100</v>
      </c>
      <c r="G1883" s="2"/>
      <c r="H1883" s="2"/>
      <c r="I1883" s="2" t="s">
        <v>8652</v>
      </c>
    </row>
    <row r="1884" ht="15.75" hidden="1" customHeight="1">
      <c r="A1884" s="9">
        <v>7278999.0</v>
      </c>
      <c r="B1884" s="2" t="s">
        <v>8653</v>
      </c>
      <c r="C1884" s="2" t="s">
        <v>8654</v>
      </c>
      <c r="D1884" s="2" t="s">
        <v>8655</v>
      </c>
      <c r="E1884" s="10" t="s">
        <v>8656</v>
      </c>
      <c r="F1884" s="2" t="s">
        <v>100</v>
      </c>
      <c r="G1884" s="2"/>
      <c r="H1884" s="2"/>
      <c r="I1884" s="2" t="s">
        <v>8654</v>
      </c>
    </row>
    <row r="1885" ht="15.75" hidden="1" customHeight="1">
      <c r="A1885" s="9">
        <v>7279000.0</v>
      </c>
      <c r="B1885" s="2" t="s">
        <v>8658</v>
      </c>
      <c r="C1885" s="2" t="s">
        <v>8659</v>
      </c>
      <c r="D1885" s="2" t="s">
        <v>8660</v>
      </c>
      <c r="E1885" s="10" t="s">
        <v>8661</v>
      </c>
      <c r="F1885" s="2" t="s">
        <v>100</v>
      </c>
      <c r="G1885" s="2"/>
      <c r="H1885" s="2"/>
      <c r="I1885" s="2" t="s">
        <v>8659</v>
      </c>
    </row>
    <row r="1886" ht="15.75" hidden="1" customHeight="1">
      <c r="A1886" s="9">
        <v>7279001.0</v>
      </c>
      <c r="B1886" s="2" t="s">
        <v>8662</v>
      </c>
      <c r="C1886" s="2" t="s">
        <v>8663</v>
      </c>
      <c r="D1886" s="2" t="s">
        <v>8665</v>
      </c>
      <c r="E1886" s="10" t="s">
        <v>8667</v>
      </c>
      <c r="F1886" s="2" t="s">
        <v>1303</v>
      </c>
      <c r="G1886" s="2"/>
      <c r="H1886" s="2"/>
      <c r="I1886" s="2" t="s">
        <v>8663</v>
      </c>
    </row>
    <row r="1887" ht="15.75" hidden="1" customHeight="1">
      <c r="A1887" s="9">
        <v>7279002.0</v>
      </c>
      <c r="B1887" s="2" t="s">
        <v>8668</v>
      </c>
      <c r="C1887" s="2" t="s">
        <v>8669</v>
      </c>
      <c r="D1887" s="2" t="s">
        <v>8670</v>
      </c>
      <c r="E1887" s="10" t="s">
        <v>8671</v>
      </c>
      <c r="F1887" s="2" t="s">
        <v>1303</v>
      </c>
      <c r="G1887" s="2"/>
      <c r="H1887" s="2"/>
      <c r="I1887" s="2" t="s">
        <v>8669</v>
      </c>
    </row>
    <row r="1888" ht="15.75" hidden="1" customHeight="1">
      <c r="A1888" s="9">
        <v>7279003.0</v>
      </c>
      <c r="B1888" s="2" t="s">
        <v>8672</v>
      </c>
      <c r="C1888" s="2" t="s">
        <v>8673</v>
      </c>
      <c r="D1888" s="2" t="s">
        <v>8674</v>
      </c>
      <c r="E1888" s="10" t="s">
        <v>8675</v>
      </c>
      <c r="F1888" s="2" t="s">
        <v>1303</v>
      </c>
      <c r="G1888" s="2"/>
      <c r="H1888" s="2"/>
      <c r="I1888" s="2" t="s">
        <v>8673</v>
      </c>
    </row>
    <row r="1889" ht="15.75" hidden="1" customHeight="1">
      <c r="A1889" s="9">
        <v>7279004.0</v>
      </c>
      <c r="B1889" s="2" t="s">
        <v>8677</v>
      </c>
      <c r="C1889" s="2" t="s">
        <v>8678</v>
      </c>
      <c r="D1889" s="2" t="s">
        <v>8679</v>
      </c>
      <c r="E1889" s="10" t="s">
        <v>8680</v>
      </c>
      <c r="F1889" s="2" t="s">
        <v>1303</v>
      </c>
      <c r="G1889" s="2"/>
      <c r="H1889" s="2"/>
      <c r="I1889" s="2" t="s">
        <v>8678</v>
      </c>
    </row>
    <row r="1890" ht="15.75" hidden="1" customHeight="1">
      <c r="A1890" s="9">
        <v>7279005.0</v>
      </c>
      <c r="B1890" s="2" t="s">
        <v>8682</v>
      </c>
      <c r="C1890" s="2" t="s">
        <v>8683</v>
      </c>
      <c r="D1890" s="2" t="s">
        <v>8684</v>
      </c>
      <c r="E1890" s="10" t="s">
        <v>8685</v>
      </c>
      <c r="F1890" s="2" t="s">
        <v>1303</v>
      </c>
      <c r="G1890" s="2"/>
      <c r="H1890" s="2"/>
      <c r="I1890" s="2" t="s">
        <v>8683</v>
      </c>
    </row>
    <row r="1891" ht="15.75" hidden="1" customHeight="1">
      <c r="A1891" s="9">
        <v>7279006.0</v>
      </c>
      <c r="B1891" s="2" t="s">
        <v>8686</v>
      </c>
      <c r="C1891" s="2" t="s">
        <v>8687</v>
      </c>
      <c r="D1891" s="2" t="s">
        <v>8688</v>
      </c>
      <c r="E1891" s="10" t="s">
        <v>8689</v>
      </c>
      <c r="F1891" s="2" t="s">
        <v>1303</v>
      </c>
      <c r="G1891" s="2"/>
      <c r="H1891" s="2"/>
      <c r="I1891" s="2" t="s">
        <v>8687</v>
      </c>
    </row>
    <row r="1892" ht="15.75" hidden="1" customHeight="1">
      <c r="A1892" s="9">
        <v>7279007.0</v>
      </c>
      <c r="B1892" s="2" t="s">
        <v>8690</v>
      </c>
      <c r="C1892" s="2" t="s">
        <v>8691</v>
      </c>
      <c r="D1892" s="2" t="s">
        <v>8692</v>
      </c>
      <c r="E1892" s="10" t="s">
        <v>8693</v>
      </c>
      <c r="F1892" s="2" t="s">
        <v>1303</v>
      </c>
      <c r="G1892" s="2"/>
      <c r="H1892" s="2"/>
      <c r="I1892" s="2" t="s">
        <v>8691</v>
      </c>
    </row>
    <row r="1893" ht="15.75" hidden="1" customHeight="1">
      <c r="A1893" s="9">
        <v>7279008.0</v>
      </c>
      <c r="B1893" s="2" t="s">
        <v>8694</v>
      </c>
      <c r="C1893" s="2" t="s">
        <v>8695</v>
      </c>
      <c r="D1893" s="2" t="s">
        <v>8696</v>
      </c>
      <c r="E1893" s="10" t="s">
        <v>8697</v>
      </c>
      <c r="F1893" s="2" t="s">
        <v>1303</v>
      </c>
      <c r="G1893" s="2"/>
      <c r="H1893" s="2"/>
      <c r="I1893" s="2" t="s">
        <v>8695</v>
      </c>
    </row>
    <row r="1894" ht="15.75" hidden="1" customHeight="1">
      <c r="A1894" s="9">
        <v>7279009.0</v>
      </c>
      <c r="B1894" s="2" t="s">
        <v>8699</v>
      </c>
      <c r="C1894" s="2" t="s">
        <v>8700</v>
      </c>
      <c r="D1894" s="2" t="s">
        <v>8701</v>
      </c>
      <c r="E1894" s="10" t="s">
        <v>8702</v>
      </c>
      <c r="F1894" s="2" t="s">
        <v>1303</v>
      </c>
      <c r="G1894" s="2"/>
      <c r="H1894" s="2"/>
      <c r="I1894" s="2" t="s">
        <v>8700</v>
      </c>
    </row>
    <row r="1895" ht="15.75" hidden="1" customHeight="1">
      <c r="A1895" s="9">
        <v>7279010.0</v>
      </c>
      <c r="B1895" s="2" t="s">
        <v>3828</v>
      </c>
      <c r="C1895" s="2" t="s">
        <v>8704</v>
      </c>
      <c r="D1895" s="2" t="s">
        <v>3827</v>
      </c>
      <c r="E1895" s="10" t="s">
        <v>3831</v>
      </c>
      <c r="F1895" s="2" t="s">
        <v>3118</v>
      </c>
      <c r="G1895" s="2"/>
      <c r="H1895" s="2"/>
      <c r="I1895" s="2" t="s">
        <v>8704</v>
      </c>
    </row>
    <row r="1896" ht="15.75" hidden="1" customHeight="1">
      <c r="A1896" s="9">
        <v>7279011.0</v>
      </c>
      <c r="B1896" s="2" t="s">
        <v>3107</v>
      </c>
      <c r="C1896" s="2" t="s">
        <v>8705</v>
      </c>
      <c r="D1896" s="2" t="s">
        <v>3106</v>
      </c>
      <c r="E1896" s="10" t="s">
        <v>3112</v>
      </c>
      <c r="F1896" s="2" t="s">
        <v>3118</v>
      </c>
      <c r="G1896" s="2"/>
      <c r="H1896" s="2"/>
      <c r="I1896" s="2" t="s">
        <v>8705</v>
      </c>
    </row>
    <row r="1897" ht="15.75" hidden="1" customHeight="1">
      <c r="A1897" s="9">
        <v>7279012.0</v>
      </c>
      <c r="B1897" s="2" t="s">
        <v>8707</v>
      </c>
      <c r="C1897" s="2" t="s">
        <v>8709</v>
      </c>
      <c r="D1897" s="2" t="s">
        <v>8710</v>
      </c>
      <c r="E1897" s="10" t="s">
        <v>8711</v>
      </c>
      <c r="F1897" s="2" t="s">
        <v>3118</v>
      </c>
      <c r="G1897" s="2"/>
      <c r="H1897" s="2"/>
      <c r="I1897" s="2" t="s">
        <v>8709</v>
      </c>
    </row>
    <row r="1898" ht="15.75" hidden="1" customHeight="1">
      <c r="A1898" s="9">
        <v>7279013.0</v>
      </c>
      <c r="B1898" s="2" t="s">
        <v>93</v>
      </c>
      <c r="C1898" s="2" t="s">
        <v>8713</v>
      </c>
      <c r="D1898" s="2" t="s">
        <v>8714</v>
      </c>
      <c r="E1898" s="10" t="s">
        <v>8715</v>
      </c>
      <c r="F1898" s="2" t="s">
        <v>3118</v>
      </c>
      <c r="G1898" s="2"/>
      <c r="H1898" s="2"/>
      <c r="I1898" s="2" t="s">
        <v>8713</v>
      </c>
    </row>
    <row r="1899" ht="15.75" hidden="1" customHeight="1">
      <c r="A1899" s="9">
        <v>7279014.0</v>
      </c>
      <c r="B1899" s="2" t="s">
        <v>8716</v>
      </c>
      <c r="C1899" s="2" t="s">
        <v>8717</v>
      </c>
      <c r="D1899" s="2" t="s">
        <v>8718</v>
      </c>
      <c r="E1899" s="10" t="s">
        <v>8719</v>
      </c>
      <c r="F1899" s="2" t="s">
        <v>3118</v>
      </c>
      <c r="G1899" s="2"/>
      <c r="H1899" s="2"/>
      <c r="I1899" s="2" t="s">
        <v>8717</v>
      </c>
    </row>
    <row r="1900" ht="15.75" hidden="1" customHeight="1">
      <c r="A1900" s="9">
        <v>7279015.0</v>
      </c>
      <c r="B1900" s="2" t="s">
        <v>8721</v>
      </c>
      <c r="C1900" s="2" t="s">
        <v>8722</v>
      </c>
      <c r="D1900" s="2" t="s">
        <v>8723</v>
      </c>
      <c r="E1900" s="10" t="s">
        <v>8724</v>
      </c>
      <c r="F1900" s="2" t="s">
        <v>3118</v>
      </c>
      <c r="G1900" s="2"/>
      <c r="H1900" s="2"/>
      <c r="I1900" s="2" t="s">
        <v>8722</v>
      </c>
    </row>
    <row r="1901" ht="15.75" hidden="1" customHeight="1">
      <c r="A1901" s="9">
        <v>7279016.0</v>
      </c>
      <c r="B1901" s="2" t="s">
        <v>8726</v>
      </c>
      <c r="C1901" s="2" t="s">
        <v>8727</v>
      </c>
      <c r="D1901" s="2" t="s">
        <v>8728</v>
      </c>
      <c r="E1901" s="10" t="s">
        <v>8730</v>
      </c>
      <c r="F1901" s="2" t="s">
        <v>3118</v>
      </c>
      <c r="G1901" s="2"/>
      <c r="H1901" s="2"/>
      <c r="I1901" s="2" t="s">
        <v>8727</v>
      </c>
    </row>
    <row r="1902" ht="15.75" hidden="1" customHeight="1">
      <c r="A1902" s="9">
        <v>7279017.0</v>
      </c>
      <c r="B1902" s="2" t="s">
        <v>8731</v>
      </c>
      <c r="C1902" s="2" t="s">
        <v>8732</v>
      </c>
      <c r="D1902" s="2" t="s">
        <v>8733</v>
      </c>
      <c r="E1902" s="10" t="s">
        <v>8734</v>
      </c>
      <c r="F1902" s="2" t="s">
        <v>1607</v>
      </c>
      <c r="G1902" s="2"/>
      <c r="H1902" s="2"/>
      <c r="I1902" s="2" t="s">
        <v>8732</v>
      </c>
    </row>
    <row r="1903" ht="15.75" hidden="1" customHeight="1">
      <c r="A1903" s="9">
        <v>7279018.0</v>
      </c>
      <c r="B1903" s="2" t="s">
        <v>8735</v>
      </c>
      <c r="C1903" s="2" t="s">
        <v>8737</v>
      </c>
      <c r="D1903" s="2" t="s">
        <v>8738</v>
      </c>
      <c r="E1903" s="10" t="s">
        <v>8739</v>
      </c>
      <c r="F1903" s="2" t="s">
        <v>3118</v>
      </c>
      <c r="G1903" s="2"/>
      <c r="H1903" s="2"/>
      <c r="I1903" s="2" t="s">
        <v>8737</v>
      </c>
    </row>
    <row r="1904" ht="15.75" hidden="1" customHeight="1">
      <c r="A1904" s="9">
        <v>7279019.0</v>
      </c>
      <c r="B1904" s="2" t="s">
        <v>8741</v>
      </c>
      <c r="C1904" s="2" t="s">
        <v>8742</v>
      </c>
      <c r="D1904" s="2" t="s">
        <v>8743</v>
      </c>
      <c r="E1904" s="10" t="s">
        <v>8744</v>
      </c>
      <c r="F1904" s="2" t="s">
        <v>3118</v>
      </c>
      <c r="G1904" s="2"/>
      <c r="H1904" s="2"/>
      <c r="I1904" s="2" t="s">
        <v>8742</v>
      </c>
    </row>
    <row r="1905" ht="15.75" hidden="1" customHeight="1">
      <c r="A1905" s="9">
        <v>7279021.0</v>
      </c>
      <c r="B1905" s="2" t="s">
        <v>8745</v>
      </c>
      <c r="C1905" s="2" t="s">
        <v>8746</v>
      </c>
      <c r="D1905" s="2" t="s">
        <v>8747</v>
      </c>
      <c r="E1905" s="10" t="s">
        <v>8749</v>
      </c>
      <c r="F1905" s="2" t="s">
        <v>3118</v>
      </c>
      <c r="G1905" s="2"/>
      <c r="H1905" s="2"/>
      <c r="I1905" s="2" t="s">
        <v>8746</v>
      </c>
    </row>
    <row r="1906" ht="15.75" hidden="1" customHeight="1">
      <c r="A1906" s="9">
        <v>7279022.0</v>
      </c>
      <c r="B1906" s="2" t="s">
        <v>6290</v>
      </c>
      <c r="C1906" s="2" t="s">
        <v>8750</v>
      </c>
      <c r="D1906" s="2" t="s">
        <v>6289</v>
      </c>
      <c r="E1906" s="10" t="s">
        <v>6295</v>
      </c>
      <c r="F1906" s="2" t="s">
        <v>3118</v>
      </c>
      <c r="G1906" s="2"/>
      <c r="H1906" s="2"/>
      <c r="I1906" s="2" t="s">
        <v>8750</v>
      </c>
    </row>
    <row r="1907" ht="15.75" hidden="1" customHeight="1">
      <c r="A1907" s="9">
        <v>7279023.0</v>
      </c>
      <c r="B1907" s="2" t="s">
        <v>1749</v>
      </c>
      <c r="C1907" s="2" t="s">
        <v>8751</v>
      </c>
      <c r="D1907" s="2" t="s">
        <v>1747</v>
      </c>
      <c r="E1907" s="10" t="s">
        <v>1754</v>
      </c>
      <c r="F1907" s="2" t="s">
        <v>100</v>
      </c>
      <c r="G1907" s="2"/>
      <c r="H1907" s="2"/>
      <c r="I1907" s="2" t="s">
        <v>8751</v>
      </c>
    </row>
    <row r="1908" ht="15.75" hidden="1" customHeight="1">
      <c r="A1908" s="9">
        <v>7279024.0</v>
      </c>
      <c r="B1908" s="2" t="s">
        <v>8752</v>
      </c>
      <c r="C1908" s="2" t="s">
        <v>8753</v>
      </c>
      <c r="D1908" s="2" t="s">
        <v>8754</v>
      </c>
      <c r="E1908" s="10" t="s">
        <v>8755</v>
      </c>
      <c r="F1908" s="2" t="s">
        <v>3118</v>
      </c>
      <c r="G1908" s="2"/>
      <c r="H1908" s="2"/>
      <c r="I1908" s="2" t="s">
        <v>8753</v>
      </c>
    </row>
    <row r="1909" ht="15.75" hidden="1" customHeight="1">
      <c r="A1909" s="9">
        <v>7279025.0</v>
      </c>
      <c r="B1909" s="2" t="s">
        <v>8756</v>
      </c>
      <c r="C1909" s="2" t="s">
        <v>8757</v>
      </c>
      <c r="D1909" s="2" t="s">
        <v>8758</v>
      </c>
      <c r="E1909" s="10" t="s">
        <v>8759</v>
      </c>
      <c r="F1909" s="2" t="s">
        <v>3118</v>
      </c>
      <c r="G1909" s="2"/>
      <c r="H1909" s="2"/>
      <c r="I1909" s="2" t="s">
        <v>8757</v>
      </c>
    </row>
    <row r="1910" ht="15.75" hidden="1" customHeight="1">
      <c r="A1910" s="9">
        <v>7279026.0</v>
      </c>
      <c r="B1910" s="2" t="s">
        <v>8761</v>
      </c>
      <c r="C1910" s="2" t="s">
        <v>8762</v>
      </c>
      <c r="D1910" s="2" t="s">
        <v>8763</v>
      </c>
      <c r="E1910" s="10" t="s">
        <v>8764</v>
      </c>
      <c r="F1910" s="2" t="s">
        <v>3118</v>
      </c>
      <c r="G1910" s="2"/>
      <c r="H1910" s="2"/>
      <c r="I1910" s="2" t="s">
        <v>8762</v>
      </c>
    </row>
    <row r="1911" ht="15.75" hidden="1" customHeight="1">
      <c r="A1911" s="9">
        <v>7279027.0</v>
      </c>
      <c r="B1911" s="2" t="s">
        <v>8765</v>
      </c>
      <c r="C1911" s="2" t="s">
        <v>8766</v>
      </c>
      <c r="D1911" s="2" t="s">
        <v>8767</v>
      </c>
      <c r="E1911" s="10" t="s">
        <v>8768</v>
      </c>
      <c r="F1911" s="2" t="s">
        <v>3118</v>
      </c>
      <c r="G1911" s="2"/>
      <c r="H1911" s="2"/>
      <c r="I1911" s="2" t="s">
        <v>8766</v>
      </c>
    </row>
    <row r="1912" ht="15.75" hidden="1" customHeight="1">
      <c r="A1912" s="9">
        <v>7279028.0</v>
      </c>
      <c r="B1912" s="2" t="s">
        <v>8769</v>
      </c>
      <c r="C1912" s="2" t="s">
        <v>8770</v>
      </c>
      <c r="D1912" s="2" t="s">
        <v>8771</v>
      </c>
      <c r="E1912" s="10" t="s">
        <v>8772</v>
      </c>
      <c r="F1912" s="2" t="s">
        <v>3118</v>
      </c>
      <c r="G1912" s="2"/>
      <c r="H1912" s="2"/>
      <c r="I1912" s="2" t="s">
        <v>8770</v>
      </c>
    </row>
    <row r="1913" ht="15.75" hidden="1" customHeight="1">
      <c r="A1913" s="9">
        <v>7279029.0</v>
      </c>
      <c r="B1913" s="2" t="s">
        <v>8774</v>
      </c>
      <c r="C1913" s="2" t="s">
        <v>8775</v>
      </c>
      <c r="D1913" s="2" t="s">
        <v>8776</v>
      </c>
      <c r="E1913" s="10" t="s">
        <v>8777</v>
      </c>
      <c r="F1913" s="2" t="s">
        <v>1607</v>
      </c>
      <c r="G1913" s="2"/>
      <c r="H1913" s="2"/>
      <c r="I1913" s="2" t="s">
        <v>8775</v>
      </c>
    </row>
    <row r="1914" ht="15.75" hidden="1" customHeight="1">
      <c r="A1914" s="9">
        <v>7279030.0</v>
      </c>
      <c r="B1914" s="2" t="s">
        <v>8779</v>
      </c>
      <c r="C1914" s="2" t="s">
        <v>8780</v>
      </c>
      <c r="D1914" s="2" t="s">
        <v>8781</v>
      </c>
      <c r="E1914" s="10" t="s">
        <v>8782</v>
      </c>
      <c r="F1914" s="2" t="s">
        <v>1303</v>
      </c>
      <c r="G1914" s="2"/>
      <c r="H1914" s="2"/>
      <c r="I1914" s="2" t="s">
        <v>8780</v>
      </c>
    </row>
    <row r="1915" ht="15.75" hidden="1" customHeight="1">
      <c r="A1915" s="9">
        <v>7279031.0</v>
      </c>
      <c r="B1915" s="2" t="s">
        <v>8783</v>
      </c>
      <c r="C1915" s="2" t="s">
        <v>8784</v>
      </c>
      <c r="D1915" s="2" t="s">
        <v>8785</v>
      </c>
      <c r="E1915" s="10" t="s">
        <v>8786</v>
      </c>
      <c r="F1915" s="2" t="s">
        <v>1303</v>
      </c>
      <c r="G1915" s="2"/>
      <c r="H1915" s="2"/>
      <c r="I1915" s="2" t="s">
        <v>8784</v>
      </c>
    </row>
    <row r="1916" ht="15.75" hidden="1" customHeight="1">
      <c r="A1916" s="9">
        <v>7279032.0</v>
      </c>
      <c r="B1916" s="2" t="s">
        <v>8787</v>
      </c>
      <c r="C1916" s="2" t="s">
        <v>8788</v>
      </c>
      <c r="D1916" s="2" t="s">
        <v>8789</v>
      </c>
      <c r="E1916" s="10" t="s">
        <v>8790</v>
      </c>
      <c r="F1916" s="2" t="s">
        <v>3118</v>
      </c>
      <c r="G1916" s="2"/>
      <c r="H1916" s="2"/>
      <c r="I1916" s="2" t="s">
        <v>8788</v>
      </c>
    </row>
    <row r="1917" ht="15.75" hidden="1" customHeight="1">
      <c r="A1917" s="9">
        <v>7279033.0</v>
      </c>
      <c r="B1917" s="2" t="s">
        <v>8793</v>
      </c>
      <c r="C1917" s="2" t="s">
        <v>8794</v>
      </c>
      <c r="D1917" s="2" t="s">
        <v>8795</v>
      </c>
      <c r="E1917" s="10" t="s">
        <v>8796</v>
      </c>
      <c r="F1917" s="2" t="s">
        <v>3118</v>
      </c>
      <c r="G1917" s="2"/>
      <c r="H1917" s="2"/>
      <c r="I1917" s="2" t="s">
        <v>8794</v>
      </c>
    </row>
    <row r="1918" ht="15.75" hidden="1" customHeight="1">
      <c r="A1918" s="9">
        <v>7279034.0</v>
      </c>
      <c r="B1918" s="2" t="s">
        <v>8797</v>
      </c>
      <c r="C1918" s="2" t="s">
        <v>8798</v>
      </c>
      <c r="D1918" s="2" t="s">
        <v>8799</v>
      </c>
      <c r="E1918" s="10" t="s">
        <v>8800</v>
      </c>
      <c r="F1918" s="2" t="s">
        <v>1607</v>
      </c>
      <c r="G1918" s="2"/>
      <c r="H1918" s="2"/>
      <c r="I1918" s="2" t="s">
        <v>8798</v>
      </c>
    </row>
    <row r="1919" ht="15.75" hidden="1" customHeight="1">
      <c r="A1919" s="9">
        <v>7279035.0</v>
      </c>
      <c r="B1919" s="2" t="s">
        <v>8802</v>
      </c>
      <c r="C1919" s="2" t="s">
        <v>8803</v>
      </c>
      <c r="D1919" s="2" t="s">
        <v>8804</v>
      </c>
      <c r="E1919" s="10" t="s">
        <v>8805</v>
      </c>
      <c r="F1919" s="2" t="s">
        <v>1303</v>
      </c>
      <c r="G1919" s="2"/>
      <c r="H1919" s="2"/>
      <c r="I1919" s="2" t="s">
        <v>8803</v>
      </c>
    </row>
    <row r="1920" ht="15.75" hidden="1" customHeight="1">
      <c r="A1920" s="9">
        <v>7279036.0</v>
      </c>
      <c r="B1920" s="2" t="s">
        <v>8806</v>
      </c>
      <c r="C1920" s="2" t="s">
        <v>8807</v>
      </c>
      <c r="D1920" s="2" t="s">
        <v>8808</v>
      </c>
      <c r="E1920" s="10" t="s">
        <v>8809</v>
      </c>
      <c r="F1920" s="2" t="s">
        <v>1303</v>
      </c>
      <c r="G1920" s="2"/>
      <c r="H1920" s="2"/>
      <c r="I1920" s="2" t="s">
        <v>8807</v>
      </c>
    </row>
    <row r="1921" ht="15.75" hidden="1" customHeight="1">
      <c r="A1921" s="9">
        <v>7279037.0</v>
      </c>
      <c r="B1921" s="2" t="s">
        <v>6505</v>
      </c>
      <c r="C1921" s="2" t="s">
        <v>8810</v>
      </c>
      <c r="D1921" s="2" t="s">
        <v>6502</v>
      </c>
      <c r="E1921" s="10" t="s">
        <v>6508</v>
      </c>
      <c r="F1921" s="2" t="s">
        <v>3118</v>
      </c>
      <c r="G1921" s="2"/>
      <c r="H1921" s="2"/>
      <c r="I1921" s="2" t="s">
        <v>8810</v>
      </c>
    </row>
    <row r="1922" ht="15.75" hidden="1" customHeight="1">
      <c r="A1922" s="9">
        <v>7279038.0</v>
      </c>
      <c r="B1922" s="2" t="s">
        <v>8812</v>
      </c>
      <c r="C1922" s="2" t="s">
        <v>8813</v>
      </c>
      <c r="D1922" s="2" t="s">
        <v>8814</v>
      </c>
      <c r="E1922" s="10" t="s">
        <v>8815</v>
      </c>
      <c r="F1922" s="2" t="s">
        <v>1607</v>
      </c>
      <c r="G1922" s="2"/>
      <c r="H1922" s="2"/>
      <c r="I1922" s="2" t="s">
        <v>8813</v>
      </c>
    </row>
    <row r="1923" ht="15.75" hidden="1" customHeight="1">
      <c r="A1923" s="9">
        <v>7279039.0</v>
      </c>
      <c r="B1923" s="2" t="s">
        <v>8816</v>
      </c>
      <c r="C1923" s="2" t="s">
        <v>8817</v>
      </c>
      <c r="D1923" s="2" t="s">
        <v>8818</v>
      </c>
      <c r="E1923" s="10" t="s">
        <v>8819</v>
      </c>
      <c r="F1923" s="2" t="s">
        <v>1607</v>
      </c>
      <c r="G1923" s="2"/>
      <c r="H1923" s="2"/>
      <c r="I1923" s="2" t="s">
        <v>8817</v>
      </c>
    </row>
    <row r="1924" ht="15.75" hidden="1" customHeight="1">
      <c r="A1924" s="9">
        <v>7279040.0</v>
      </c>
      <c r="B1924" s="2" t="s">
        <v>8820</v>
      </c>
      <c r="C1924" s="2" t="s">
        <v>8821</v>
      </c>
      <c r="D1924" s="2" t="s">
        <v>8822</v>
      </c>
      <c r="E1924" s="10" t="s">
        <v>8823</v>
      </c>
      <c r="F1924" s="2" t="s">
        <v>100</v>
      </c>
      <c r="G1924" s="2"/>
      <c r="H1924" s="2"/>
      <c r="I1924" s="2" t="s">
        <v>8821</v>
      </c>
    </row>
    <row r="1925" ht="15.75" hidden="1" customHeight="1">
      <c r="A1925" s="9">
        <v>7279041.0</v>
      </c>
      <c r="B1925" s="2" t="s">
        <v>8825</v>
      </c>
      <c r="C1925" s="2" t="s">
        <v>8826</v>
      </c>
      <c r="D1925" s="2" t="s">
        <v>8827</v>
      </c>
      <c r="E1925" s="10" t="s">
        <v>8828</v>
      </c>
      <c r="F1925" s="2" t="s">
        <v>100</v>
      </c>
      <c r="G1925" s="2"/>
      <c r="H1925" s="2"/>
      <c r="I1925" s="2" t="s">
        <v>8826</v>
      </c>
    </row>
    <row r="1926" ht="15.75" hidden="1" customHeight="1">
      <c r="A1926" s="9">
        <v>7279042.0</v>
      </c>
      <c r="B1926" s="2" t="s">
        <v>8829</v>
      </c>
      <c r="C1926" s="2" t="s">
        <v>8830</v>
      </c>
      <c r="D1926" s="2" t="s">
        <v>8831</v>
      </c>
      <c r="E1926" s="10" t="s">
        <v>8832</v>
      </c>
      <c r="F1926" s="2" t="s">
        <v>1303</v>
      </c>
      <c r="G1926" s="2"/>
      <c r="H1926" s="2"/>
      <c r="I1926" s="2" t="s">
        <v>8830</v>
      </c>
    </row>
    <row r="1927" ht="15.75" hidden="1" customHeight="1">
      <c r="A1927" s="9">
        <v>7279043.0</v>
      </c>
      <c r="B1927" s="2" t="s">
        <v>8834</v>
      </c>
      <c r="C1927" s="2" t="s">
        <v>8835</v>
      </c>
      <c r="D1927" s="2" t="s">
        <v>8836</v>
      </c>
      <c r="E1927" s="10" t="s">
        <v>8837</v>
      </c>
      <c r="F1927" s="2" t="s">
        <v>1303</v>
      </c>
      <c r="G1927" s="2"/>
      <c r="H1927" s="2"/>
      <c r="I1927" s="2" t="s">
        <v>8835</v>
      </c>
    </row>
    <row r="1928" ht="15.75" hidden="1" customHeight="1">
      <c r="A1928" s="9">
        <v>7279044.0</v>
      </c>
      <c r="B1928" s="2" t="s">
        <v>2100</v>
      </c>
      <c r="C1928" s="2" t="s">
        <v>8838</v>
      </c>
      <c r="D1928" s="2" t="s">
        <v>2098</v>
      </c>
      <c r="E1928" s="10" t="s">
        <v>2103</v>
      </c>
      <c r="F1928" s="2" t="s">
        <v>1607</v>
      </c>
      <c r="G1928" s="2"/>
      <c r="H1928" s="2"/>
      <c r="I1928" s="2" t="s">
        <v>8838</v>
      </c>
    </row>
    <row r="1929" ht="15.75" hidden="1" customHeight="1">
      <c r="A1929" s="9">
        <v>7279045.0</v>
      </c>
      <c r="B1929" s="2" t="s">
        <v>5426</v>
      </c>
      <c r="C1929" s="2" t="s">
        <v>8839</v>
      </c>
      <c r="D1929" s="2" t="s">
        <v>5461</v>
      </c>
      <c r="E1929" s="10" t="s">
        <v>5466</v>
      </c>
      <c r="F1929" s="2" t="s">
        <v>1303</v>
      </c>
      <c r="G1929" s="2"/>
      <c r="H1929" s="2"/>
      <c r="I1929" s="2" t="s">
        <v>8839</v>
      </c>
    </row>
    <row r="1930" ht="15.75" hidden="1" customHeight="1">
      <c r="A1930" s="9">
        <v>7279046.0</v>
      </c>
      <c r="B1930" s="2" t="s">
        <v>8841</v>
      </c>
      <c r="C1930" s="2" t="s">
        <v>8842</v>
      </c>
      <c r="D1930" s="2" t="s">
        <v>8843</v>
      </c>
      <c r="E1930" s="10" t="s">
        <v>8844</v>
      </c>
      <c r="F1930" s="2" t="s">
        <v>1303</v>
      </c>
      <c r="G1930" s="2"/>
      <c r="H1930" s="2"/>
      <c r="I1930" s="2" t="s">
        <v>8842</v>
      </c>
    </row>
    <row r="1931" ht="15.75" hidden="1" customHeight="1">
      <c r="A1931" s="9">
        <v>7279047.0</v>
      </c>
      <c r="B1931" s="2" t="s">
        <v>8846</v>
      </c>
      <c r="C1931" s="2" t="s">
        <v>8847</v>
      </c>
      <c r="D1931" s="2" t="s">
        <v>8848</v>
      </c>
      <c r="E1931" s="10" t="s">
        <v>8849</v>
      </c>
      <c r="F1931" s="2" t="s">
        <v>1303</v>
      </c>
      <c r="G1931" s="2"/>
      <c r="H1931" s="2"/>
      <c r="I1931" s="2" t="s">
        <v>8847</v>
      </c>
    </row>
    <row r="1932" ht="15.75" hidden="1" customHeight="1">
      <c r="A1932" s="9">
        <v>7279048.0</v>
      </c>
      <c r="B1932" s="2" t="s">
        <v>8850</v>
      </c>
      <c r="C1932" s="2" t="s">
        <v>8851</v>
      </c>
      <c r="D1932" s="2" t="s">
        <v>8852</v>
      </c>
      <c r="E1932" s="10" t="s">
        <v>8853</v>
      </c>
      <c r="F1932" s="2" t="s">
        <v>3118</v>
      </c>
      <c r="G1932" s="2"/>
      <c r="H1932" s="2"/>
      <c r="I1932" s="2" t="s">
        <v>8851</v>
      </c>
    </row>
    <row r="1933" ht="15.75" hidden="1" customHeight="1">
      <c r="A1933" s="9">
        <v>7279049.0</v>
      </c>
      <c r="B1933" s="2" t="s">
        <v>8854</v>
      </c>
      <c r="C1933" s="2" t="s">
        <v>8855</v>
      </c>
      <c r="D1933" s="2" t="s">
        <v>8856</v>
      </c>
      <c r="E1933" s="10" t="s">
        <v>8857</v>
      </c>
      <c r="F1933" s="2" t="s">
        <v>1303</v>
      </c>
      <c r="G1933" s="2"/>
      <c r="H1933" s="2"/>
      <c r="I1933" s="2" t="s">
        <v>8855</v>
      </c>
    </row>
    <row r="1934" ht="15.75" hidden="1" customHeight="1">
      <c r="A1934" s="9">
        <v>7279050.0</v>
      </c>
      <c r="B1934" s="2" t="s">
        <v>6342</v>
      </c>
      <c r="C1934" s="2" t="s">
        <v>8858</v>
      </c>
      <c r="D1934" s="2" t="s">
        <v>6337</v>
      </c>
      <c r="E1934" s="10" t="s">
        <v>6346</v>
      </c>
      <c r="F1934" s="2" t="s">
        <v>1303</v>
      </c>
      <c r="G1934" s="2"/>
      <c r="H1934" s="2"/>
      <c r="I1934" s="2" t="s">
        <v>8858</v>
      </c>
    </row>
    <row r="1935" ht="15.75" hidden="1" customHeight="1">
      <c r="A1935" s="9">
        <v>7279051.0</v>
      </c>
      <c r="B1935" s="2" t="s">
        <v>4368</v>
      </c>
      <c r="C1935" s="2" t="s">
        <v>8861</v>
      </c>
      <c r="D1935" s="2" t="s">
        <v>4364</v>
      </c>
      <c r="E1935" s="10" t="s">
        <v>4370</v>
      </c>
      <c r="F1935" s="2" t="s">
        <v>1303</v>
      </c>
      <c r="G1935" s="2"/>
      <c r="H1935" s="2"/>
      <c r="I1935" s="2" t="s">
        <v>8861</v>
      </c>
    </row>
    <row r="1936" ht="15.75" hidden="1" customHeight="1">
      <c r="A1936" s="9">
        <v>7279052.0</v>
      </c>
      <c r="B1936" s="2" t="s">
        <v>4265</v>
      </c>
      <c r="C1936" s="2" t="s">
        <v>8863</v>
      </c>
      <c r="D1936" s="2" t="s">
        <v>4261</v>
      </c>
      <c r="E1936" s="10" t="s">
        <v>4268</v>
      </c>
      <c r="F1936" s="2" t="s">
        <v>1607</v>
      </c>
      <c r="G1936" s="2"/>
      <c r="H1936" s="2"/>
      <c r="I1936" s="2" t="s">
        <v>8863</v>
      </c>
    </row>
    <row r="1937" ht="15.75" hidden="1" customHeight="1">
      <c r="A1937" s="9">
        <v>7279053.0</v>
      </c>
      <c r="B1937" s="2" t="s">
        <v>1296</v>
      </c>
      <c r="C1937" s="2" t="s">
        <v>8864</v>
      </c>
      <c r="D1937" s="2" t="s">
        <v>1289</v>
      </c>
      <c r="E1937" s="10" t="s">
        <v>1297</v>
      </c>
      <c r="F1937" s="2" t="s">
        <v>1303</v>
      </c>
      <c r="G1937" s="2"/>
      <c r="H1937" s="2"/>
      <c r="I1937" s="2" t="s">
        <v>8864</v>
      </c>
    </row>
    <row r="1938" ht="15.75" hidden="1" customHeight="1">
      <c r="A1938" s="9">
        <v>7279054.0</v>
      </c>
      <c r="B1938" s="2" t="s">
        <v>8865</v>
      </c>
      <c r="C1938" s="2" t="s">
        <v>8866</v>
      </c>
      <c r="D1938" s="2" t="s">
        <v>8867</v>
      </c>
      <c r="E1938" s="10" t="s">
        <v>8868</v>
      </c>
      <c r="F1938" s="2" t="s">
        <v>3118</v>
      </c>
      <c r="G1938" s="2"/>
      <c r="H1938" s="2"/>
      <c r="I1938" s="2" t="s">
        <v>8866</v>
      </c>
    </row>
    <row r="1939" ht="15.75" hidden="1" customHeight="1">
      <c r="A1939" s="9">
        <v>7279055.0</v>
      </c>
      <c r="B1939" s="2" t="s">
        <v>8869</v>
      </c>
      <c r="C1939" s="2" t="s">
        <v>8871</v>
      </c>
      <c r="D1939" s="2" t="s">
        <v>8872</v>
      </c>
      <c r="E1939" s="10" t="s">
        <v>8873</v>
      </c>
      <c r="F1939" s="2" t="s">
        <v>1607</v>
      </c>
      <c r="G1939" s="2"/>
      <c r="H1939" s="2"/>
      <c r="I1939" s="2" t="s">
        <v>8871</v>
      </c>
    </row>
    <row r="1940" ht="15.75" hidden="1" customHeight="1">
      <c r="A1940" s="9">
        <v>7279056.0</v>
      </c>
      <c r="B1940" s="2" t="s">
        <v>8874</v>
      </c>
      <c r="C1940" s="2" t="s">
        <v>8875</v>
      </c>
      <c r="D1940" s="2" t="s">
        <v>8876</v>
      </c>
      <c r="E1940" s="10" t="s">
        <v>8877</v>
      </c>
      <c r="F1940" s="2" t="s">
        <v>1607</v>
      </c>
      <c r="G1940" s="2"/>
      <c r="H1940" s="2"/>
      <c r="I1940" s="2" t="s">
        <v>8875</v>
      </c>
    </row>
    <row r="1941" ht="15.75" hidden="1" customHeight="1">
      <c r="A1941" s="9">
        <v>7279057.0</v>
      </c>
      <c r="B1941" s="2" t="s">
        <v>8878</v>
      </c>
      <c r="C1941" s="2" t="s">
        <v>8879</v>
      </c>
      <c r="D1941" s="2" t="s">
        <v>8880</v>
      </c>
      <c r="E1941" s="10" t="s">
        <v>8881</v>
      </c>
      <c r="F1941" s="2" t="s">
        <v>100</v>
      </c>
      <c r="G1941" s="2"/>
      <c r="H1941" s="2"/>
      <c r="I1941" s="2" t="s">
        <v>8879</v>
      </c>
    </row>
  </sheetData>
  <autoFilter ref="$A$1:$Z$1941">
    <filterColumn colId="5">
      <filters>
        <filter val="2C45"/>
        <filter val="2C44"/>
        <filter val="2C43"/>
        <filter val="2C42"/>
        <filter val="2C41"/>
        <filter val="2C75"/>
        <filter val="2C74"/>
        <filter val="2C73"/>
        <filter val="2C72"/>
        <filter val="2C71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63"/>
    <col customWidth="1" min="2" max="2" width="30.63"/>
    <col customWidth="1" min="3" max="6" width="12.63"/>
  </cols>
  <sheetData>
    <row r="1" ht="15.75" customHeight="1">
      <c r="A1" s="3" t="s">
        <v>1</v>
      </c>
      <c r="B1" s="7" t="s">
        <v>4</v>
      </c>
      <c r="C1" s="3" t="s">
        <v>11</v>
      </c>
      <c r="D1" s="11" t="str">
        <f>MATCHING_SHEETS("2C7")</f>
        <v>#NAME?</v>
      </c>
      <c r="E1" s="11"/>
      <c r="F1" s="11"/>
      <c r="G1" s="11"/>
      <c r="H1" s="11"/>
    </row>
    <row r="2" ht="15.75" customHeight="1">
      <c r="A2" s="14" t="s">
        <v>27</v>
      </c>
      <c r="B2" s="15"/>
      <c r="C2" s="16"/>
      <c r="D2" s="11" t="str">
        <f t="array" ref="D2:Z2">BYCOL(D1:Z1, LAMBDA(col_header, 
  IF(ISBLANK(col_header),, 
    SUM(OFFSET(col_header, 2, 0, ROWS(A:A)-2)) &amp; "/" &amp; COUNTA(INDIRECT("'" &amp; col_header &amp; "'!$C$2:$C"))
  )
))</f>
        <v>0/1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27">
        <v>1.025030913E9</v>
      </c>
      <c r="B3" s="28" t="s">
        <v>213</v>
      </c>
      <c r="C3" s="27" t="s">
        <v>219</v>
      </c>
      <c r="D3" s="11">
        <f t="array" ref="D3:D134">IF(A3:A134="","",IF(COUNTIF(INDIRECT("'"&amp;D$1&amp;"'!$C:$C"),$A$3:$A134)&gt;0,1,0))</f>
        <v>0</v>
      </c>
      <c r="E3" s="11">
        <f t="array" ref="E3:E134">IF(B3:B134="","",IF(COUNTIF(INDIRECT("'"&amp;E$1&amp;"'!$C:$C"),$A$3:$A134)&gt;0,1,0))</f>
        <v>0</v>
      </c>
      <c r="F3" s="11">
        <f t="array" ref="F3:F134">IF(C3:C134="","",IF(COUNTIF(INDIRECT("'"&amp;F$1&amp;"'!$C:$C"),$A$3:$A134)&gt;0,1,0))</f>
        <v>0</v>
      </c>
      <c r="G3" s="11">
        <f t="array" ref="G3:G134">IF(D3:D134="","",IF(COUNTIF(INDIRECT("'"&amp;G$1&amp;"'!$C:$C"),$A$3:$A134)&gt;0,1,0))</f>
        <v>0</v>
      </c>
      <c r="H3" s="11">
        <f t="array" ref="H3:H134">IF(E3:E134="","",IF(COUNTIF(INDIRECT("'"&amp;H$1&amp;"'!$C:$C"),$A$3:$A134)&gt;0,1,0))</f>
        <v>0</v>
      </c>
    </row>
    <row r="4" ht="15.75" customHeight="1">
      <c r="A4" s="27">
        <v>1.02503092E9</v>
      </c>
      <c r="B4" s="28" t="s">
        <v>582</v>
      </c>
      <c r="C4" s="27" t="s">
        <v>219</v>
      </c>
      <c r="D4" s="11">
        <v>0.0</v>
      </c>
      <c r="E4" s="11">
        <v>0.0</v>
      </c>
      <c r="F4" s="11">
        <v>0.0</v>
      </c>
      <c r="G4" s="11">
        <v>0.0</v>
      </c>
      <c r="H4" s="11">
        <v>0.0</v>
      </c>
    </row>
    <row r="5" ht="15.75" customHeight="1">
      <c r="A5" s="27">
        <v>1.025030926E9</v>
      </c>
      <c r="B5" s="28" t="s">
        <v>593</v>
      </c>
      <c r="C5" s="27" t="s">
        <v>219</v>
      </c>
      <c r="D5" s="11">
        <v>0.0</v>
      </c>
      <c r="E5" s="11">
        <v>0.0</v>
      </c>
      <c r="F5" s="11">
        <v>0.0</v>
      </c>
      <c r="G5" s="11">
        <v>0.0</v>
      </c>
      <c r="H5" s="11">
        <v>0.0</v>
      </c>
    </row>
    <row r="6" ht="15.75" customHeight="1">
      <c r="A6" s="27">
        <v>1.025030914E9</v>
      </c>
      <c r="B6" s="28" t="s">
        <v>602</v>
      </c>
      <c r="C6" s="27" t="s">
        <v>219</v>
      </c>
      <c r="D6" s="11">
        <v>0.0</v>
      </c>
      <c r="E6" s="11">
        <v>0.0</v>
      </c>
      <c r="F6" s="11">
        <v>0.0</v>
      </c>
      <c r="G6" s="11">
        <v>0.0</v>
      </c>
      <c r="H6" s="11">
        <v>0.0</v>
      </c>
    </row>
    <row r="7" ht="15.75" customHeight="1">
      <c r="A7" s="27">
        <v>1.025031071E9</v>
      </c>
      <c r="B7" s="28" t="s">
        <v>611</v>
      </c>
      <c r="C7" s="27" t="s">
        <v>219</v>
      </c>
      <c r="D7" s="11">
        <v>0.0</v>
      </c>
      <c r="E7" s="11">
        <v>0.0</v>
      </c>
      <c r="F7" s="11">
        <v>0.0</v>
      </c>
      <c r="G7" s="11">
        <v>0.0</v>
      </c>
      <c r="H7" s="11">
        <v>0.0</v>
      </c>
    </row>
    <row r="8" ht="15.75" customHeight="1">
      <c r="A8" s="27">
        <v>1.025031074E9</v>
      </c>
      <c r="B8" s="28" t="s">
        <v>622</v>
      </c>
      <c r="C8" s="27" t="s">
        <v>219</v>
      </c>
      <c r="D8" s="11">
        <v>0.0</v>
      </c>
      <c r="E8" s="11">
        <v>0.0</v>
      </c>
      <c r="F8" s="11">
        <v>0.0</v>
      </c>
      <c r="G8" s="11">
        <v>0.0</v>
      </c>
      <c r="H8" s="11">
        <v>0.0</v>
      </c>
    </row>
    <row r="9" ht="15.75" customHeight="1">
      <c r="A9" s="27">
        <v>1.025030923E9</v>
      </c>
      <c r="B9" s="28" t="s">
        <v>631</v>
      </c>
      <c r="C9" s="27" t="s">
        <v>219</v>
      </c>
      <c r="D9" s="11">
        <v>0.0</v>
      </c>
      <c r="E9" s="11">
        <v>0.0</v>
      </c>
      <c r="F9" s="11">
        <v>0.0</v>
      </c>
      <c r="G9" s="11">
        <v>0.0</v>
      </c>
      <c r="H9" s="11">
        <v>0.0</v>
      </c>
    </row>
    <row r="10" ht="15.75" customHeight="1">
      <c r="A10" s="27">
        <v>1.025031048E9</v>
      </c>
      <c r="B10" s="28" t="s">
        <v>640</v>
      </c>
      <c r="C10" s="27" t="s">
        <v>219</v>
      </c>
      <c r="D10" s="11">
        <v>0.0</v>
      </c>
      <c r="E10" s="11">
        <v>0.0</v>
      </c>
      <c r="F10" s="11">
        <v>0.0</v>
      </c>
      <c r="G10" s="11">
        <v>0.0</v>
      </c>
      <c r="H10" s="11">
        <v>0.0</v>
      </c>
    </row>
    <row r="11" ht="15.75" customHeight="1">
      <c r="A11" s="27">
        <v>1.025030911E9</v>
      </c>
      <c r="B11" s="28" t="s">
        <v>651</v>
      </c>
      <c r="C11" s="27" t="s">
        <v>219</v>
      </c>
      <c r="D11" s="11">
        <v>0.0</v>
      </c>
      <c r="E11" s="11">
        <v>0.0</v>
      </c>
      <c r="F11" s="11">
        <v>0.0</v>
      </c>
      <c r="G11" s="11">
        <v>0.0</v>
      </c>
      <c r="H11" s="11">
        <v>0.0</v>
      </c>
    </row>
    <row r="12" ht="15.75" customHeight="1">
      <c r="A12" s="27">
        <v>1.025030918E9</v>
      </c>
      <c r="B12" s="28" t="s">
        <v>659</v>
      </c>
      <c r="C12" s="27" t="s">
        <v>219</v>
      </c>
      <c r="D12" s="11">
        <v>0.0</v>
      </c>
      <c r="E12" s="11">
        <v>0.0</v>
      </c>
      <c r="F12" s="11">
        <v>0.0</v>
      </c>
      <c r="G12" s="11">
        <v>0.0</v>
      </c>
      <c r="H12" s="11">
        <v>0.0</v>
      </c>
    </row>
    <row r="13" ht="15.75" customHeight="1">
      <c r="A13" s="27">
        <v>1.025030925E9</v>
      </c>
      <c r="B13" s="28" t="s">
        <v>665</v>
      </c>
      <c r="C13" s="27" t="s">
        <v>219</v>
      </c>
      <c r="D13" s="11">
        <v>0.0</v>
      </c>
      <c r="E13" s="11">
        <v>0.0</v>
      </c>
      <c r="F13" s="11">
        <v>0.0</v>
      </c>
      <c r="G13" s="11">
        <v>0.0</v>
      </c>
      <c r="H13" s="11">
        <v>0.0</v>
      </c>
    </row>
    <row r="14" ht="15.75" customHeight="1">
      <c r="A14" s="27">
        <v>1.025030988E9</v>
      </c>
      <c r="B14" s="28" t="s">
        <v>677</v>
      </c>
      <c r="C14" s="27" t="s">
        <v>219</v>
      </c>
      <c r="D14" s="11">
        <v>0.0</v>
      </c>
      <c r="E14" s="11">
        <v>0.0</v>
      </c>
      <c r="F14" s="11">
        <v>0.0</v>
      </c>
      <c r="G14" s="11">
        <v>0.0</v>
      </c>
      <c r="H14" s="11">
        <v>0.0</v>
      </c>
    </row>
    <row r="15" ht="15.75" customHeight="1">
      <c r="A15" s="27">
        <v>1.025030922E9</v>
      </c>
      <c r="B15" s="28" t="s">
        <v>687</v>
      </c>
      <c r="C15" s="27" t="s">
        <v>219</v>
      </c>
      <c r="D15" s="11">
        <v>0.0</v>
      </c>
      <c r="E15" s="11">
        <v>0.0</v>
      </c>
      <c r="F15" s="11">
        <v>0.0</v>
      </c>
      <c r="G15" s="11">
        <v>0.0</v>
      </c>
      <c r="H15" s="11">
        <v>0.0</v>
      </c>
    </row>
    <row r="16" ht="15.75" customHeight="1">
      <c r="A16" s="27">
        <v>1.025030921E9</v>
      </c>
      <c r="B16" s="28" t="s">
        <v>697</v>
      </c>
      <c r="C16" s="27" t="s">
        <v>219</v>
      </c>
      <c r="D16" s="11">
        <v>0.0</v>
      </c>
      <c r="E16" s="11">
        <v>0.0</v>
      </c>
      <c r="F16" s="11">
        <v>0.0</v>
      </c>
      <c r="G16" s="11">
        <v>0.0</v>
      </c>
      <c r="H16" s="11">
        <v>0.0</v>
      </c>
    </row>
    <row r="17" ht="15.75" customHeight="1">
      <c r="A17" s="27">
        <v>1.025030915E9</v>
      </c>
      <c r="B17" s="28" t="s">
        <v>708</v>
      </c>
      <c r="C17" s="27" t="s">
        <v>219</v>
      </c>
      <c r="D17" s="11">
        <v>0.0</v>
      </c>
      <c r="E17" s="11">
        <v>0.0</v>
      </c>
      <c r="F17" s="11">
        <v>0.0</v>
      </c>
      <c r="G17" s="11">
        <v>0.0</v>
      </c>
      <c r="H17" s="11">
        <v>0.0</v>
      </c>
    </row>
    <row r="18" ht="15.75" customHeight="1">
      <c r="A18" s="27">
        <v>1.025030916E9</v>
      </c>
      <c r="B18" s="28" t="s">
        <v>718</v>
      </c>
      <c r="C18" s="27" t="s">
        <v>219</v>
      </c>
      <c r="D18" s="11">
        <v>0.0</v>
      </c>
      <c r="E18" s="11">
        <v>0.0</v>
      </c>
      <c r="F18" s="11">
        <v>0.0</v>
      </c>
      <c r="G18" s="11">
        <v>0.0</v>
      </c>
      <c r="H18" s="11">
        <v>0.0</v>
      </c>
    </row>
    <row r="19" ht="15.75" customHeight="1">
      <c r="A19" s="27">
        <v>1.025030917E9</v>
      </c>
      <c r="B19" s="28" t="s">
        <v>735</v>
      </c>
      <c r="C19" s="27" t="s">
        <v>219</v>
      </c>
      <c r="D19" s="11">
        <v>0.0</v>
      </c>
      <c r="E19" s="11">
        <v>0.0</v>
      </c>
      <c r="F19" s="11">
        <v>0.0</v>
      </c>
      <c r="G19" s="11">
        <v>0.0</v>
      </c>
      <c r="H19" s="11">
        <v>0.0</v>
      </c>
    </row>
    <row r="20" ht="15.75" customHeight="1">
      <c r="A20" s="27">
        <v>1.025030929E9</v>
      </c>
      <c r="B20" s="28" t="s">
        <v>748</v>
      </c>
      <c r="C20" s="27" t="s">
        <v>219</v>
      </c>
      <c r="D20" s="11">
        <v>0.0</v>
      </c>
      <c r="E20" s="11">
        <v>0.0</v>
      </c>
      <c r="F20" s="11">
        <v>0.0</v>
      </c>
      <c r="G20" s="11">
        <v>0.0</v>
      </c>
      <c r="H20" s="11">
        <v>0.0</v>
      </c>
    </row>
    <row r="21" ht="15.75" customHeight="1">
      <c r="A21" s="27">
        <v>1.025030919E9</v>
      </c>
      <c r="B21" s="28" t="s">
        <v>759</v>
      </c>
      <c r="C21" s="27" t="s">
        <v>219</v>
      </c>
      <c r="D21" s="11">
        <v>0.0</v>
      </c>
      <c r="E21" s="11">
        <v>0.0</v>
      </c>
      <c r="F21" s="11">
        <v>0.0</v>
      </c>
      <c r="G21" s="11">
        <v>0.0</v>
      </c>
      <c r="H21" s="11">
        <v>0.0</v>
      </c>
    </row>
    <row r="22" ht="15.75" customHeight="1">
      <c r="A22" s="27">
        <v>1.025030924E9</v>
      </c>
      <c r="B22" s="28" t="s">
        <v>768</v>
      </c>
      <c r="C22" s="27" t="s">
        <v>219</v>
      </c>
      <c r="D22" s="11">
        <v>0.0</v>
      </c>
      <c r="E22" s="11">
        <v>0.0</v>
      </c>
      <c r="F22" s="11">
        <v>0.0</v>
      </c>
      <c r="G22" s="11">
        <v>0.0</v>
      </c>
      <c r="H22" s="11">
        <v>0.0</v>
      </c>
    </row>
    <row r="23" ht="15.75" customHeight="1">
      <c r="A23" s="27">
        <v>1.025030912E9</v>
      </c>
      <c r="B23" s="28" t="s">
        <v>775</v>
      </c>
      <c r="C23" s="27" t="s">
        <v>219</v>
      </c>
      <c r="D23" s="11">
        <v>0.0</v>
      </c>
      <c r="E23" s="11">
        <v>0.0</v>
      </c>
      <c r="F23" s="11">
        <v>0.0</v>
      </c>
      <c r="G23" s="11">
        <v>0.0</v>
      </c>
      <c r="H23" s="11">
        <v>0.0</v>
      </c>
    </row>
    <row r="24" ht="15.75" customHeight="1">
      <c r="A24" s="27">
        <v>1.02503093E9</v>
      </c>
      <c r="B24" s="28" t="s">
        <v>791</v>
      </c>
      <c r="C24" s="27" t="s">
        <v>219</v>
      </c>
      <c r="D24" s="11">
        <v>0.0</v>
      </c>
      <c r="E24" s="11">
        <v>0.0</v>
      </c>
      <c r="F24" s="11">
        <v>0.0</v>
      </c>
      <c r="G24" s="11">
        <v>0.0</v>
      </c>
      <c r="H24" s="11">
        <v>0.0</v>
      </c>
    </row>
    <row r="25" ht="15.75" customHeight="1">
      <c r="A25" s="27">
        <v>1.025030927E9</v>
      </c>
      <c r="B25" s="28" t="s">
        <v>799</v>
      </c>
      <c r="C25" s="27" t="s">
        <v>219</v>
      </c>
      <c r="D25" s="11">
        <v>0.0</v>
      </c>
      <c r="E25" s="11">
        <v>0.0</v>
      </c>
      <c r="F25" s="11">
        <v>0.0</v>
      </c>
      <c r="G25" s="11">
        <v>0.0</v>
      </c>
      <c r="H25" s="11">
        <v>0.0</v>
      </c>
    </row>
    <row r="26" ht="15.75" customHeight="1">
      <c r="A26" s="27">
        <v>1.025030928E9</v>
      </c>
      <c r="B26" s="28" t="s">
        <v>812</v>
      </c>
      <c r="C26" s="27" t="s">
        <v>219</v>
      </c>
      <c r="D26" s="11">
        <v>0.0</v>
      </c>
      <c r="E26" s="11">
        <v>0.0</v>
      </c>
      <c r="F26" s="11">
        <v>0.0</v>
      </c>
      <c r="G26" s="11">
        <v>0.0</v>
      </c>
      <c r="H26" s="11">
        <v>0.0</v>
      </c>
    </row>
    <row r="27" ht="15.75" customHeight="1">
      <c r="A27" s="27">
        <v>1.025030951E9</v>
      </c>
      <c r="B27" s="28" t="s">
        <v>818</v>
      </c>
      <c r="C27" s="27" t="s">
        <v>184</v>
      </c>
      <c r="D27" s="11">
        <v>0.0</v>
      </c>
      <c r="E27" s="11">
        <v>0.0</v>
      </c>
      <c r="F27" s="11">
        <v>0.0</v>
      </c>
      <c r="G27" s="11">
        <v>0.0</v>
      </c>
      <c r="H27" s="11">
        <v>0.0</v>
      </c>
    </row>
    <row r="28" ht="15.75" customHeight="1">
      <c r="A28" s="27">
        <v>1.025030946E9</v>
      </c>
      <c r="B28" s="28" t="s">
        <v>824</v>
      </c>
      <c r="C28" s="27" t="s">
        <v>184</v>
      </c>
      <c r="D28" s="11">
        <v>0.0</v>
      </c>
      <c r="E28" s="11">
        <v>0.0</v>
      </c>
      <c r="F28" s="11">
        <v>0.0</v>
      </c>
      <c r="G28" s="11">
        <v>0.0</v>
      </c>
      <c r="H28" s="11">
        <v>0.0</v>
      </c>
    </row>
    <row r="29" ht="15.75" customHeight="1">
      <c r="A29" s="27">
        <v>1.025030963E9</v>
      </c>
      <c r="B29" s="28" t="s">
        <v>834</v>
      </c>
      <c r="C29" s="27" t="s">
        <v>184</v>
      </c>
      <c r="D29" s="11">
        <v>0.0</v>
      </c>
      <c r="E29" s="11">
        <v>0.0</v>
      </c>
      <c r="F29" s="11">
        <v>0.0</v>
      </c>
      <c r="G29" s="11">
        <v>0.0</v>
      </c>
      <c r="H29" s="11">
        <v>0.0</v>
      </c>
    </row>
    <row r="30" ht="15.75" customHeight="1">
      <c r="A30" s="27">
        <v>1.02503095E9</v>
      </c>
      <c r="B30" s="28" t="s">
        <v>845</v>
      </c>
      <c r="C30" s="27" t="s">
        <v>184</v>
      </c>
      <c r="D30" s="11">
        <v>0.0</v>
      </c>
      <c r="E30" s="11">
        <v>0.0</v>
      </c>
      <c r="F30" s="11">
        <v>0.0</v>
      </c>
      <c r="G30" s="11">
        <v>0.0</v>
      </c>
      <c r="H30" s="11">
        <v>0.0</v>
      </c>
    </row>
    <row r="31" ht="15.75" customHeight="1">
      <c r="A31" s="27">
        <v>1.025030944E9</v>
      </c>
      <c r="B31" s="28" t="s">
        <v>853</v>
      </c>
      <c r="C31" s="27" t="s">
        <v>184</v>
      </c>
      <c r="D31" s="11">
        <v>0.0</v>
      </c>
      <c r="E31" s="11">
        <v>0.0</v>
      </c>
      <c r="F31" s="11">
        <v>0.0</v>
      </c>
      <c r="G31" s="11">
        <v>0.0</v>
      </c>
      <c r="H31" s="11">
        <v>0.0</v>
      </c>
    </row>
    <row r="32" ht="15.75" customHeight="1">
      <c r="A32" s="27">
        <v>1.025030932E9</v>
      </c>
      <c r="B32" s="28" t="s">
        <v>866</v>
      </c>
      <c r="C32" s="27" t="s">
        <v>184</v>
      </c>
      <c r="D32" s="11">
        <v>0.0</v>
      </c>
      <c r="E32" s="11">
        <v>0.0</v>
      </c>
      <c r="F32" s="11">
        <v>0.0</v>
      </c>
      <c r="G32" s="11">
        <v>0.0</v>
      </c>
      <c r="H32" s="11">
        <v>0.0</v>
      </c>
    </row>
    <row r="33" ht="15.75" customHeight="1">
      <c r="A33" s="27">
        <v>1.025030948E9</v>
      </c>
      <c r="B33" s="28" t="s">
        <v>875</v>
      </c>
      <c r="C33" s="27" t="s">
        <v>184</v>
      </c>
      <c r="D33" s="11">
        <v>0.0</v>
      </c>
      <c r="E33" s="11">
        <v>0.0</v>
      </c>
      <c r="F33" s="11">
        <v>0.0</v>
      </c>
      <c r="G33" s="11">
        <v>0.0</v>
      </c>
      <c r="H33" s="11">
        <v>0.0</v>
      </c>
    </row>
    <row r="34" ht="15.75" customHeight="1">
      <c r="A34" s="27">
        <v>1.025030953E9</v>
      </c>
      <c r="B34" s="28" t="s">
        <v>888</v>
      </c>
      <c r="C34" s="27" t="s">
        <v>184</v>
      </c>
      <c r="D34" s="11">
        <v>0.0</v>
      </c>
      <c r="E34" s="11">
        <v>0.0</v>
      </c>
      <c r="F34" s="11">
        <v>0.0</v>
      </c>
      <c r="G34" s="11">
        <v>0.0</v>
      </c>
      <c r="H34" s="11">
        <v>0.0</v>
      </c>
    </row>
    <row r="35" ht="15.75" customHeight="1">
      <c r="A35" s="27">
        <v>1.025030934E9</v>
      </c>
      <c r="B35" s="28" t="s">
        <v>900</v>
      </c>
      <c r="C35" s="27" t="s">
        <v>184</v>
      </c>
      <c r="D35" s="11">
        <v>0.0</v>
      </c>
      <c r="E35" s="11">
        <v>0.0</v>
      </c>
      <c r="F35" s="11">
        <v>0.0</v>
      </c>
      <c r="G35" s="11">
        <v>0.0</v>
      </c>
      <c r="H35" s="11">
        <v>0.0</v>
      </c>
    </row>
    <row r="36" ht="15.75" customHeight="1">
      <c r="A36" s="27">
        <v>1.025030959E9</v>
      </c>
      <c r="B36" s="28" t="s">
        <v>914</v>
      </c>
      <c r="C36" s="27" t="s">
        <v>184</v>
      </c>
      <c r="D36" s="11">
        <v>0.0</v>
      </c>
      <c r="E36" s="11">
        <v>0.0</v>
      </c>
      <c r="F36" s="11">
        <v>0.0</v>
      </c>
      <c r="G36" s="11">
        <v>0.0</v>
      </c>
      <c r="H36" s="11">
        <v>0.0</v>
      </c>
    </row>
    <row r="37" ht="15.75" customHeight="1">
      <c r="A37" s="27">
        <v>1.025030937E9</v>
      </c>
      <c r="B37" s="28" t="s">
        <v>921</v>
      </c>
      <c r="C37" s="27" t="s">
        <v>184</v>
      </c>
      <c r="D37" s="11">
        <v>0.0</v>
      </c>
      <c r="E37" s="11">
        <v>0.0</v>
      </c>
      <c r="F37" s="11">
        <v>0.0</v>
      </c>
      <c r="G37" s="11">
        <v>0.0</v>
      </c>
      <c r="H37" s="11">
        <v>0.0</v>
      </c>
    </row>
    <row r="38" ht="15.75" customHeight="1">
      <c r="A38" s="27">
        <v>1.025030947E9</v>
      </c>
      <c r="B38" s="28" t="s">
        <v>929</v>
      </c>
      <c r="C38" s="27" t="s">
        <v>184</v>
      </c>
      <c r="D38" s="11">
        <v>0.0</v>
      </c>
      <c r="E38" s="11">
        <v>0.0</v>
      </c>
      <c r="F38" s="11">
        <v>0.0</v>
      </c>
      <c r="G38" s="11">
        <v>0.0</v>
      </c>
      <c r="H38" s="11">
        <v>0.0</v>
      </c>
    </row>
    <row r="39" ht="15.75" customHeight="1">
      <c r="A39" s="27">
        <v>1.025030941E9</v>
      </c>
      <c r="B39" s="28" t="s">
        <v>939</v>
      </c>
      <c r="C39" s="27" t="s">
        <v>184</v>
      </c>
      <c r="D39" s="11">
        <v>0.0</v>
      </c>
      <c r="E39" s="11">
        <v>0.0</v>
      </c>
      <c r="F39" s="11">
        <v>0.0</v>
      </c>
      <c r="G39" s="11">
        <v>0.0</v>
      </c>
      <c r="H39" s="11">
        <v>0.0</v>
      </c>
    </row>
    <row r="40" ht="15.75" customHeight="1">
      <c r="A40" s="27">
        <v>1.025030949E9</v>
      </c>
      <c r="B40" s="28" t="s">
        <v>950</v>
      </c>
      <c r="C40" s="27" t="s">
        <v>184</v>
      </c>
      <c r="D40" s="11">
        <v>0.0</v>
      </c>
      <c r="E40" s="11">
        <v>0.0</v>
      </c>
      <c r="F40" s="11">
        <v>0.0</v>
      </c>
      <c r="G40" s="11">
        <v>0.0</v>
      </c>
      <c r="H40" s="11">
        <v>0.0</v>
      </c>
    </row>
    <row r="41" ht="15.75" customHeight="1">
      <c r="A41" s="27">
        <v>1.02503094E9</v>
      </c>
      <c r="B41" s="28" t="s">
        <v>959</v>
      </c>
      <c r="C41" s="27" t="s">
        <v>184</v>
      </c>
      <c r="D41" s="11">
        <v>0.0</v>
      </c>
      <c r="E41" s="11">
        <v>0.0</v>
      </c>
      <c r="F41" s="11">
        <v>0.0</v>
      </c>
      <c r="G41" s="11">
        <v>0.0</v>
      </c>
      <c r="H41" s="11">
        <v>0.0</v>
      </c>
    </row>
    <row r="42" ht="15.75" customHeight="1">
      <c r="A42" s="27">
        <v>1.025030936E9</v>
      </c>
      <c r="B42" s="28" t="s">
        <v>969</v>
      </c>
      <c r="C42" s="27" t="s">
        <v>184</v>
      </c>
      <c r="D42" s="11">
        <v>0.0</v>
      </c>
      <c r="E42" s="11">
        <v>0.0</v>
      </c>
      <c r="F42" s="11">
        <v>0.0</v>
      </c>
      <c r="G42" s="11">
        <v>0.0</v>
      </c>
      <c r="H42" s="11">
        <v>0.0</v>
      </c>
    </row>
    <row r="43" ht="15.75" customHeight="1">
      <c r="A43" s="27">
        <v>1.025030935E9</v>
      </c>
      <c r="B43" s="28" t="s">
        <v>980</v>
      </c>
      <c r="C43" s="27" t="s">
        <v>184</v>
      </c>
      <c r="D43" s="11">
        <v>0.0</v>
      </c>
      <c r="E43" s="11">
        <v>0.0</v>
      </c>
      <c r="F43" s="11">
        <v>0.0</v>
      </c>
      <c r="G43" s="11">
        <v>0.0</v>
      </c>
      <c r="H43" s="11">
        <v>0.0</v>
      </c>
    </row>
    <row r="44" ht="15.75" customHeight="1">
      <c r="A44" s="27">
        <v>1.025030938E9</v>
      </c>
      <c r="B44" s="28" t="s">
        <v>987</v>
      </c>
      <c r="C44" s="27" t="s">
        <v>184</v>
      </c>
      <c r="D44" s="11">
        <v>0.0</v>
      </c>
      <c r="E44" s="11">
        <v>0.0</v>
      </c>
      <c r="F44" s="11">
        <v>0.0</v>
      </c>
      <c r="G44" s="11">
        <v>0.0</v>
      </c>
      <c r="H44" s="11">
        <v>0.0</v>
      </c>
    </row>
    <row r="45" ht="15.75" customHeight="1">
      <c r="A45" s="27">
        <v>1.025030945E9</v>
      </c>
      <c r="B45" s="28" t="s">
        <v>995</v>
      </c>
      <c r="C45" s="27" t="s">
        <v>184</v>
      </c>
      <c r="D45" s="11">
        <v>0.0</v>
      </c>
      <c r="E45" s="11">
        <v>0.0</v>
      </c>
      <c r="F45" s="11">
        <v>0.0</v>
      </c>
      <c r="G45" s="11">
        <v>0.0</v>
      </c>
      <c r="H45" s="11">
        <v>0.0</v>
      </c>
    </row>
    <row r="46" ht="15.75" customHeight="1">
      <c r="A46" s="27">
        <v>1.02503096E9</v>
      </c>
      <c r="B46" s="28" t="s">
        <v>1006</v>
      </c>
      <c r="C46" s="27" t="s">
        <v>184</v>
      </c>
      <c r="D46" s="11">
        <v>0.0</v>
      </c>
      <c r="E46" s="11">
        <v>0.0</v>
      </c>
      <c r="F46" s="11">
        <v>0.0</v>
      </c>
      <c r="G46" s="11">
        <v>0.0</v>
      </c>
      <c r="H46" s="11">
        <v>0.0</v>
      </c>
    </row>
    <row r="47" ht="15.75" customHeight="1">
      <c r="A47" s="27">
        <v>1.025030581E9</v>
      </c>
      <c r="B47" s="28" t="s">
        <v>1016</v>
      </c>
      <c r="C47" s="27" t="s">
        <v>184</v>
      </c>
      <c r="D47" s="11">
        <v>0.0</v>
      </c>
      <c r="E47" s="11">
        <v>0.0</v>
      </c>
      <c r="F47" s="11">
        <v>0.0</v>
      </c>
      <c r="G47" s="11">
        <v>0.0</v>
      </c>
      <c r="H47" s="11">
        <v>0.0</v>
      </c>
    </row>
    <row r="48" ht="15.75" customHeight="1">
      <c r="A48" s="27">
        <v>1.025030942E9</v>
      </c>
      <c r="B48" s="28" t="s">
        <v>1024</v>
      </c>
      <c r="C48" s="27" t="s">
        <v>184</v>
      </c>
      <c r="D48" s="11">
        <v>0.0</v>
      </c>
      <c r="E48" s="11">
        <v>0.0</v>
      </c>
      <c r="F48" s="11">
        <v>0.0</v>
      </c>
      <c r="G48" s="11">
        <v>0.0</v>
      </c>
      <c r="H48" s="11">
        <v>0.0</v>
      </c>
    </row>
    <row r="49" ht="15.75" customHeight="1">
      <c r="A49" s="27">
        <v>1.025030957E9</v>
      </c>
      <c r="B49" s="28" t="s">
        <v>1032</v>
      </c>
      <c r="C49" s="27" t="s">
        <v>184</v>
      </c>
      <c r="D49" s="11">
        <v>0.0</v>
      </c>
      <c r="E49" s="11">
        <v>0.0</v>
      </c>
      <c r="F49" s="11">
        <v>0.0</v>
      </c>
      <c r="G49" s="11">
        <v>0.0</v>
      </c>
      <c r="H49" s="11">
        <v>0.0</v>
      </c>
    </row>
    <row r="50" ht="15.75" customHeight="1">
      <c r="A50" s="27">
        <v>1.025030939E9</v>
      </c>
      <c r="B50" s="28" t="s">
        <v>1042</v>
      </c>
      <c r="C50" s="27" t="s">
        <v>184</v>
      </c>
      <c r="D50" s="11">
        <v>0.0</v>
      </c>
      <c r="E50" s="11">
        <v>0.0</v>
      </c>
      <c r="F50" s="11">
        <v>0.0</v>
      </c>
      <c r="G50" s="11">
        <v>0.0</v>
      </c>
      <c r="H50" s="11">
        <v>0.0</v>
      </c>
    </row>
    <row r="51" ht="15.75" customHeight="1">
      <c r="A51" s="27">
        <v>1.025030955E9</v>
      </c>
      <c r="B51" s="28" t="s">
        <v>1048</v>
      </c>
      <c r="C51" s="27" t="s">
        <v>184</v>
      </c>
      <c r="D51" s="11">
        <v>0.0</v>
      </c>
      <c r="E51" s="11">
        <v>0.0</v>
      </c>
      <c r="F51" s="11">
        <v>0.0</v>
      </c>
      <c r="G51" s="11">
        <v>0.0</v>
      </c>
      <c r="H51" s="11">
        <v>0.0</v>
      </c>
    </row>
    <row r="52" ht="15.75" customHeight="1">
      <c r="A52" s="27">
        <v>1.025030958E9</v>
      </c>
      <c r="B52" s="28" t="s">
        <v>1059</v>
      </c>
      <c r="C52" s="27" t="s">
        <v>184</v>
      </c>
      <c r="D52" s="11">
        <v>0.0</v>
      </c>
      <c r="E52" s="11">
        <v>0.0</v>
      </c>
      <c r="F52" s="11">
        <v>0.0</v>
      </c>
      <c r="G52" s="11">
        <v>0.0</v>
      </c>
      <c r="H52" s="11">
        <v>0.0</v>
      </c>
    </row>
    <row r="53" ht="15.75" customHeight="1">
      <c r="A53" s="27">
        <v>1.025030985E9</v>
      </c>
      <c r="B53" s="28" t="s">
        <v>1070</v>
      </c>
      <c r="C53" s="27" t="s">
        <v>1071</v>
      </c>
      <c r="D53" s="11">
        <v>0.0</v>
      </c>
      <c r="E53" s="11">
        <v>0.0</v>
      </c>
      <c r="F53" s="11">
        <v>0.0</v>
      </c>
      <c r="G53" s="11">
        <v>0.0</v>
      </c>
      <c r="H53" s="11">
        <v>0.0</v>
      </c>
    </row>
    <row r="54" ht="15.75" customHeight="1">
      <c r="A54" s="27">
        <v>1.025030977E9</v>
      </c>
      <c r="B54" s="28" t="s">
        <v>1079</v>
      </c>
      <c r="C54" s="27" t="s">
        <v>1071</v>
      </c>
      <c r="D54" s="11">
        <v>0.0</v>
      </c>
      <c r="E54" s="11">
        <v>0.0</v>
      </c>
      <c r="F54" s="11">
        <v>0.0</v>
      </c>
      <c r="G54" s="11">
        <v>0.0</v>
      </c>
      <c r="H54" s="11">
        <v>0.0</v>
      </c>
    </row>
    <row r="55" ht="15.75" customHeight="1">
      <c r="A55" s="27">
        <v>1.025030982E9</v>
      </c>
      <c r="B55" s="28" t="s">
        <v>1091</v>
      </c>
      <c r="C55" s="27" t="s">
        <v>1071</v>
      </c>
      <c r="D55" s="11">
        <v>0.0</v>
      </c>
      <c r="E55" s="11">
        <v>0.0</v>
      </c>
      <c r="F55" s="11">
        <v>0.0</v>
      </c>
      <c r="G55" s="11">
        <v>0.0</v>
      </c>
      <c r="H55" s="11">
        <v>0.0</v>
      </c>
    </row>
    <row r="56" ht="15.75" customHeight="1">
      <c r="A56" s="27">
        <v>1.025030975E9</v>
      </c>
      <c r="B56" s="28" t="s">
        <v>1106</v>
      </c>
      <c r="C56" s="27" t="s">
        <v>1071</v>
      </c>
      <c r="D56" s="11">
        <v>0.0</v>
      </c>
      <c r="E56" s="11">
        <v>0.0</v>
      </c>
      <c r="F56" s="11">
        <v>0.0</v>
      </c>
      <c r="G56" s="11">
        <v>0.0</v>
      </c>
      <c r="H56" s="11">
        <v>0.0</v>
      </c>
    </row>
    <row r="57" ht="15.75" customHeight="1">
      <c r="A57" s="27">
        <v>1.025030973E9</v>
      </c>
      <c r="B57" s="28" t="s">
        <v>1116</v>
      </c>
      <c r="C57" s="27" t="s">
        <v>1071</v>
      </c>
      <c r="D57" s="11">
        <v>0.0</v>
      </c>
      <c r="E57" s="11">
        <v>0.0</v>
      </c>
      <c r="F57" s="11">
        <v>0.0</v>
      </c>
      <c r="G57" s="11">
        <v>0.0</v>
      </c>
      <c r="H57" s="11">
        <v>0.0</v>
      </c>
    </row>
    <row r="58" ht="15.75" customHeight="1">
      <c r="A58" s="27">
        <v>1.025030968E9</v>
      </c>
      <c r="B58" s="28" t="s">
        <v>1129</v>
      </c>
      <c r="C58" s="27" t="s">
        <v>1071</v>
      </c>
      <c r="D58" s="11">
        <v>0.0</v>
      </c>
      <c r="E58" s="11">
        <v>0.0</v>
      </c>
      <c r="F58" s="11">
        <v>0.0</v>
      </c>
      <c r="G58" s="11">
        <v>0.0</v>
      </c>
      <c r="H58" s="11">
        <v>0.0</v>
      </c>
    </row>
    <row r="59" ht="15.75" customHeight="1">
      <c r="A59" s="27">
        <v>1.025030981E9</v>
      </c>
      <c r="B59" s="28" t="s">
        <v>1141</v>
      </c>
      <c r="C59" s="27" t="s">
        <v>1071</v>
      </c>
      <c r="D59" s="11">
        <v>0.0</v>
      </c>
      <c r="E59" s="11">
        <v>0.0</v>
      </c>
      <c r="F59" s="11">
        <v>0.0</v>
      </c>
      <c r="G59" s="11">
        <v>0.0</v>
      </c>
      <c r="H59" s="11">
        <v>0.0</v>
      </c>
    </row>
    <row r="60" ht="15.75" customHeight="1">
      <c r="A60" s="27">
        <v>1.025030956E9</v>
      </c>
      <c r="B60" s="28" t="s">
        <v>1151</v>
      </c>
      <c r="C60" s="27" t="s">
        <v>1071</v>
      </c>
      <c r="D60" s="11">
        <v>0.0</v>
      </c>
      <c r="E60" s="11">
        <v>0.0</v>
      </c>
      <c r="F60" s="11">
        <v>0.0</v>
      </c>
      <c r="G60" s="11">
        <v>0.0</v>
      </c>
      <c r="H60" s="11">
        <v>0.0</v>
      </c>
    </row>
    <row r="61" ht="15.75" customHeight="1">
      <c r="A61" s="27">
        <v>1.025030976E9</v>
      </c>
      <c r="B61" s="28" t="s">
        <v>1160</v>
      </c>
      <c r="C61" s="27" t="s">
        <v>1071</v>
      </c>
      <c r="D61" s="11">
        <v>0.0</v>
      </c>
      <c r="E61" s="11">
        <v>0.0</v>
      </c>
      <c r="F61" s="11">
        <v>0.0</v>
      </c>
      <c r="G61" s="11">
        <v>0.0</v>
      </c>
      <c r="H61" s="11">
        <v>0.0</v>
      </c>
    </row>
    <row r="62" ht="15.75" customHeight="1">
      <c r="A62" s="27">
        <v>1.025030983E9</v>
      </c>
      <c r="B62" s="28" t="s">
        <v>1171</v>
      </c>
      <c r="C62" s="27" t="s">
        <v>1071</v>
      </c>
      <c r="D62" s="11">
        <v>0.0</v>
      </c>
      <c r="E62" s="11">
        <v>0.0</v>
      </c>
      <c r="F62" s="11">
        <v>0.0</v>
      </c>
      <c r="G62" s="11">
        <v>0.0</v>
      </c>
      <c r="H62" s="11">
        <v>0.0</v>
      </c>
    </row>
    <row r="63" ht="15.75" customHeight="1">
      <c r="A63" s="27">
        <v>1.025030971E9</v>
      </c>
      <c r="B63" s="28" t="s">
        <v>1182</v>
      </c>
      <c r="C63" s="27" t="s">
        <v>1071</v>
      </c>
      <c r="D63" s="11">
        <v>0.0</v>
      </c>
      <c r="E63" s="11">
        <v>0.0</v>
      </c>
      <c r="F63" s="11">
        <v>0.0</v>
      </c>
      <c r="G63" s="11">
        <v>0.0</v>
      </c>
      <c r="H63" s="11">
        <v>0.0</v>
      </c>
    </row>
    <row r="64" ht="15.75" customHeight="1">
      <c r="A64" s="27">
        <v>1.025030965E9</v>
      </c>
      <c r="B64" s="28" t="s">
        <v>1192</v>
      </c>
      <c r="C64" s="27" t="s">
        <v>1071</v>
      </c>
      <c r="D64" s="11">
        <v>0.0</v>
      </c>
      <c r="E64" s="11">
        <v>0.0</v>
      </c>
      <c r="F64" s="11">
        <v>0.0</v>
      </c>
      <c r="G64" s="11">
        <v>0.0</v>
      </c>
      <c r="H64" s="11">
        <v>0.0</v>
      </c>
    </row>
    <row r="65" ht="15.75" customHeight="1">
      <c r="A65" s="27">
        <v>1.025030967E9</v>
      </c>
      <c r="B65" s="28" t="s">
        <v>1203</v>
      </c>
      <c r="C65" s="27" t="s">
        <v>1071</v>
      </c>
      <c r="D65" s="11">
        <v>0.0</v>
      </c>
      <c r="E65" s="11">
        <v>0.0</v>
      </c>
      <c r="F65" s="11">
        <v>0.0</v>
      </c>
      <c r="G65" s="11">
        <v>0.0</v>
      </c>
      <c r="H65" s="11">
        <v>0.0</v>
      </c>
    </row>
    <row r="66" ht="15.75" customHeight="1">
      <c r="A66" s="27">
        <v>1.025030969E9</v>
      </c>
      <c r="B66" s="28" t="s">
        <v>1211</v>
      </c>
      <c r="C66" s="27" t="s">
        <v>1071</v>
      </c>
      <c r="D66" s="11">
        <v>0.0</v>
      </c>
      <c r="E66" s="11">
        <v>0.0</v>
      </c>
      <c r="F66" s="11">
        <v>0.0</v>
      </c>
      <c r="G66" s="11">
        <v>0.0</v>
      </c>
      <c r="H66" s="11">
        <v>0.0</v>
      </c>
    </row>
    <row r="67" ht="15.75" customHeight="1">
      <c r="A67" s="27">
        <v>1.025030964E9</v>
      </c>
      <c r="B67" s="28" t="s">
        <v>1220</v>
      </c>
      <c r="C67" s="27" t="s">
        <v>1071</v>
      </c>
      <c r="D67" s="11">
        <v>0.0</v>
      </c>
      <c r="E67" s="11">
        <v>0.0</v>
      </c>
      <c r="F67" s="11">
        <v>0.0</v>
      </c>
      <c r="G67" s="11">
        <v>0.0</v>
      </c>
      <c r="H67" s="11">
        <v>0.0</v>
      </c>
    </row>
    <row r="68" ht="15.75" customHeight="1">
      <c r="A68" s="27">
        <v>1.025031077E9</v>
      </c>
      <c r="B68" s="28" t="s">
        <v>1237</v>
      </c>
      <c r="C68" s="27" t="s">
        <v>1071</v>
      </c>
      <c r="D68" s="11">
        <v>0.0</v>
      </c>
      <c r="E68" s="11">
        <v>0.0</v>
      </c>
      <c r="F68" s="11">
        <v>0.0</v>
      </c>
      <c r="G68" s="11">
        <v>0.0</v>
      </c>
      <c r="H68" s="11">
        <v>0.0</v>
      </c>
    </row>
    <row r="69" ht="15.75" customHeight="1">
      <c r="A69" s="27">
        <v>1.025030984E9</v>
      </c>
      <c r="B69" s="28" t="s">
        <v>1249</v>
      </c>
      <c r="C69" s="27" t="s">
        <v>1071</v>
      </c>
      <c r="D69" s="11">
        <v>0.0</v>
      </c>
      <c r="E69" s="11">
        <v>0.0</v>
      </c>
      <c r="F69" s="11">
        <v>0.0</v>
      </c>
      <c r="G69" s="11">
        <v>0.0</v>
      </c>
      <c r="H69" s="11">
        <v>0.0</v>
      </c>
    </row>
    <row r="70" ht="15.75" customHeight="1">
      <c r="A70" s="27">
        <v>1.02503109E9</v>
      </c>
      <c r="B70" s="28" t="s">
        <v>1257</v>
      </c>
      <c r="C70" s="27" t="s">
        <v>1071</v>
      </c>
      <c r="D70" s="11">
        <v>0.0</v>
      </c>
      <c r="E70" s="11">
        <v>0.0</v>
      </c>
      <c r="F70" s="11">
        <v>0.0</v>
      </c>
      <c r="G70" s="11">
        <v>0.0</v>
      </c>
      <c r="H70" s="11">
        <v>0.0</v>
      </c>
    </row>
    <row r="71" ht="15.75" customHeight="1">
      <c r="A71" s="27">
        <v>1.02503097E9</v>
      </c>
      <c r="B71" s="28" t="s">
        <v>1267</v>
      </c>
      <c r="C71" s="27" t="s">
        <v>1071</v>
      </c>
      <c r="D71" s="11">
        <v>0.0</v>
      </c>
      <c r="E71" s="11">
        <v>0.0</v>
      </c>
      <c r="F71" s="11">
        <v>0.0</v>
      </c>
      <c r="G71" s="11">
        <v>0.0</v>
      </c>
      <c r="H71" s="11">
        <v>0.0</v>
      </c>
    </row>
    <row r="72" ht="15.75" customHeight="1">
      <c r="A72" s="27">
        <v>1.025030986E9</v>
      </c>
      <c r="B72" s="28" t="s">
        <v>1276</v>
      </c>
      <c r="C72" s="27" t="s">
        <v>1071</v>
      </c>
      <c r="D72" s="11">
        <v>0.0</v>
      </c>
      <c r="E72" s="11">
        <v>0.0</v>
      </c>
      <c r="F72" s="11">
        <v>0.0</v>
      </c>
      <c r="G72" s="11">
        <v>0.0</v>
      </c>
      <c r="H72" s="11">
        <v>0.0</v>
      </c>
    </row>
    <row r="73" ht="15.75" customHeight="1">
      <c r="A73" s="27">
        <v>1.025030962E9</v>
      </c>
      <c r="B73" s="28" t="s">
        <v>1283</v>
      </c>
      <c r="C73" s="27" t="s">
        <v>1071</v>
      </c>
      <c r="D73" s="11">
        <v>0.0</v>
      </c>
      <c r="E73" s="11">
        <v>0.0</v>
      </c>
      <c r="F73" s="11">
        <v>0.0</v>
      </c>
      <c r="G73" s="11">
        <v>0.0</v>
      </c>
      <c r="H73" s="11">
        <v>0.0</v>
      </c>
    </row>
    <row r="74" ht="15.75" customHeight="1">
      <c r="A74" s="27">
        <v>1.025030728E9</v>
      </c>
      <c r="B74" s="28" t="s">
        <v>1295</v>
      </c>
      <c r="C74" s="27" t="s">
        <v>1071</v>
      </c>
      <c r="D74" s="11">
        <v>0.0</v>
      </c>
      <c r="E74" s="11">
        <v>0.0</v>
      </c>
      <c r="F74" s="11">
        <v>0.0</v>
      </c>
      <c r="G74" s="11">
        <v>0.0</v>
      </c>
      <c r="H74" s="11">
        <v>0.0</v>
      </c>
    </row>
    <row r="75" ht="15.75" customHeight="1">
      <c r="A75" s="27">
        <v>1.025030987E9</v>
      </c>
      <c r="B75" s="28" t="s">
        <v>1305</v>
      </c>
      <c r="C75" s="27" t="s">
        <v>1071</v>
      </c>
      <c r="D75" s="11">
        <v>0.0</v>
      </c>
      <c r="E75" s="11">
        <v>0.0</v>
      </c>
      <c r="F75" s="11">
        <v>0.0</v>
      </c>
      <c r="G75" s="11">
        <v>0.0</v>
      </c>
      <c r="H75" s="11">
        <v>0.0</v>
      </c>
    </row>
    <row r="76" ht="15.75" customHeight="1">
      <c r="A76" s="27">
        <v>1.02503098E9</v>
      </c>
      <c r="B76" s="28" t="s">
        <v>1316</v>
      </c>
      <c r="C76" s="27" t="s">
        <v>1071</v>
      </c>
      <c r="D76" s="11">
        <v>0.0</v>
      </c>
      <c r="E76" s="11">
        <v>0.0</v>
      </c>
      <c r="F76" s="11">
        <v>0.0</v>
      </c>
      <c r="G76" s="11">
        <v>0.0</v>
      </c>
      <c r="H76" s="11">
        <v>0.0</v>
      </c>
    </row>
    <row r="77" ht="15.75" customHeight="1">
      <c r="A77" s="27">
        <v>1.025031038E9</v>
      </c>
      <c r="B77" s="28" t="s">
        <v>1325</v>
      </c>
      <c r="C77" s="27" t="s">
        <v>1071</v>
      </c>
      <c r="D77" s="11">
        <v>0.0</v>
      </c>
      <c r="E77" s="11">
        <v>0.0</v>
      </c>
      <c r="F77" s="11">
        <v>0.0</v>
      </c>
      <c r="G77" s="11">
        <v>0.0</v>
      </c>
      <c r="H77" s="11">
        <v>0.0</v>
      </c>
    </row>
    <row r="78" ht="15.75" customHeight="1">
      <c r="A78" s="27">
        <v>1.025030961E9</v>
      </c>
      <c r="B78" s="28" t="s">
        <v>1333</v>
      </c>
      <c r="C78" s="27" t="s">
        <v>1071</v>
      </c>
      <c r="D78" s="11">
        <v>0.0</v>
      </c>
      <c r="E78" s="11">
        <v>0.0</v>
      </c>
      <c r="F78" s="11">
        <v>0.0</v>
      </c>
      <c r="G78" s="11">
        <v>0.0</v>
      </c>
      <c r="H78" s="11">
        <v>0.0</v>
      </c>
    </row>
    <row r="79" ht="15.75" customHeight="1">
      <c r="A79" s="27">
        <v>1.025030978E9</v>
      </c>
      <c r="B79" s="28" t="s">
        <v>1344</v>
      </c>
      <c r="C79" s="27" t="s">
        <v>1071</v>
      </c>
      <c r="D79" s="11">
        <v>0.0</v>
      </c>
      <c r="E79" s="11">
        <v>0.0</v>
      </c>
      <c r="F79" s="11">
        <v>0.0</v>
      </c>
      <c r="G79" s="11">
        <v>0.0</v>
      </c>
      <c r="H79" s="11">
        <v>0.0</v>
      </c>
    </row>
    <row r="80" ht="15.75" customHeight="1">
      <c r="A80" s="27">
        <v>1.025030979E9</v>
      </c>
      <c r="B80" s="28" t="s">
        <v>1352</v>
      </c>
      <c r="C80" s="27" t="s">
        <v>1071</v>
      </c>
      <c r="D80" s="11">
        <v>0.0</v>
      </c>
      <c r="E80" s="11">
        <v>0.0</v>
      </c>
      <c r="F80" s="11">
        <v>0.0</v>
      </c>
      <c r="G80" s="11">
        <v>0.0</v>
      </c>
      <c r="H80" s="11">
        <v>0.0</v>
      </c>
    </row>
    <row r="81" ht="15.75" customHeight="1">
      <c r="A81" s="27">
        <v>1.025031066E9</v>
      </c>
      <c r="B81" s="28" t="s">
        <v>1359</v>
      </c>
      <c r="C81" s="27" t="s">
        <v>1071</v>
      </c>
      <c r="D81" s="11">
        <v>0.0</v>
      </c>
      <c r="E81" s="11">
        <v>0.0</v>
      </c>
      <c r="F81" s="11">
        <v>0.0</v>
      </c>
      <c r="G81" s="11">
        <v>0.0</v>
      </c>
      <c r="H81" s="11">
        <v>0.0</v>
      </c>
    </row>
    <row r="82" ht="15.75" customHeight="1">
      <c r="A82" s="27">
        <v>1.025030972E9</v>
      </c>
      <c r="B82" s="28" t="s">
        <v>1372</v>
      </c>
      <c r="C82" s="27" t="s">
        <v>1071</v>
      </c>
      <c r="D82" s="11">
        <v>0.0</v>
      </c>
      <c r="E82" s="11">
        <v>0.0</v>
      </c>
      <c r="F82" s="11">
        <v>0.0</v>
      </c>
      <c r="G82" s="11">
        <v>0.0</v>
      </c>
      <c r="H82" s="11">
        <v>0.0</v>
      </c>
    </row>
    <row r="83" ht="15.75" customHeight="1">
      <c r="A83" s="27">
        <v>1.02503101E9</v>
      </c>
      <c r="B83" s="28" t="s">
        <v>1378</v>
      </c>
      <c r="C83" s="27" t="s">
        <v>1379</v>
      </c>
      <c r="D83" s="11">
        <v>0.0</v>
      </c>
      <c r="E83" s="11">
        <v>0.0</v>
      </c>
      <c r="F83" s="11">
        <v>0.0</v>
      </c>
      <c r="G83" s="11">
        <v>0.0</v>
      </c>
      <c r="H83" s="11">
        <v>0.0</v>
      </c>
    </row>
    <row r="84" ht="15.75" customHeight="1">
      <c r="A84" s="27">
        <v>1.025031093E9</v>
      </c>
      <c r="B84" s="28" t="s">
        <v>1390</v>
      </c>
      <c r="C84" s="27" t="s">
        <v>1379</v>
      </c>
      <c r="D84" s="11">
        <v>0.0</v>
      </c>
      <c r="E84" s="11">
        <v>0.0</v>
      </c>
      <c r="F84" s="11">
        <v>0.0</v>
      </c>
      <c r="G84" s="11">
        <v>0.0</v>
      </c>
      <c r="H84" s="11">
        <v>0.0</v>
      </c>
    </row>
    <row r="85" ht="15.75" customHeight="1">
      <c r="A85" s="27">
        <v>1.025031013E9</v>
      </c>
      <c r="B85" s="28" t="s">
        <v>1400</v>
      </c>
      <c r="C85" s="27" t="s">
        <v>1379</v>
      </c>
      <c r="D85" s="11">
        <v>0.0</v>
      </c>
      <c r="E85" s="11">
        <v>0.0</v>
      </c>
      <c r="F85" s="11">
        <v>0.0</v>
      </c>
      <c r="G85" s="11">
        <v>0.0</v>
      </c>
      <c r="H85" s="11">
        <v>0.0</v>
      </c>
    </row>
    <row r="86" ht="15.75" customHeight="1">
      <c r="A86" s="27">
        <v>1.025031015E9</v>
      </c>
      <c r="B86" s="28" t="s">
        <v>1409</v>
      </c>
      <c r="C86" s="27" t="s">
        <v>1379</v>
      </c>
      <c r="D86" s="11">
        <v>0.0</v>
      </c>
      <c r="E86" s="11">
        <v>0.0</v>
      </c>
      <c r="F86" s="11">
        <v>0.0</v>
      </c>
      <c r="G86" s="11">
        <v>0.0</v>
      </c>
      <c r="H86" s="11">
        <v>0.0</v>
      </c>
    </row>
    <row r="87" ht="15.75" customHeight="1">
      <c r="A87" s="27">
        <v>1.025030998E9</v>
      </c>
      <c r="B87" s="28" t="s">
        <v>1420</v>
      </c>
      <c r="C87" s="27" t="s">
        <v>1379</v>
      </c>
      <c r="D87" s="11">
        <v>0.0</v>
      </c>
      <c r="E87" s="11">
        <v>0.0</v>
      </c>
      <c r="F87" s="11">
        <v>0.0</v>
      </c>
      <c r="G87" s="11">
        <v>0.0</v>
      </c>
      <c r="H87" s="11">
        <v>0.0</v>
      </c>
    </row>
    <row r="88" ht="15.75" customHeight="1">
      <c r="A88" s="27">
        <v>1.025030994E9</v>
      </c>
      <c r="B88" s="28" t="s">
        <v>1429</v>
      </c>
      <c r="C88" s="27" t="s">
        <v>1379</v>
      </c>
      <c r="D88" s="11">
        <v>0.0</v>
      </c>
      <c r="E88" s="11">
        <v>0.0</v>
      </c>
      <c r="F88" s="11">
        <v>0.0</v>
      </c>
      <c r="G88" s="11">
        <v>0.0</v>
      </c>
      <c r="H88" s="11">
        <v>0.0</v>
      </c>
    </row>
    <row r="89" ht="15.75" customHeight="1">
      <c r="A89" s="27">
        <v>1.025031011E9</v>
      </c>
      <c r="B89" s="28" t="s">
        <v>1447</v>
      </c>
      <c r="C89" s="27" t="s">
        <v>1379</v>
      </c>
      <c r="D89" s="11">
        <v>0.0</v>
      </c>
      <c r="E89" s="11">
        <v>0.0</v>
      </c>
      <c r="F89" s="11">
        <v>0.0</v>
      </c>
      <c r="G89" s="11">
        <v>0.0</v>
      </c>
      <c r="H89" s="11">
        <v>0.0</v>
      </c>
    </row>
    <row r="90" ht="15.75" customHeight="1">
      <c r="A90" s="27">
        <v>1.025030182E9</v>
      </c>
      <c r="B90" s="28" t="s">
        <v>1461</v>
      </c>
      <c r="C90" s="27" t="s">
        <v>1379</v>
      </c>
      <c r="D90" s="11">
        <v>0.0</v>
      </c>
      <c r="E90" s="11">
        <v>0.0</v>
      </c>
      <c r="F90" s="11">
        <v>0.0</v>
      </c>
      <c r="G90" s="11">
        <v>0.0</v>
      </c>
      <c r="H90" s="11">
        <v>0.0</v>
      </c>
    </row>
    <row r="91" ht="15.75" customHeight="1">
      <c r="A91" s="27">
        <v>1.025030993E9</v>
      </c>
      <c r="B91" s="28" t="s">
        <v>1472</v>
      </c>
      <c r="C91" s="27" t="s">
        <v>1379</v>
      </c>
      <c r="D91" s="11">
        <v>0.0</v>
      </c>
      <c r="E91" s="11">
        <v>0.0</v>
      </c>
      <c r="F91" s="11">
        <v>0.0</v>
      </c>
      <c r="G91" s="11">
        <v>0.0</v>
      </c>
      <c r="H91" s="11">
        <v>0.0</v>
      </c>
    </row>
    <row r="92" ht="15.75" customHeight="1">
      <c r="A92" s="27">
        <v>1.025030997E9</v>
      </c>
      <c r="B92" s="28" t="s">
        <v>1481</v>
      </c>
      <c r="C92" s="27" t="s">
        <v>1379</v>
      </c>
      <c r="D92" s="11">
        <v>0.0</v>
      </c>
      <c r="E92" s="11">
        <v>0.0</v>
      </c>
      <c r="F92" s="11">
        <v>0.0</v>
      </c>
      <c r="G92" s="11">
        <v>0.0</v>
      </c>
      <c r="H92" s="11">
        <v>0.0</v>
      </c>
    </row>
    <row r="93" ht="15.75" customHeight="1">
      <c r="A93" s="27">
        <v>1.025031012E9</v>
      </c>
      <c r="B93" s="28" t="s">
        <v>1490</v>
      </c>
      <c r="C93" s="27" t="s">
        <v>1379</v>
      </c>
      <c r="D93" s="11">
        <v>0.0</v>
      </c>
      <c r="E93" s="11">
        <v>0.0</v>
      </c>
      <c r="F93" s="11">
        <v>0.0</v>
      </c>
      <c r="G93" s="11">
        <v>0.0</v>
      </c>
      <c r="H93" s="11">
        <v>0.0</v>
      </c>
    </row>
    <row r="94" ht="15.75" customHeight="1">
      <c r="A94" s="27">
        <v>1.025031005E9</v>
      </c>
      <c r="B94" s="28" t="s">
        <v>1500</v>
      </c>
      <c r="C94" s="27" t="s">
        <v>1379</v>
      </c>
      <c r="D94" s="11">
        <v>0.0</v>
      </c>
      <c r="E94" s="11">
        <v>0.0</v>
      </c>
      <c r="F94" s="11">
        <v>0.0</v>
      </c>
      <c r="G94" s="11">
        <v>0.0</v>
      </c>
      <c r="H94" s="11">
        <v>0.0</v>
      </c>
    </row>
    <row r="95" ht="15.75" customHeight="1">
      <c r="A95" s="27">
        <v>1.025030874E9</v>
      </c>
      <c r="B95" s="28" t="s">
        <v>1513</v>
      </c>
      <c r="C95" s="27" t="s">
        <v>1379</v>
      </c>
      <c r="D95" s="11">
        <v>0.0</v>
      </c>
      <c r="E95" s="11">
        <v>0.0</v>
      </c>
      <c r="F95" s="11">
        <v>0.0</v>
      </c>
      <c r="G95" s="11">
        <v>0.0</v>
      </c>
      <c r="H95" s="11">
        <v>0.0</v>
      </c>
    </row>
    <row r="96" ht="15.75" customHeight="1">
      <c r="A96" s="27">
        <v>1.025030991E9</v>
      </c>
      <c r="B96" s="28" t="s">
        <v>1521</v>
      </c>
      <c r="C96" s="27" t="s">
        <v>1379</v>
      </c>
      <c r="D96" s="11">
        <v>0.0</v>
      </c>
      <c r="E96" s="11">
        <v>0.0</v>
      </c>
      <c r="F96" s="11">
        <v>0.0</v>
      </c>
      <c r="G96" s="11">
        <v>0.0</v>
      </c>
      <c r="H96" s="11">
        <v>0.0</v>
      </c>
    </row>
    <row r="97" ht="15.75" customHeight="1">
      <c r="A97" s="27">
        <v>1.025031006E9</v>
      </c>
      <c r="B97" s="28" t="s">
        <v>1531</v>
      </c>
      <c r="C97" s="27" t="s">
        <v>1379</v>
      </c>
      <c r="D97" s="11">
        <v>0.0</v>
      </c>
      <c r="E97" s="11">
        <v>0.0</v>
      </c>
      <c r="F97" s="11">
        <v>0.0</v>
      </c>
      <c r="G97" s="11">
        <v>0.0</v>
      </c>
      <c r="H97" s="11">
        <v>0.0</v>
      </c>
    </row>
    <row r="98" ht="15.75" customHeight="1">
      <c r="A98" s="27">
        <v>1.025030999E9</v>
      </c>
      <c r="B98" s="28" t="s">
        <v>1538</v>
      </c>
      <c r="C98" s="27" t="s">
        <v>1379</v>
      </c>
      <c r="D98" s="11">
        <v>0.0</v>
      </c>
      <c r="E98" s="11">
        <v>0.0</v>
      </c>
      <c r="F98" s="11">
        <v>0.0</v>
      </c>
      <c r="G98" s="11">
        <v>0.0</v>
      </c>
      <c r="H98" s="11">
        <v>0.0</v>
      </c>
    </row>
    <row r="99" ht="15.75" customHeight="1">
      <c r="A99" s="27">
        <v>1.025031014E9</v>
      </c>
      <c r="B99" s="28" t="s">
        <v>1545</v>
      </c>
      <c r="C99" s="27" t="s">
        <v>1379</v>
      </c>
      <c r="D99" s="11">
        <v>0.0</v>
      </c>
      <c r="E99" s="11">
        <v>0.0</v>
      </c>
      <c r="F99" s="11">
        <v>0.0</v>
      </c>
      <c r="G99" s="11">
        <v>0.0</v>
      </c>
      <c r="H99" s="11">
        <v>0.0</v>
      </c>
    </row>
    <row r="100" ht="15.75" customHeight="1">
      <c r="A100" s="27">
        <v>1.025030996E9</v>
      </c>
      <c r="B100" s="28" t="s">
        <v>1552</v>
      </c>
      <c r="C100" s="27" t="s">
        <v>1379</v>
      </c>
      <c r="D100" s="11">
        <v>0.0</v>
      </c>
      <c r="E100" s="11">
        <v>0.0</v>
      </c>
      <c r="F100" s="11">
        <v>0.0</v>
      </c>
      <c r="G100" s="11">
        <v>0.0</v>
      </c>
      <c r="H100" s="11">
        <v>0.0</v>
      </c>
    </row>
    <row r="101" ht="15.75" customHeight="1">
      <c r="A101" s="27">
        <v>1.025031003E9</v>
      </c>
      <c r="B101" s="28" t="s">
        <v>1560</v>
      </c>
      <c r="C101" s="27" t="s">
        <v>1379</v>
      </c>
      <c r="D101" s="11">
        <v>0.0</v>
      </c>
      <c r="E101" s="11">
        <v>0.0</v>
      </c>
      <c r="F101" s="11">
        <v>0.0</v>
      </c>
      <c r="G101" s="11">
        <v>0.0</v>
      </c>
      <c r="H101" s="11">
        <v>0.0</v>
      </c>
    </row>
    <row r="102" ht="15.75" customHeight="1">
      <c r="A102" s="27">
        <v>1.025031008E9</v>
      </c>
      <c r="B102" s="28" t="s">
        <v>914</v>
      </c>
      <c r="C102" s="27" t="s">
        <v>1379</v>
      </c>
      <c r="D102" s="11">
        <v>0.0</v>
      </c>
      <c r="E102" s="11">
        <v>0.0</v>
      </c>
      <c r="F102" s="11">
        <v>0.0</v>
      </c>
      <c r="G102" s="11">
        <v>0.0</v>
      </c>
      <c r="H102" s="11">
        <v>0.0</v>
      </c>
    </row>
    <row r="103" ht="15.75" customHeight="1">
      <c r="A103" s="27">
        <v>1.02503099E9</v>
      </c>
      <c r="B103" s="28" t="s">
        <v>1581</v>
      </c>
      <c r="C103" s="27" t="s">
        <v>1379</v>
      </c>
      <c r="D103" s="11">
        <v>0.0</v>
      </c>
      <c r="E103" s="11">
        <v>0.0</v>
      </c>
      <c r="F103" s="11">
        <v>0.0</v>
      </c>
      <c r="G103" s="11">
        <v>0.0</v>
      </c>
      <c r="H103" s="11">
        <v>0.0</v>
      </c>
    </row>
    <row r="104" ht="15.75" customHeight="1">
      <c r="A104" s="27">
        <v>1.025031001E9</v>
      </c>
      <c r="B104" s="28" t="s">
        <v>1591</v>
      </c>
      <c r="C104" s="27" t="s">
        <v>1379</v>
      </c>
      <c r="D104" s="11">
        <v>0.0</v>
      </c>
      <c r="E104" s="11">
        <v>0.0</v>
      </c>
      <c r="F104" s="11">
        <v>0.0</v>
      </c>
      <c r="G104" s="11">
        <v>0.0</v>
      </c>
      <c r="H104" s="11">
        <v>0.0</v>
      </c>
    </row>
    <row r="105" ht="15.75" customHeight="1">
      <c r="A105" s="27">
        <v>1.025030736E9</v>
      </c>
      <c r="B105" s="28" t="s">
        <v>1601</v>
      </c>
      <c r="C105" s="27" t="s">
        <v>1379</v>
      </c>
      <c r="D105" s="11">
        <v>0.0</v>
      </c>
      <c r="E105" s="11">
        <v>0.0</v>
      </c>
      <c r="F105" s="11">
        <v>0.0</v>
      </c>
      <c r="G105" s="11">
        <v>0.0</v>
      </c>
      <c r="H105" s="11">
        <v>0.0</v>
      </c>
    </row>
    <row r="106" ht="15.75" customHeight="1">
      <c r="A106" s="27">
        <v>1.025031007E9</v>
      </c>
      <c r="B106" s="28" t="s">
        <v>1613</v>
      </c>
      <c r="C106" s="27" t="s">
        <v>1379</v>
      </c>
      <c r="D106" s="11">
        <v>0.0</v>
      </c>
      <c r="E106" s="11">
        <v>0.0</v>
      </c>
      <c r="F106" s="11">
        <v>0.0</v>
      </c>
      <c r="G106" s="11">
        <v>0.0</v>
      </c>
      <c r="H106" s="11">
        <v>0.0</v>
      </c>
    </row>
    <row r="107" ht="15.75" customHeight="1">
      <c r="A107" s="27">
        <v>1.025031019E9</v>
      </c>
      <c r="B107" s="28" t="s">
        <v>1620</v>
      </c>
      <c r="C107" s="27" t="s">
        <v>1622</v>
      </c>
      <c r="D107" s="11">
        <v>0.0</v>
      </c>
      <c r="E107" s="11">
        <v>0.0</v>
      </c>
      <c r="F107" s="11">
        <v>0.0</v>
      </c>
      <c r="G107" s="11">
        <v>0.0</v>
      </c>
      <c r="H107" s="11">
        <v>0.0</v>
      </c>
    </row>
    <row r="108" ht="15.75" customHeight="1">
      <c r="A108" s="27">
        <v>1.025031033E9</v>
      </c>
      <c r="B108" s="28" t="s">
        <v>1632</v>
      </c>
      <c r="C108" s="27" t="s">
        <v>1622</v>
      </c>
      <c r="D108" s="11">
        <v>0.0</v>
      </c>
      <c r="E108" s="11">
        <v>0.0</v>
      </c>
      <c r="F108" s="11">
        <v>0.0</v>
      </c>
      <c r="G108" s="11">
        <v>0.0</v>
      </c>
      <c r="H108" s="11">
        <v>0.0</v>
      </c>
    </row>
    <row r="109" ht="15.75" customHeight="1">
      <c r="A109" s="27">
        <v>1.025031039E9</v>
      </c>
      <c r="B109" s="28" t="s">
        <v>1640</v>
      </c>
      <c r="C109" s="27" t="s">
        <v>1622</v>
      </c>
      <c r="D109" s="11">
        <v>0.0</v>
      </c>
      <c r="E109" s="11">
        <v>0.0</v>
      </c>
      <c r="F109" s="11">
        <v>0.0</v>
      </c>
      <c r="G109" s="11">
        <v>0.0</v>
      </c>
      <c r="H109" s="11">
        <v>0.0</v>
      </c>
    </row>
    <row r="110" ht="15.75" customHeight="1">
      <c r="A110" s="27">
        <v>1.025031059E9</v>
      </c>
      <c r="B110" s="28" t="s">
        <v>1652</v>
      </c>
      <c r="C110" s="27" t="s">
        <v>1622</v>
      </c>
      <c r="D110" s="11">
        <v>0.0</v>
      </c>
      <c r="E110" s="11">
        <v>0.0</v>
      </c>
      <c r="F110" s="11">
        <v>0.0</v>
      </c>
      <c r="G110" s="11">
        <v>0.0</v>
      </c>
      <c r="H110" s="11">
        <v>0.0</v>
      </c>
    </row>
    <row r="111" ht="15.75" customHeight="1">
      <c r="A111" s="27">
        <v>1.025030339E9</v>
      </c>
      <c r="B111" s="28" t="s">
        <v>1662</v>
      </c>
      <c r="C111" s="27" t="s">
        <v>1622</v>
      </c>
      <c r="D111" s="11">
        <v>0.0</v>
      </c>
      <c r="E111" s="11">
        <v>0.0</v>
      </c>
      <c r="F111" s="11">
        <v>0.0</v>
      </c>
      <c r="G111" s="11">
        <v>0.0</v>
      </c>
      <c r="H111" s="11">
        <v>0.0</v>
      </c>
    </row>
    <row r="112" ht="15.75" customHeight="1">
      <c r="A112" s="27">
        <v>1.025031016E9</v>
      </c>
      <c r="B112" s="28" t="s">
        <v>1673</v>
      </c>
      <c r="C112" s="27" t="s">
        <v>1622</v>
      </c>
      <c r="D112" s="11">
        <v>0.0</v>
      </c>
      <c r="E112" s="11">
        <v>0.0</v>
      </c>
      <c r="F112" s="11">
        <v>0.0</v>
      </c>
      <c r="G112" s="11">
        <v>0.0</v>
      </c>
      <c r="H112" s="11">
        <v>0.0</v>
      </c>
    </row>
    <row r="113" ht="15.75" customHeight="1">
      <c r="A113" s="27">
        <v>1.025031022E9</v>
      </c>
      <c r="B113" s="28" t="s">
        <v>1680</v>
      </c>
      <c r="C113" s="27" t="s">
        <v>1622</v>
      </c>
      <c r="D113" s="11">
        <v>0.0</v>
      </c>
      <c r="E113" s="11">
        <v>0.0</v>
      </c>
      <c r="F113" s="11">
        <v>0.0</v>
      </c>
      <c r="G113" s="11">
        <v>0.0</v>
      </c>
      <c r="H113" s="11">
        <v>0.0</v>
      </c>
    </row>
    <row r="114" ht="15.75" customHeight="1">
      <c r="A114" s="27">
        <v>1.025031035E9</v>
      </c>
      <c r="B114" s="28" t="s">
        <v>1692</v>
      </c>
      <c r="C114" s="27" t="s">
        <v>1622</v>
      </c>
      <c r="D114" s="11">
        <v>0.0</v>
      </c>
      <c r="E114" s="11">
        <v>0.0</v>
      </c>
      <c r="F114" s="11">
        <v>0.0</v>
      </c>
      <c r="G114" s="11">
        <v>0.0</v>
      </c>
      <c r="H114" s="11">
        <v>0.0</v>
      </c>
    </row>
    <row r="115" ht="15.75" customHeight="1">
      <c r="A115" s="27">
        <v>1.025031091E9</v>
      </c>
      <c r="B115" s="28" t="s">
        <v>1702</v>
      </c>
      <c r="C115" s="27" t="s">
        <v>1622</v>
      </c>
      <c r="D115" s="11">
        <v>0.0</v>
      </c>
      <c r="E115" s="11">
        <v>0.0</v>
      </c>
      <c r="F115" s="11">
        <v>0.0</v>
      </c>
      <c r="G115" s="11">
        <v>0.0</v>
      </c>
      <c r="H115" s="11">
        <v>0.0</v>
      </c>
    </row>
    <row r="116" ht="15.75" customHeight="1">
      <c r="A116" s="27">
        <v>1.025031032E9</v>
      </c>
      <c r="B116" s="28" t="s">
        <v>1710</v>
      </c>
      <c r="C116" s="27" t="s">
        <v>1622</v>
      </c>
      <c r="D116" s="11">
        <v>0.0</v>
      </c>
      <c r="E116" s="11">
        <v>0.0</v>
      </c>
      <c r="F116" s="11">
        <v>0.0</v>
      </c>
      <c r="G116" s="11">
        <v>0.0</v>
      </c>
      <c r="H116" s="11">
        <v>0.0</v>
      </c>
    </row>
    <row r="117" ht="15.75" customHeight="1">
      <c r="A117" s="27">
        <v>1.02503104E9</v>
      </c>
      <c r="B117" s="28" t="s">
        <v>1719</v>
      </c>
      <c r="C117" s="27" t="s">
        <v>1622</v>
      </c>
      <c r="D117" s="11">
        <v>0.0</v>
      </c>
      <c r="E117" s="11">
        <v>0.0</v>
      </c>
      <c r="F117" s="11">
        <v>0.0</v>
      </c>
      <c r="G117" s="11">
        <v>0.0</v>
      </c>
      <c r="H117" s="11">
        <v>0.0</v>
      </c>
    </row>
    <row r="118" ht="15.75" customHeight="1">
      <c r="A118" s="27">
        <v>1.025031042E9</v>
      </c>
      <c r="B118" s="28" t="s">
        <v>1728</v>
      </c>
      <c r="C118" s="27" t="s">
        <v>1622</v>
      </c>
      <c r="D118" s="11">
        <v>0.0</v>
      </c>
      <c r="E118" s="11">
        <v>0.0</v>
      </c>
      <c r="F118" s="11">
        <v>0.0</v>
      </c>
      <c r="G118" s="11">
        <v>0.0</v>
      </c>
      <c r="H118" s="11">
        <v>0.0</v>
      </c>
    </row>
    <row r="119" ht="15.75" customHeight="1">
      <c r="A119" s="27">
        <v>1.025031023E9</v>
      </c>
      <c r="B119" s="28" t="s">
        <v>1736</v>
      </c>
      <c r="C119" s="27" t="s">
        <v>1622</v>
      </c>
      <c r="D119" s="11">
        <v>0.0</v>
      </c>
      <c r="E119" s="11">
        <v>0.0</v>
      </c>
      <c r="F119" s="11">
        <v>0.0</v>
      </c>
      <c r="G119" s="11">
        <v>0.0</v>
      </c>
      <c r="H119" s="11">
        <v>0.0</v>
      </c>
    </row>
    <row r="120" ht="15.75" customHeight="1">
      <c r="A120" s="27">
        <v>1.025031029E9</v>
      </c>
      <c r="B120" s="28" t="s">
        <v>1744</v>
      </c>
      <c r="C120" s="27" t="s">
        <v>1622</v>
      </c>
      <c r="D120" s="11">
        <v>0.0</v>
      </c>
      <c r="E120" s="11">
        <v>0.0</v>
      </c>
      <c r="F120" s="11">
        <v>0.0</v>
      </c>
      <c r="G120" s="11">
        <v>0.0</v>
      </c>
      <c r="H120" s="11">
        <v>0.0</v>
      </c>
    </row>
    <row r="121" ht="15.75" customHeight="1">
      <c r="A121" s="27">
        <v>1.025031028E9</v>
      </c>
      <c r="B121" s="28" t="s">
        <v>1753</v>
      </c>
      <c r="C121" s="27" t="s">
        <v>1622</v>
      </c>
      <c r="D121" s="11">
        <v>0.0</v>
      </c>
      <c r="E121" s="11">
        <v>0.0</v>
      </c>
      <c r="F121" s="11">
        <v>0.0</v>
      </c>
      <c r="G121" s="11">
        <v>0.0</v>
      </c>
      <c r="H121" s="11">
        <v>0.0</v>
      </c>
    </row>
    <row r="122" ht="15.75" customHeight="1">
      <c r="A122" s="27">
        <v>1.025031025E9</v>
      </c>
      <c r="B122" s="28" t="s">
        <v>1759</v>
      </c>
      <c r="C122" s="27" t="s">
        <v>1622</v>
      </c>
      <c r="D122" s="11">
        <v>0.0</v>
      </c>
      <c r="E122" s="11">
        <v>0.0</v>
      </c>
      <c r="F122" s="11">
        <v>0.0</v>
      </c>
      <c r="G122" s="11">
        <v>0.0</v>
      </c>
      <c r="H122" s="11">
        <v>0.0</v>
      </c>
    </row>
    <row r="123" ht="15.75" customHeight="1">
      <c r="A123" s="27">
        <v>1.025031041E9</v>
      </c>
      <c r="B123" s="28" t="s">
        <v>1769</v>
      </c>
      <c r="C123" s="27" t="s">
        <v>1622</v>
      </c>
      <c r="D123" s="11">
        <v>0.0</v>
      </c>
      <c r="E123" s="11">
        <v>0.0</v>
      </c>
      <c r="F123" s="11">
        <v>0.0</v>
      </c>
      <c r="G123" s="11">
        <v>0.0</v>
      </c>
      <c r="H123" s="11">
        <v>0.0</v>
      </c>
    </row>
    <row r="124" ht="15.75" customHeight="1">
      <c r="A124" s="27">
        <v>1.025031036E9</v>
      </c>
      <c r="B124" s="28" t="s">
        <v>1779</v>
      </c>
      <c r="C124" s="27" t="s">
        <v>1622</v>
      </c>
      <c r="D124" s="11">
        <v>0.0</v>
      </c>
      <c r="E124" s="11">
        <v>0.0</v>
      </c>
      <c r="F124" s="11">
        <v>0.0</v>
      </c>
      <c r="G124" s="11">
        <v>0.0</v>
      </c>
      <c r="H124" s="11">
        <v>0.0</v>
      </c>
    </row>
    <row r="125" ht="15.75" customHeight="1">
      <c r="A125" s="27">
        <v>1.02503102E9</v>
      </c>
      <c r="B125" s="28" t="s">
        <v>1785</v>
      </c>
      <c r="C125" s="27" t="s">
        <v>1622</v>
      </c>
      <c r="D125" s="11">
        <v>0.0</v>
      </c>
      <c r="E125" s="11">
        <v>0.0</v>
      </c>
      <c r="F125" s="11">
        <v>0.0</v>
      </c>
      <c r="G125" s="11">
        <v>0.0</v>
      </c>
      <c r="H125" s="11">
        <v>0.0</v>
      </c>
    </row>
    <row r="126" ht="15.75" customHeight="1">
      <c r="A126" s="27">
        <v>1.025031034E9</v>
      </c>
      <c r="B126" s="28" t="s">
        <v>1793</v>
      </c>
      <c r="C126" s="27" t="s">
        <v>1622</v>
      </c>
      <c r="D126" s="11">
        <v>0.0</v>
      </c>
      <c r="E126" s="11">
        <v>0.0</v>
      </c>
      <c r="F126" s="11">
        <v>0.0</v>
      </c>
      <c r="G126" s="11">
        <v>0.0</v>
      </c>
      <c r="H126" s="11">
        <v>0.0</v>
      </c>
    </row>
    <row r="127" ht="15.75" customHeight="1">
      <c r="A127" s="27">
        <v>1.025031031E9</v>
      </c>
      <c r="B127" s="28" t="s">
        <v>1796</v>
      </c>
      <c r="C127" s="27" t="s">
        <v>1622</v>
      </c>
      <c r="D127" s="11">
        <v>0.0</v>
      </c>
      <c r="E127" s="11">
        <v>0.0</v>
      </c>
      <c r="F127" s="11">
        <v>0.0</v>
      </c>
      <c r="G127" s="11">
        <v>0.0</v>
      </c>
      <c r="H127" s="11">
        <v>0.0</v>
      </c>
    </row>
    <row r="128" ht="15.75" customHeight="1">
      <c r="A128" s="27">
        <v>1.025031024E9</v>
      </c>
      <c r="B128" s="28" t="s">
        <v>1801</v>
      </c>
      <c r="C128" s="27" t="s">
        <v>1622</v>
      </c>
      <c r="D128" s="11">
        <v>0.0</v>
      </c>
      <c r="E128" s="11">
        <v>0.0</v>
      </c>
      <c r="F128" s="11">
        <v>0.0</v>
      </c>
      <c r="G128" s="11">
        <v>0.0</v>
      </c>
      <c r="H128" s="11">
        <v>0.0</v>
      </c>
    </row>
    <row r="129" ht="15.75" customHeight="1">
      <c r="A129" s="27">
        <v>1.025031026E9</v>
      </c>
      <c r="B129" s="28" t="s">
        <v>1808</v>
      </c>
      <c r="C129" s="27" t="s">
        <v>1622</v>
      </c>
      <c r="D129" s="11">
        <v>0.0</v>
      </c>
      <c r="E129" s="11">
        <v>0.0</v>
      </c>
      <c r="F129" s="11">
        <v>0.0</v>
      </c>
      <c r="G129" s="11">
        <v>0.0</v>
      </c>
      <c r="H129" s="11">
        <v>0.0</v>
      </c>
    </row>
    <row r="130" ht="15.75" customHeight="1">
      <c r="A130" s="27">
        <v>1.025031037E9</v>
      </c>
      <c r="B130" s="28" t="s">
        <v>1813</v>
      </c>
      <c r="C130" s="27" t="s">
        <v>1622</v>
      </c>
      <c r="D130" s="11">
        <v>0.0</v>
      </c>
      <c r="E130" s="11">
        <v>0.0</v>
      </c>
      <c r="F130" s="11">
        <v>0.0</v>
      </c>
      <c r="G130" s="11">
        <v>0.0</v>
      </c>
      <c r="H130" s="11">
        <v>0.0</v>
      </c>
    </row>
    <row r="131" ht="15.75" customHeight="1">
      <c r="A131" s="27">
        <v>1.025031018E9</v>
      </c>
      <c r="B131" s="28" t="s">
        <v>1820</v>
      </c>
      <c r="C131" s="27" t="s">
        <v>1622</v>
      </c>
      <c r="D131" s="11">
        <v>0.0</v>
      </c>
      <c r="E131" s="11">
        <v>0.0</v>
      </c>
      <c r="F131" s="11">
        <v>0.0</v>
      </c>
      <c r="G131" s="11">
        <v>0.0</v>
      </c>
      <c r="H131" s="11">
        <v>0.0</v>
      </c>
    </row>
    <row r="132" ht="15.75" customHeight="1">
      <c r="A132" s="27">
        <v>1.025031095E9</v>
      </c>
      <c r="B132" s="28" t="s">
        <v>1827</v>
      </c>
      <c r="C132" s="27" t="s">
        <v>1622</v>
      </c>
      <c r="D132" s="11">
        <v>0.0</v>
      </c>
      <c r="E132" s="11">
        <v>0.0</v>
      </c>
      <c r="F132" s="11">
        <v>0.0</v>
      </c>
      <c r="G132" s="11">
        <v>0.0</v>
      </c>
      <c r="H132" s="11">
        <v>0.0</v>
      </c>
    </row>
    <row r="133" ht="15.75" customHeight="1">
      <c r="A133" s="27">
        <v>1.02503103E9</v>
      </c>
      <c r="B133" s="28" t="s">
        <v>1832</v>
      </c>
      <c r="C133" s="27" t="s">
        <v>1622</v>
      </c>
      <c r="D133" s="11">
        <v>0.0</v>
      </c>
      <c r="E133" s="11">
        <v>0.0</v>
      </c>
      <c r="F133" s="11">
        <v>0.0</v>
      </c>
      <c r="G133" s="11">
        <v>0.0</v>
      </c>
      <c r="H133" s="11">
        <v>0.0</v>
      </c>
    </row>
    <row r="134" ht="15.75" customHeight="1">
      <c r="A134" s="27">
        <v>1.025031017E9</v>
      </c>
      <c r="B134" s="28" t="s">
        <v>1835</v>
      </c>
      <c r="C134" s="27" t="s">
        <v>1622</v>
      </c>
      <c r="D134" s="11">
        <v>0.0</v>
      </c>
      <c r="E134" s="11">
        <v>0.0</v>
      </c>
      <c r="F134" s="11">
        <v>0.0</v>
      </c>
      <c r="G134" s="11">
        <v>0.0</v>
      </c>
      <c r="H134" s="11">
        <v>0.0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34"/>
  <mergeCells count="1">
    <mergeCell ref="A2:C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63"/>
    <col customWidth="1" min="2" max="2" width="32.88"/>
    <col customWidth="1" min="3" max="3" width="12.63"/>
    <col customWidth="1" min="4" max="6" width="16.88"/>
  </cols>
  <sheetData>
    <row r="1" ht="15.75" customHeight="1">
      <c r="A1" s="3" t="s">
        <v>1</v>
      </c>
      <c r="B1" s="3" t="s">
        <v>4</v>
      </c>
      <c r="C1" s="3" t="s">
        <v>11</v>
      </c>
      <c r="D1" s="11" t="str">
        <f>MATCHING_SHEETS("2C4")</f>
        <v>#NAME?</v>
      </c>
      <c r="E1" s="11" t="s">
        <v>395</v>
      </c>
      <c r="F1" s="11" t="s">
        <v>396</v>
      </c>
    </row>
    <row r="2" ht="15.75" customHeight="1">
      <c r="A2" s="14" t="s">
        <v>27</v>
      </c>
      <c r="B2" s="15"/>
      <c r="C2" s="16"/>
      <c r="D2" s="11" t="str">
        <f t="array" ref="D2:W2">BYCOL(D1:Z1, LAMBDA(col_header, 
  IF(ISBLANK(col_header),, 
    SUM(OFFSET(col_header, 2, 0, ROWS(A:A)-2)) &amp; "/" &amp; COUNTA(INDIRECT("'" &amp; col_header &amp; "'!$C$2:$C"))
  )
))</f>
        <v>0/1</v>
      </c>
      <c r="E2" s="11" t="s">
        <v>526</v>
      </c>
      <c r="F2" s="11" t="s">
        <v>529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ht="15.75" customHeight="1">
      <c r="A3" s="27">
        <v>1.025030508E9</v>
      </c>
      <c r="B3" s="27" t="s">
        <v>544</v>
      </c>
      <c r="C3" s="27" t="s">
        <v>68</v>
      </c>
      <c r="D3" s="11">
        <f t="array" ref="D3:D1001">IF(A3:A1001="","",IF(COUNTIF(INDIRECT("'"&amp;D$1&amp;"'!$C:$C"),$A$3:$A1001)&gt;0,1,0))</f>
        <v>0</v>
      </c>
      <c r="E3" s="11">
        <f t="array" ref="E3:E1001">IF(B3:B1001="","",IF(COUNTIF(INDIRECT("'"&amp;E$1&amp;"'!$C:$C"),$A$3:$A1001)&gt;0,1,0))</f>
        <v>0</v>
      </c>
      <c r="F3" s="11">
        <f t="array" ref="F3:F1001">IF(C3:C1001="","",IF(COUNTIF(INDIRECT("'"&amp;F$1&amp;"'!$C:$C"),$A$3:$A1001)&gt;0,1,0))</f>
        <v>0</v>
      </c>
    </row>
    <row r="4" ht="15.75" customHeight="1">
      <c r="A4" s="27">
        <v>1.025030525E9</v>
      </c>
      <c r="B4" s="27" t="s">
        <v>702</v>
      </c>
      <c r="C4" s="27" t="s">
        <v>68</v>
      </c>
      <c r="D4" s="11">
        <v>0.0</v>
      </c>
      <c r="E4" s="11">
        <v>0.0</v>
      </c>
      <c r="F4" s="11">
        <v>0.0</v>
      </c>
    </row>
    <row r="5" ht="15.75" customHeight="1">
      <c r="A5" s="27">
        <v>1.025030515E9</v>
      </c>
      <c r="B5" s="27" t="s">
        <v>715</v>
      </c>
      <c r="C5" s="27" t="s">
        <v>68</v>
      </c>
      <c r="D5" s="11">
        <v>0.0</v>
      </c>
      <c r="E5" s="11">
        <v>0.0</v>
      </c>
      <c r="F5" s="11">
        <v>0.0</v>
      </c>
    </row>
    <row r="6" ht="15.75" customHeight="1">
      <c r="A6" s="27">
        <v>1.02503052E9</v>
      </c>
      <c r="B6" s="27" t="s">
        <v>722</v>
      </c>
      <c r="C6" s="27" t="s">
        <v>68</v>
      </c>
      <c r="D6" s="11">
        <v>0.0</v>
      </c>
      <c r="E6" s="11">
        <v>0.0</v>
      </c>
      <c r="F6" s="11">
        <v>0.0</v>
      </c>
    </row>
    <row r="7" ht="15.75" customHeight="1">
      <c r="A7" s="27">
        <v>1.0250305E9</v>
      </c>
      <c r="B7" s="27" t="s">
        <v>729</v>
      </c>
      <c r="C7" s="27" t="s">
        <v>68</v>
      </c>
      <c r="D7" s="11">
        <v>0.0</v>
      </c>
      <c r="E7" s="11">
        <v>0.0</v>
      </c>
      <c r="F7" s="11">
        <v>0.0</v>
      </c>
    </row>
    <row r="8" ht="15.75" customHeight="1">
      <c r="A8" s="27">
        <v>1.025030512E9</v>
      </c>
      <c r="B8" s="27" t="s">
        <v>737</v>
      </c>
      <c r="C8" s="27" t="s">
        <v>68</v>
      </c>
      <c r="D8" s="11">
        <v>0.0</v>
      </c>
      <c r="E8" s="11">
        <v>0.0</v>
      </c>
      <c r="F8" s="11">
        <v>0.0</v>
      </c>
    </row>
    <row r="9" ht="15.75" customHeight="1">
      <c r="A9" s="27">
        <v>1.025030518E9</v>
      </c>
      <c r="B9" s="27" t="s">
        <v>744</v>
      </c>
      <c r="C9" s="27" t="s">
        <v>68</v>
      </c>
      <c r="D9" s="11">
        <v>0.0</v>
      </c>
      <c r="E9" s="11">
        <v>0.0</v>
      </c>
      <c r="F9" s="11">
        <v>0.0</v>
      </c>
    </row>
    <row r="10" ht="15.75" customHeight="1">
      <c r="A10" s="27">
        <v>1.025030501E9</v>
      </c>
      <c r="B10" s="27" t="s">
        <v>753</v>
      </c>
      <c r="C10" s="27" t="s">
        <v>68</v>
      </c>
      <c r="D10" s="11">
        <v>0.0</v>
      </c>
      <c r="E10" s="11">
        <v>0.0</v>
      </c>
      <c r="F10" s="11">
        <v>0.0</v>
      </c>
    </row>
    <row r="11" ht="15.75" customHeight="1">
      <c r="A11" s="27">
        <v>1.025030516E9</v>
      </c>
      <c r="B11" s="27" t="s">
        <v>758</v>
      </c>
      <c r="C11" s="27" t="s">
        <v>68</v>
      </c>
      <c r="D11" s="11">
        <v>0.0</v>
      </c>
      <c r="E11" s="11">
        <v>0.0</v>
      </c>
      <c r="F11" s="11">
        <v>0.0</v>
      </c>
    </row>
    <row r="12" ht="15.75" customHeight="1">
      <c r="A12" s="27">
        <v>1.025030509E9</v>
      </c>
      <c r="B12" s="27" t="s">
        <v>764</v>
      </c>
      <c r="C12" s="27" t="s">
        <v>68</v>
      </c>
      <c r="D12" s="11">
        <v>0.0</v>
      </c>
      <c r="E12" s="11">
        <v>0.0</v>
      </c>
      <c r="F12" s="11">
        <v>0.0</v>
      </c>
    </row>
    <row r="13" ht="15.75" customHeight="1">
      <c r="A13" s="27">
        <v>1.025030517E9</v>
      </c>
      <c r="B13" s="27" t="s">
        <v>771</v>
      </c>
      <c r="C13" s="27" t="s">
        <v>68</v>
      </c>
      <c r="D13" s="11">
        <v>0.0</v>
      </c>
      <c r="E13" s="11">
        <v>0.0</v>
      </c>
      <c r="F13" s="11">
        <v>0.0</v>
      </c>
    </row>
    <row r="14" ht="15.75" customHeight="1">
      <c r="A14" s="27">
        <v>1.025030504E9</v>
      </c>
      <c r="B14" s="27" t="s">
        <v>778</v>
      </c>
      <c r="C14" s="27" t="s">
        <v>68</v>
      </c>
      <c r="D14" s="11">
        <v>0.0</v>
      </c>
      <c r="E14" s="11">
        <v>0.0</v>
      </c>
      <c r="F14" s="11">
        <v>0.0</v>
      </c>
    </row>
    <row r="15" ht="15.75" customHeight="1">
      <c r="A15" s="27">
        <v>1.025030513E9</v>
      </c>
      <c r="B15" s="27" t="s">
        <v>788</v>
      </c>
      <c r="C15" s="27" t="s">
        <v>68</v>
      </c>
      <c r="D15" s="11">
        <v>0.0</v>
      </c>
      <c r="E15" s="11">
        <v>0.0</v>
      </c>
      <c r="F15" s="11">
        <v>0.0</v>
      </c>
    </row>
    <row r="16" ht="15.75" customHeight="1">
      <c r="A16" s="27">
        <v>1.025030507E9</v>
      </c>
      <c r="B16" s="27" t="s">
        <v>796</v>
      </c>
      <c r="C16" s="27" t="s">
        <v>68</v>
      </c>
      <c r="D16" s="11">
        <v>0.0</v>
      </c>
      <c r="E16" s="11">
        <v>0.0</v>
      </c>
      <c r="F16" s="11">
        <v>0.0</v>
      </c>
    </row>
    <row r="17" ht="15.75" customHeight="1">
      <c r="A17" s="27">
        <v>1.025030527E9</v>
      </c>
      <c r="B17" s="27" t="s">
        <v>803</v>
      </c>
      <c r="C17" s="27" t="s">
        <v>68</v>
      </c>
      <c r="D17" s="11">
        <v>0.0</v>
      </c>
      <c r="E17" s="11">
        <v>0.0</v>
      </c>
      <c r="F17" s="11">
        <v>0.0</v>
      </c>
    </row>
    <row r="18" ht="15.75" customHeight="1">
      <c r="A18" s="27">
        <v>1.025031063E9</v>
      </c>
      <c r="B18" s="27" t="s">
        <v>811</v>
      </c>
      <c r="C18" s="27" t="s">
        <v>68</v>
      </c>
      <c r="D18" s="11">
        <v>0.0</v>
      </c>
      <c r="E18" s="11">
        <v>0.0</v>
      </c>
      <c r="F18" s="11">
        <v>0.0</v>
      </c>
    </row>
    <row r="19" ht="15.75" customHeight="1">
      <c r="A19" s="27">
        <v>1.025030523E9</v>
      </c>
      <c r="B19" s="27" t="s">
        <v>826</v>
      </c>
      <c r="C19" s="27" t="s">
        <v>68</v>
      </c>
      <c r="D19" s="11">
        <v>0.0</v>
      </c>
      <c r="E19" s="11">
        <v>1.0</v>
      </c>
      <c r="F19" s="11">
        <v>0.0</v>
      </c>
    </row>
    <row r="20" ht="15.75" customHeight="1">
      <c r="A20" s="27">
        <v>1.025030505E9</v>
      </c>
      <c r="B20" s="27" t="s">
        <v>832</v>
      </c>
      <c r="C20" s="27" t="s">
        <v>68</v>
      </c>
      <c r="D20" s="11">
        <v>0.0</v>
      </c>
      <c r="E20" s="11">
        <v>0.0</v>
      </c>
      <c r="F20" s="11">
        <v>0.0</v>
      </c>
    </row>
    <row r="21" ht="15.75" customHeight="1">
      <c r="A21" s="27">
        <v>1.025030519E9</v>
      </c>
      <c r="B21" s="27" t="s">
        <v>841</v>
      </c>
      <c r="C21" s="27" t="s">
        <v>68</v>
      </c>
      <c r="D21" s="11">
        <v>0.0</v>
      </c>
      <c r="E21" s="11">
        <v>0.0</v>
      </c>
      <c r="F21" s="11">
        <v>0.0</v>
      </c>
    </row>
    <row r="22" ht="15.75" customHeight="1">
      <c r="A22" s="27">
        <v>1.025030524E9</v>
      </c>
      <c r="B22" s="27" t="s">
        <v>847</v>
      </c>
      <c r="C22" s="27" t="s">
        <v>68</v>
      </c>
      <c r="D22" s="11">
        <v>0.0</v>
      </c>
      <c r="E22" s="11">
        <v>0.0</v>
      </c>
      <c r="F22" s="11">
        <v>0.0</v>
      </c>
    </row>
    <row r="23" ht="15.75" customHeight="1">
      <c r="A23" s="27">
        <v>1.025030495E9</v>
      </c>
      <c r="B23" s="27" t="s">
        <v>854</v>
      </c>
      <c r="C23" s="27" t="s">
        <v>68</v>
      </c>
      <c r="D23" s="11">
        <v>0.0</v>
      </c>
      <c r="E23" s="11">
        <v>0.0</v>
      </c>
      <c r="F23" s="11">
        <v>0.0</v>
      </c>
    </row>
    <row r="24" ht="15.75" customHeight="1">
      <c r="A24" s="27">
        <v>1.025030522E9</v>
      </c>
      <c r="B24" s="27" t="s">
        <v>863</v>
      </c>
      <c r="C24" s="27" t="s">
        <v>68</v>
      </c>
      <c r="D24" s="11">
        <v>0.0</v>
      </c>
      <c r="E24" s="11">
        <v>0.0</v>
      </c>
      <c r="F24" s="11">
        <v>0.0</v>
      </c>
    </row>
    <row r="25" ht="15.75" customHeight="1">
      <c r="A25" s="27">
        <v>1.025030492E9</v>
      </c>
      <c r="B25" s="27" t="s">
        <v>872</v>
      </c>
      <c r="C25" s="27" t="s">
        <v>68</v>
      </c>
      <c r="D25" s="11">
        <v>0.0</v>
      </c>
      <c r="E25" s="11">
        <v>1.0</v>
      </c>
      <c r="F25" s="11">
        <v>0.0</v>
      </c>
    </row>
    <row r="26" ht="15.75" customHeight="1">
      <c r="A26" s="27">
        <v>1.025030931E9</v>
      </c>
      <c r="B26" s="27" t="s">
        <v>880</v>
      </c>
      <c r="C26" s="27" t="s">
        <v>68</v>
      </c>
      <c r="D26" s="11">
        <v>0.0</v>
      </c>
      <c r="E26" s="11">
        <v>0.0</v>
      </c>
      <c r="F26" s="11">
        <v>0.0</v>
      </c>
    </row>
    <row r="27" ht="15.75" customHeight="1">
      <c r="A27" s="27">
        <v>1.025030526E9</v>
      </c>
      <c r="B27" s="27" t="s">
        <v>887</v>
      </c>
      <c r="C27" s="27" t="s">
        <v>68</v>
      </c>
      <c r="D27" s="11">
        <v>0.0</v>
      </c>
      <c r="E27" s="11">
        <v>0.0</v>
      </c>
      <c r="F27" s="11">
        <v>0.0</v>
      </c>
    </row>
    <row r="28" ht="15.75" customHeight="1">
      <c r="A28" s="27">
        <v>1.02503051E9</v>
      </c>
      <c r="B28" s="27" t="s">
        <v>894</v>
      </c>
      <c r="C28" s="27" t="s">
        <v>68</v>
      </c>
      <c r="D28" s="11">
        <v>0.0</v>
      </c>
      <c r="E28" s="11">
        <v>0.0</v>
      </c>
      <c r="F28" s="11">
        <v>0.0</v>
      </c>
    </row>
    <row r="29" ht="15.75" customHeight="1">
      <c r="A29" s="27">
        <v>1.025030511E9</v>
      </c>
      <c r="B29" s="27" t="s">
        <v>903</v>
      </c>
      <c r="C29" s="27" t="s">
        <v>68</v>
      </c>
      <c r="D29" s="11">
        <v>0.0</v>
      </c>
      <c r="E29" s="11">
        <v>0.0</v>
      </c>
      <c r="F29" s="11">
        <v>0.0</v>
      </c>
    </row>
    <row r="30" ht="15.75" customHeight="1">
      <c r="A30" s="27">
        <v>1.025030521E9</v>
      </c>
      <c r="B30" s="27" t="s">
        <v>911</v>
      </c>
      <c r="C30" s="27" t="s">
        <v>68</v>
      </c>
      <c r="D30" s="11">
        <v>0.0</v>
      </c>
      <c r="E30" s="11">
        <v>1.0</v>
      </c>
      <c r="F30" s="11">
        <v>0.0</v>
      </c>
    </row>
    <row r="31" ht="15.75" customHeight="1">
      <c r="A31" s="27">
        <v>1.025030514E9</v>
      </c>
      <c r="B31" s="27" t="s">
        <v>917</v>
      </c>
      <c r="C31" s="27" t="s">
        <v>68</v>
      </c>
      <c r="D31" s="11">
        <v>0.0</v>
      </c>
      <c r="E31" s="11">
        <v>0.0</v>
      </c>
      <c r="F31" s="11">
        <v>0.0</v>
      </c>
    </row>
    <row r="32" ht="15.75" customHeight="1">
      <c r="A32" s="27">
        <v>1.025030552E9</v>
      </c>
      <c r="B32" s="27" t="s">
        <v>927</v>
      </c>
      <c r="C32" s="27" t="s">
        <v>543</v>
      </c>
      <c r="D32" s="11">
        <v>0.0</v>
      </c>
      <c r="E32" s="11">
        <v>0.0</v>
      </c>
      <c r="F32" s="11">
        <v>0.0</v>
      </c>
    </row>
    <row r="33" ht="15.75" customHeight="1">
      <c r="A33" s="27">
        <v>1.025030546E9</v>
      </c>
      <c r="B33" s="27" t="s">
        <v>935</v>
      </c>
      <c r="C33" s="27" t="s">
        <v>543</v>
      </c>
      <c r="D33" s="11">
        <v>0.0</v>
      </c>
      <c r="E33" s="11">
        <v>0.0</v>
      </c>
      <c r="F33" s="11">
        <v>0.0</v>
      </c>
    </row>
    <row r="34" ht="15.75" customHeight="1">
      <c r="A34" s="27">
        <v>1.025030539E9</v>
      </c>
      <c r="B34" s="27" t="s">
        <v>938</v>
      </c>
      <c r="C34" s="27" t="s">
        <v>543</v>
      </c>
      <c r="D34" s="11">
        <v>0.0</v>
      </c>
      <c r="E34" s="11">
        <v>0.0</v>
      </c>
      <c r="F34" s="11">
        <v>0.0</v>
      </c>
    </row>
    <row r="35" ht="15.75" customHeight="1">
      <c r="A35" s="27">
        <v>1.025030532E9</v>
      </c>
      <c r="B35" s="27" t="s">
        <v>946</v>
      </c>
      <c r="C35" s="27" t="s">
        <v>543</v>
      </c>
      <c r="D35" s="11">
        <v>0.0</v>
      </c>
      <c r="E35" s="11">
        <v>0.0</v>
      </c>
      <c r="F35" s="11">
        <v>0.0</v>
      </c>
    </row>
    <row r="36" ht="15.75" customHeight="1">
      <c r="A36" s="27">
        <v>1.025030533E9</v>
      </c>
      <c r="B36" s="27" t="s">
        <v>954</v>
      </c>
      <c r="C36" s="27" t="s">
        <v>543</v>
      </c>
      <c r="D36" s="11">
        <v>0.0</v>
      </c>
      <c r="E36" s="11">
        <v>0.0</v>
      </c>
      <c r="F36" s="11">
        <v>0.0</v>
      </c>
    </row>
    <row r="37" ht="15.75" customHeight="1">
      <c r="A37" s="27">
        <v>1.025030529E9</v>
      </c>
      <c r="B37" s="27" t="s">
        <v>960</v>
      </c>
      <c r="C37" s="27" t="s">
        <v>543</v>
      </c>
      <c r="D37" s="11">
        <v>0.0</v>
      </c>
      <c r="E37" s="11">
        <v>1.0</v>
      </c>
      <c r="F37" s="11">
        <v>0.0</v>
      </c>
    </row>
    <row r="38" ht="15.75" customHeight="1">
      <c r="A38" s="27">
        <v>1.025030544E9</v>
      </c>
      <c r="B38" s="27" t="s">
        <v>968</v>
      </c>
      <c r="C38" s="27" t="s">
        <v>543</v>
      </c>
      <c r="D38" s="11">
        <v>0.0</v>
      </c>
      <c r="E38" s="11">
        <v>0.0</v>
      </c>
      <c r="F38" s="11">
        <v>0.0</v>
      </c>
    </row>
    <row r="39" ht="15.75" customHeight="1">
      <c r="A39" s="27">
        <v>1.025030538E9</v>
      </c>
      <c r="B39" s="27" t="s">
        <v>977</v>
      </c>
      <c r="C39" s="27" t="s">
        <v>543</v>
      </c>
      <c r="D39" s="11">
        <v>0.0</v>
      </c>
      <c r="E39" s="11">
        <v>0.0</v>
      </c>
      <c r="F39" s="11">
        <v>0.0</v>
      </c>
    </row>
    <row r="40" ht="15.75" customHeight="1">
      <c r="A40" s="27">
        <v>1.025030553E9</v>
      </c>
      <c r="B40" s="27" t="s">
        <v>981</v>
      </c>
      <c r="C40" s="27" t="s">
        <v>543</v>
      </c>
      <c r="D40" s="11">
        <v>0.0</v>
      </c>
      <c r="E40" s="11">
        <v>0.0</v>
      </c>
      <c r="F40" s="11">
        <v>0.0</v>
      </c>
    </row>
    <row r="41" ht="15.75" customHeight="1">
      <c r="A41" s="27">
        <v>1.025030541E9</v>
      </c>
      <c r="B41" s="27" t="s">
        <v>990</v>
      </c>
      <c r="C41" s="27" t="s">
        <v>543</v>
      </c>
      <c r="D41" s="11">
        <v>0.0</v>
      </c>
      <c r="E41" s="11">
        <v>0.0</v>
      </c>
      <c r="F41" s="11">
        <v>0.0</v>
      </c>
    </row>
    <row r="42" ht="15.75" customHeight="1">
      <c r="A42" s="27">
        <v>1.025030549E9</v>
      </c>
      <c r="B42" s="27" t="s">
        <v>999</v>
      </c>
      <c r="C42" s="27" t="s">
        <v>543</v>
      </c>
      <c r="D42" s="11">
        <v>0.0</v>
      </c>
      <c r="E42" s="11">
        <v>1.0</v>
      </c>
      <c r="F42" s="11">
        <v>0.0</v>
      </c>
    </row>
    <row r="43" ht="15.75" customHeight="1">
      <c r="A43" s="27">
        <v>1.025030554E9</v>
      </c>
      <c r="B43" s="27" t="s">
        <v>1008</v>
      </c>
      <c r="C43" s="27" t="s">
        <v>543</v>
      </c>
      <c r="D43" s="11">
        <v>0.0</v>
      </c>
      <c r="E43" s="11">
        <v>0.0</v>
      </c>
      <c r="F43" s="11">
        <v>0.0</v>
      </c>
    </row>
    <row r="44" ht="15.75" customHeight="1">
      <c r="A44" s="27">
        <v>1.025030551E9</v>
      </c>
      <c r="B44" s="27" t="s">
        <v>1015</v>
      </c>
      <c r="C44" s="27" t="s">
        <v>543</v>
      </c>
      <c r="D44" s="11">
        <v>0.0</v>
      </c>
      <c r="E44" s="11">
        <v>0.0</v>
      </c>
      <c r="F44" s="11">
        <v>0.0</v>
      </c>
    </row>
    <row r="45" ht="15.75" customHeight="1">
      <c r="A45" s="27">
        <v>1.025030528E9</v>
      </c>
      <c r="B45" s="27" t="s">
        <v>1023</v>
      </c>
      <c r="C45" s="27" t="s">
        <v>543</v>
      </c>
      <c r="D45" s="11">
        <v>0.0</v>
      </c>
      <c r="E45" s="11">
        <v>0.0</v>
      </c>
      <c r="F45" s="11">
        <v>0.0</v>
      </c>
    </row>
    <row r="46" ht="15.75" customHeight="1">
      <c r="A46" s="27">
        <v>1.02503054E9</v>
      </c>
      <c r="B46" s="27" t="s">
        <v>1029</v>
      </c>
      <c r="C46" s="27" t="s">
        <v>543</v>
      </c>
      <c r="D46" s="11">
        <v>0.0</v>
      </c>
      <c r="E46" s="11">
        <v>0.0</v>
      </c>
      <c r="F46" s="11">
        <v>0.0</v>
      </c>
    </row>
    <row r="47" ht="15.75" customHeight="1">
      <c r="A47" s="27">
        <v>1.025030555E9</v>
      </c>
      <c r="B47" s="27" t="s">
        <v>1038</v>
      </c>
      <c r="C47" s="27" t="s">
        <v>543</v>
      </c>
      <c r="D47" s="11">
        <v>0.0</v>
      </c>
      <c r="E47" s="11">
        <v>0.0</v>
      </c>
      <c r="F47" s="11">
        <v>0.0</v>
      </c>
    </row>
    <row r="48" ht="15.75" customHeight="1">
      <c r="A48" s="27">
        <v>1.025030536E9</v>
      </c>
      <c r="B48" s="27" t="s">
        <v>1044</v>
      </c>
      <c r="C48" s="27" t="s">
        <v>543</v>
      </c>
      <c r="D48" s="11">
        <v>0.0</v>
      </c>
      <c r="E48" s="11">
        <v>0.0</v>
      </c>
      <c r="F48" s="11">
        <v>0.0</v>
      </c>
    </row>
    <row r="49" ht="15.75" customHeight="1">
      <c r="A49" s="27">
        <v>1.02503055E9</v>
      </c>
      <c r="B49" s="27" t="s">
        <v>1052</v>
      </c>
      <c r="C49" s="27" t="s">
        <v>543</v>
      </c>
      <c r="D49" s="11">
        <v>0.0</v>
      </c>
      <c r="E49" s="11">
        <v>0.0</v>
      </c>
      <c r="F49" s="11">
        <v>0.0</v>
      </c>
    </row>
    <row r="50" ht="15.75" customHeight="1">
      <c r="A50" s="27">
        <v>1.025030543E9</v>
      </c>
      <c r="B50" s="27" t="s">
        <v>1061</v>
      </c>
      <c r="C50" s="27" t="s">
        <v>543</v>
      </c>
      <c r="D50" s="11">
        <v>0.0</v>
      </c>
      <c r="E50" s="11">
        <v>0.0</v>
      </c>
      <c r="F50" s="11">
        <v>0.0</v>
      </c>
    </row>
    <row r="51" ht="15.75" customHeight="1">
      <c r="A51" s="27">
        <v>1.025030531E9</v>
      </c>
      <c r="B51" s="27" t="s">
        <v>1068</v>
      </c>
      <c r="C51" s="27" t="s">
        <v>543</v>
      </c>
      <c r="D51" s="11">
        <v>0.0</v>
      </c>
      <c r="E51" s="11">
        <v>0.0</v>
      </c>
      <c r="F51" s="11">
        <v>0.0</v>
      </c>
    </row>
    <row r="52" ht="15.75" customHeight="1">
      <c r="A52" s="27">
        <v>1.025030535E9</v>
      </c>
      <c r="B52" s="27" t="s">
        <v>1076</v>
      </c>
      <c r="C52" s="27" t="s">
        <v>543</v>
      </c>
      <c r="D52" s="11">
        <v>0.0</v>
      </c>
      <c r="E52" s="11">
        <v>0.0</v>
      </c>
      <c r="F52" s="11">
        <v>0.0</v>
      </c>
    </row>
    <row r="53" ht="15.75" customHeight="1">
      <c r="A53" s="27">
        <v>1.025030548E9</v>
      </c>
      <c r="B53" s="27" t="s">
        <v>1085</v>
      </c>
      <c r="C53" s="27" t="s">
        <v>543</v>
      </c>
      <c r="D53" s="11">
        <v>0.0</v>
      </c>
      <c r="E53" s="11">
        <v>0.0</v>
      </c>
      <c r="F53" s="11">
        <v>0.0</v>
      </c>
    </row>
    <row r="54" ht="15.75" customHeight="1">
      <c r="A54" s="27">
        <v>1.02503053E9</v>
      </c>
      <c r="B54" s="27" t="s">
        <v>1092</v>
      </c>
      <c r="C54" s="27" t="s">
        <v>543</v>
      </c>
      <c r="D54" s="11">
        <v>0.0</v>
      </c>
      <c r="E54" s="11">
        <v>0.0</v>
      </c>
      <c r="F54" s="11">
        <v>0.0</v>
      </c>
    </row>
    <row r="55" ht="15.75" customHeight="1">
      <c r="A55" s="27">
        <v>1.025030545E9</v>
      </c>
      <c r="B55" s="27" t="s">
        <v>1095</v>
      </c>
      <c r="C55" s="27" t="s">
        <v>543</v>
      </c>
      <c r="D55" s="11">
        <v>0.0</v>
      </c>
      <c r="E55" s="11">
        <v>0.0</v>
      </c>
      <c r="F55" s="11">
        <v>0.0</v>
      </c>
    </row>
    <row r="56" ht="15.75" customHeight="1">
      <c r="A56" s="27">
        <v>1.025030563E9</v>
      </c>
      <c r="B56" s="27" t="s">
        <v>1108</v>
      </c>
      <c r="C56" s="27" t="s">
        <v>227</v>
      </c>
      <c r="D56" s="11">
        <v>0.0</v>
      </c>
      <c r="E56" s="11">
        <v>0.0</v>
      </c>
      <c r="F56" s="11">
        <v>0.0</v>
      </c>
    </row>
    <row r="57" ht="15.75" customHeight="1">
      <c r="A57" s="27">
        <v>1.025030564E9</v>
      </c>
      <c r="B57" s="27" t="s">
        <v>1114</v>
      </c>
      <c r="C57" s="27" t="s">
        <v>227</v>
      </c>
      <c r="D57" s="11">
        <v>0.0</v>
      </c>
      <c r="E57" s="11">
        <v>0.0</v>
      </c>
      <c r="F57" s="11">
        <v>0.0</v>
      </c>
    </row>
    <row r="58" ht="15.75" customHeight="1">
      <c r="A58" s="27">
        <v>1.02503057E9</v>
      </c>
      <c r="B58" s="27" t="s">
        <v>1122</v>
      </c>
      <c r="C58" s="27" t="s">
        <v>227</v>
      </c>
      <c r="D58" s="11">
        <v>0.0</v>
      </c>
      <c r="E58" s="11">
        <v>0.0</v>
      </c>
      <c r="F58" s="11">
        <v>0.0</v>
      </c>
    </row>
    <row r="59" ht="15.75" customHeight="1">
      <c r="A59" s="27">
        <v>1.025030569E9</v>
      </c>
      <c r="B59" s="27" t="s">
        <v>1130</v>
      </c>
      <c r="C59" s="27" t="s">
        <v>227</v>
      </c>
      <c r="D59" s="11">
        <v>0.0</v>
      </c>
      <c r="E59" s="11">
        <v>1.0</v>
      </c>
      <c r="F59" s="11">
        <v>0.0</v>
      </c>
    </row>
    <row r="60" ht="15.75" customHeight="1">
      <c r="A60" s="27">
        <v>1.025030576E9</v>
      </c>
      <c r="B60" s="27" t="s">
        <v>1136</v>
      </c>
      <c r="C60" s="27" t="s">
        <v>227</v>
      </c>
      <c r="D60" s="11">
        <v>0.0</v>
      </c>
      <c r="E60" s="11">
        <v>0.0</v>
      </c>
      <c r="F60" s="11">
        <v>0.0</v>
      </c>
    </row>
    <row r="61" ht="15.75" customHeight="1">
      <c r="A61" s="27">
        <v>1.025030568E9</v>
      </c>
      <c r="B61" s="27" t="s">
        <v>1145</v>
      </c>
      <c r="C61" s="27" t="s">
        <v>227</v>
      </c>
      <c r="D61" s="11">
        <v>0.0</v>
      </c>
      <c r="E61" s="11">
        <v>0.0</v>
      </c>
      <c r="F61" s="11">
        <v>0.0</v>
      </c>
    </row>
    <row r="62" ht="15.75" customHeight="1">
      <c r="A62" s="27">
        <v>1.025030556E9</v>
      </c>
      <c r="B62" s="27" t="s">
        <v>1155</v>
      </c>
      <c r="C62" s="27" t="s">
        <v>227</v>
      </c>
      <c r="D62" s="11">
        <v>0.0</v>
      </c>
      <c r="E62" s="11">
        <v>0.0</v>
      </c>
      <c r="F62" s="11">
        <v>0.0</v>
      </c>
    </row>
    <row r="63" ht="15.75" customHeight="1">
      <c r="A63" s="27">
        <v>1.02503058E9</v>
      </c>
      <c r="B63" s="27" t="s">
        <v>1162</v>
      </c>
      <c r="C63" s="27" t="s">
        <v>227</v>
      </c>
      <c r="D63" s="11">
        <v>0.0</v>
      </c>
      <c r="E63" s="11">
        <v>0.0</v>
      </c>
      <c r="F63" s="11">
        <v>0.0</v>
      </c>
    </row>
    <row r="64" ht="15.75" customHeight="1">
      <c r="A64" s="27">
        <v>1.025030741E9</v>
      </c>
      <c r="B64" s="27" t="s">
        <v>1169</v>
      </c>
      <c r="C64" s="27" t="s">
        <v>227</v>
      </c>
      <c r="D64" s="11">
        <v>0.0</v>
      </c>
      <c r="E64" s="11">
        <v>0.0</v>
      </c>
      <c r="F64" s="11">
        <v>0.0</v>
      </c>
    </row>
    <row r="65" ht="15.75" customHeight="1">
      <c r="A65" s="27">
        <v>1.025030574E9</v>
      </c>
      <c r="B65" s="27" t="s">
        <v>1177</v>
      </c>
      <c r="C65" s="27" t="s">
        <v>227</v>
      </c>
      <c r="D65" s="11">
        <v>0.0</v>
      </c>
      <c r="E65" s="11">
        <v>0.0</v>
      </c>
      <c r="F65" s="11">
        <v>0.0</v>
      </c>
    </row>
    <row r="66" ht="15.75" customHeight="1">
      <c r="A66" s="27">
        <v>1.025030559E9</v>
      </c>
      <c r="B66" s="27" t="s">
        <v>1183</v>
      </c>
      <c r="C66" s="27" t="s">
        <v>227</v>
      </c>
      <c r="D66" s="11">
        <v>0.0</v>
      </c>
      <c r="E66" s="11">
        <v>0.0</v>
      </c>
      <c r="F66" s="11">
        <v>0.0</v>
      </c>
    </row>
    <row r="67" ht="15.75" customHeight="1">
      <c r="A67" s="27">
        <v>1.025030571E9</v>
      </c>
      <c r="B67" s="27" t="s">
        <v>1190</v>
      </c>
      <c r="C67" s="27" t="s">
        <v>227</v>
      </c>
      <c r="D67" s="11">
        <v>0.0</v>
      </c>
      <c r="E67" s="11">
        <v>1.0</v>
      </c>
      <c r="F67" s="11">
        <v>0.0</v>
      </c>
    </row>
    <row r="68" ht="15.75" customHeight="1">
      <c r="A68" s="27">
        <v>1.025030565E9</v>
      </c>
      <c r="B68" s="27" t="s">
        <v>1198</v>
      </c>
      <c r="C68" s="27" t="s">
        <v>227</v>
      </c>
      <c r="D68" s="11">
        <v>0.0</v>
      </c>
      <c r="E68" s="11">
        <v>0.0</v>
      </c>
      <c r="F68" s="11">
        <v>0.0</v>
      </c>
    </row>
    <row r="69" ht="15.75" customHeight="1">
      <c r="A69" s="27">
        <v>1.02503056E9</v>
      </c>
      <c r="B69" s="27" t="s">
        <v>1205</v>
      </c>
      <c r="C69" s="27" t="s">
        <v>227</v>
      </c>
      <c r="D69" s="11">
        <v>0.0</v>
      </c>
      <c r="E69" s="11">
        <v>0.0</v>
      </c>
      <c r="F69" s="11">
        <v>0.0</v>
      </c>
    </row>
    <row r="70" ht="15.75" customHeight="1">
      <c r="A70" s="27">
        <v>1.025030572E9</v>
      </c>
      <c r="B70" s="27" t="s">
        <v>1218</v>
      </c>
      <c r="C70" s="27" t="s">
        <v>227</v>
      </c>
      <c r="D70" s="11">
        <v>0.0</v>
      </c>
      <c r="E70" s="11">
        <v>0.0</v>
      </c>
      <c r="F70" s="11">
        <v>0.0</v>
      </c>
    </row>
    <row r="71" ht="15.75" customHeight="1">
      <c r="A71" s="27">
        <v>1.025030579E9</v>
      </c>
      <c r="B71" s="27" t="s">
        <v>1224</v>
      </c>
      <c r="C71" s="27" t="s">
        <v>227</v>
      </c>
      <c r="D71" s="11">
        <v>0.0</v>
      </c>
      <c r="E71" s="11">
        <v>0.0</v>
      </c>
      <c r="F71" s="11">
        <v>0.0</v>
      </c>
    </row>
    <row r="72" ht="15.75" customHeight="1">
      <c r="A72" s="27">
        <v>1.025030578E9</v>
      </c>
      <c r="B72" s="27" t="s">
        <v>1231</v>
      </c>
      <c r="C72" s="27" t="s">
        <v>227</v>
      </c>
      <c r="D72" s="11">
        <v>0.0</v>
      </c>
      <c r="E72" s="11">
        <v>0.0</v>
      </c>
      <c r="F72" s="11">
        <v>0.0</v>
      </c>
    </row>
    <row r="73" ht="15.75" customHeight="1">
      <c r="A73" s="27">
        <v>1.025030582E9</v>
      </c>
      <c r="B73" s="27" t="s">
        <v>1239</v>
      </c>
      <c r="C73" s="27" t="s">
        <v>227</v>
      </c>
      <c r="D73" s="11">
        <v>0.0</v>
      </c>
      <c r="E73" s="11">
        <v>1.0</v>
      </c>
      <c r="F73" s="11">
        <v>0.0</v>
      </c>
    </row>
    <row r="74" ht="15.75" customHeight="1">
      <c r="A74" s="27">
        <v>1.025030575E9</v>
      </c>
      <c r="B74" s="27" t="s">
        <v>1247</v>
      </c>
      <c r="C74" s="27" t="s">
        <v>227</v>
      </c>
      <c r="D74" s="11">
        <v>0.0</v>
      </c>
      <c r="E74" s="11">
        <v>0.0</v>
      </c>
      <c r="F74" s="11">
        <v>0.0</v>
      </c>
    </row>
    <row r="75" ht="15.75" customHeight="1">
      <c r="A75" s="27">
        <v>1.025030583E9</v>
      </c>
      <c r="B75" s="27" t="s">
        <v>1255</v>
      </c>
      <c r="C75" s="27" t="s">
        <v>227</v>
      </c>
      <c r="D75" s="11">
        <v>0.0</v>
      </c>
      <c r="E75" s="11">
        <v>1.0</v>
      </c>
      <c r="F75" s="11">
        <v>0.0</v>
      </c>
    </row>
    <row r="76" ht="15.75" customHeight="1">
      <c r="A76" s="27">
        <v>1.025030573E9</v>
      </c>
      <c r="B76" s="27" t="s">
        <v>1264</v>
      </c>
      <c r="C76" s="27" t="s">
        <v>227</v>
      </c>
      <c r="D76" s="11">
        <v>0.0</v>
      </c>
      <c r="E76" s="11">
        <v>0.0</v>
      </c>
      <c r="F76" s="11">
        <v>0.0</v>
      </c>
    </row>
    <row r="77" ht="15.75" customHeight="1">
      <c r="A77" s="27">
        <v>1.025030566E9</v>
      </c>
      <c r="B77" s="27" t="s">
        <v>1270</v>
      </c>
      <c r="C77" s="27" t="s">
        <v>227</v>
      </c>
      <c r="D77" s="11">
        <v>0.0</v>
      </c>
      <c r="E77" s="11">
        <v>1.0</v>
      </c>
      <c r="F77" s="11">
        <v>0.0</v>
      </c>
    </row>
    <row r="78" ht="15.75" customHeight="1">
      <c r="A78" s="27">
        <v>1.025030584E9</v>
      </c>
      <c r="B78" s="27" t="s">
        <v>1277</v>
      </c>
      <c r="C78" s="27" t="s">
        <v>227</v>
      </c>
      <c r="D78" s="11">
        <v>0.0</v>
      </c>
      <c r="E78" s="11">
        <v>0.0</v>
      </c>
      <c r="F78" s="11">
        <v>0.0</v>
      </c>
    </row>
    <row r="79" ht="15.75" customHeight="1">
      <c r="A79" s="27">
        <v>1.025030557E9</v>
      </c>
      <c r="B79" s="27" t="s">
        <v>1284</v>
      </c>
      <c r="C79" s="27" t="s">
        <v>227</v>
      </c>
      <c r="D79" s="11">
        <v>0.0</v>
      </c>
      <c r="E79" s="11">
        <v>0.0</v>
      </c>
      <c r="F79" s="11">
        <v>0.0</v>
      </c>
    </row>
    <row r="80" ht="15.75" customHeight="1">
      <c r="A80" s="27">
        <v>1.025030567E9</v>
      </c>
      <c r="B80" s="27" t="s">
        <v>1290</v>
      </c>
      <c r="C80" s="27" t="s">
        <v>227</v>
      </c>
      <c r="D80" s="11">
        <v>0.0</v>
      </c>
      <c r="E80" s="11">
        <v>0.0</v>
      </c>
      <c r="F80" s="11">
        <v>0.0</v>
      </c>
    </row>
    <row r="81" ht="15.75" customHeight="1">
      <c r="A81" s="27">
        <v>1.025030561E9</v>
      </c>
      <c r="B81" s="27" t="s">
        <v>1299</v>
      </c>
      <c r="C81" s="27" t="s">
        <v>227</v>
      </c>
      <c r="D81" s="11">
        <v>0.0</v>
      </c>
      <c r="E81" s="11">
        <v>1.0</v>
      </c>
      <c r="F81" s="11">
        <v>0.0</v>
      </c>
    </row>
    <row r="82" ht="15.75" customHeight="1">
      <c r="A82" s="27">
        <v>1.025030577E9</v>
      </c>
      <c r="B82" s="27" t="s">
        <v>1308</v>
      </c>
      <c r="C82" s="27" t="s">
        <v>227</v>
      </c>
      <c r="D82" s="11">
        <v>0.0</v>
      </c>
      <c r="E82" s="11">
        <v>0.0</v>
      </c>
      <c r="F82" s="11">
        <v>0.0</v>
      </c>
    </row>
    <row r="83" ht="15.75" customHeight="1">
      <c r="A83" s="27">
        <v>1.025030562E9</v>
      </c>
      <c r="B83" s="27" t="s">
        <v>1315</v>
      </c>
      <c r="C83" s="27" t="s">
        <v>227</v>
      </c>
      <c r="D83" s="11">
        <v>0.0</v>
      </c>
      <c r="E83" s="11">
        <v>0.0</v>
      </c>
      <c r="F83" s="11">
        <v>0.0</v>
      </c>
    </row>
    <row r="84" ht="15.75" customHeight="1">
      <c r="A84" s="27">
        <v>1.025030604E9</v>
      </c>
      <c r="B84" s="27" t="s">
        <v>1324</v>
      </c>
      <c r="C84" s="27" t="s">
        <v>221</v>
      </c>
      <c r="D84" s="11">
        <v>0.0</v>
      </c>
      <c r="E84" s="11">
        <v>0.0</v>
      </c>
      <c r="F84" s="11">
        <v>0.0</v>
      </c>
    </row>
    <row r="85" ht="15.75" customHeight="1">
      <c r="A85" s="27">
        <v>1.025030092E9</v>
      </c>
      <c r="B85" s="27" t="s">
        <v>1331</v>
      </c>
      <c r="C85" s="27" t="s">
        <v>221</v>
      </c>
      <c r="D85" s="11">
        <v>0.0</v>
      </c>
      <c r="E85" s="11">
        <v>0.0</v>
      </c>
      <c r="F85" s="11">
        <v>0.0</v>
      </c>
    </row>
    <row r="86" ht="15.75" customHeight="1">
      <c r="A86" s="27">
        <v>1.025030086E9</v>
      </c>
      <c r="B86" s="27" t="s">
        <v>1339</v>
      </c>
      <c r="C86" s="27" t="s">
        <v>221</v>
      </c>
      <c r="D86" s="11">
        <v>0.0</v>
      </c>
      <c r="E86" s="11">
        <v>0.0</v>
      </c>
      <c r="F86" s="11">
        <v>0.0</v>
      </c>
    </row>
    <row r="87" ht="15.75" customHeight="1">
      <c r="A87" s="27">
        <v>1.025030585E9</v>
      </c>
      <c r="B87" s="27" t="s">
        <v>1347</v>
      </c>
      <c r="C87" s="27" t="s">
        <v>221</v>
      </c>
      <c r="D87" s="11">
        <v>0.0</v>
      </c>
      <c r="E87" s="11">
        <v>0.0</v>
      </c>
      <c r="F87" s="11">
        <v>0.0</v>
      </c>
    </row>
    <row r="88" ht="15.75" customHeight="1">
      <c r="A88" s="27">
        <v>1.025030588E9</v>
      </c>
      <c r="B88" s="27" t="s">
        <v>1354</v>
      </c>
      <c r="C88" s="27" t="s">
        <v>221</v>
      </c>
      <c r="D88" s="11">
        <v>0.0</v>
      </c>
      <c r="E88" s="11">
        <v>0.0</v>
      </c>
      <c r="F88" s="11">
        <v>0.0</v>
      </c>
    </row>
    <row r="89" ht="15.75" customHeight="1">
      <c r="A89" s="27">
        <v>1.025030603E9</v>
      </c>
      <c r="B89" s="27" t="s">
        <v>1366</v>
      </c>
      <c r="C89" s="27" t="s">
        <v>221</v>
      </c>
      <c r="D89" s="11">
        <v>0.0</v>
      </c>
      <c r="E89" s="11">
        <v>0.0</v>
      </c>
      <c r="F89" s="11">
        <v>0.0</v>
      </c>
    </row>
    <row r="90" ht="15.75" customHeight="1">
      <c r="A90" s="27">
        <v>1.025030586E9</v>
      </c>
      <c r="B90" s="27" t="s">
        <v>1373</v>
      </c>
      <c r="C90" s="27" t="s">
        <v>221</v>
      </c>
      <c r="D90" s="11">
        <v>0.0</v>
      </c>
      <c r="E90" s="11">
        <v>0.0</v>
      </c>
      <c r="F90" s="11">
        <v>0.0</v>
      </c>
    </row>
    <row r="91" ht="15.75" customHeight="1">
      <c r="A91" s="27">
        <v>1.02503065E9</v>
      </c>
      <c r="B91" s="27" t="s">
        <v>1381</v>
      </c>
      <c r="C91" s="27" t="s">
        <v>221</v>
      </c>
      <c r="D91" s="11">
        <v>0.0</v>
      </c>
      <c r="E91" s="11">
        <v>0.0</v>
      </c>
      <c r="F91" s="11">
        <v>0.0</v>
      </c>
    </row>
    <row r="92" ht="15.75" customHeight="1">
      <c r="A92" s="27">
        <v>1.0250306E9</v>
      </c>
      <c r="B92" s="27" t="s">
        <v>1389</v>
      </c>
      <c r="C92" s="27" t="s">
        <v>221</v>
      </c>
      <c r="D92" s="11">
        <v>0.0</v>
      </c>
      <c r="E92" s="11">
        <v>0.0</v>
      </c>
      <c r="F92" s="11">
        <v>0.0</v>
      </c>
    </row>
    <row r="93" ht="15.75" customHeight="1">
      <c r="A93" s="27">
        <v>1.025030606E9</v>
      </c>
      <c r="B93" s="27" t="s">
        <v>1398</v>
      </c>
      <c r="C93" s="27" t="s">
        <v>221</v>
      </c>
      <c r="D93" s="11">
        <v>0.0</v>
      </c>
      <c r="E93" s="11">
        <v>1.0</v>
      </c>
      <c r="F93" s="11">
        <v>0.0</v>
      </c>
    </row>
    <row r="94" ht="15.75" customHeight="1">
      <c r="A94" s="27">
        <v>1.025030587E9</v>
      </c>
      <c r="B94" s="27" t="s">
        <v>1405</v>
      </c>
      <c r="C94" s="27" t="s">
        <v>221</v>
      </c>
      <c r="D94" s="11">
        <v>0.0</v>
      </c>
      <c r="E94" s="11">
        <v>1.0</v>
      </c>
      <c r="F94" s="11">
        <v>0.0</v>
      </c>
    </row>
    <row r="95" ht="15.75" customHeight="1">
      <c r="A95" s="27">
        <v>1.025030605E9</v>
      </c>
      <c r="B95" s="27" t="s">
        <v>1411</v>
      </c>
      <c r="C95" s="27" t="s">
        <v>221</v>
      </c>
      <c r="D95" s="11">
        <v>0.0</v>
      </c>
      <c r="E95" s="11">
        <v>0.0</v>
      </c>
      <c r="F95" s="11">
        <v>0.0</v>
      </c>
    </row>
    <row r="96" ht="15.75" customHeight="1">
      <c r="A96" s="27">
        <v>1.025030611E9</v>
      </c>
      <c r="B96" s="27" t="s">
        <v>1417</v>
      </c>
      <c r="C96" s="27" t="s">
        <v>221</v>
      </c>
      <c r="D96" s="11">
        <v>0.0</v>
      </c>
      <c r="E96" s="11">
        <v>1.0</v>
      </c>
      <c r="F96" s="11">
        <v>0.0</v>
      </c>
    </row>
    <row r="97" ht="15.75" customHeight="1">
      <c r="A97" s="27">
        <v>1.025030595E9</v>
      </c>
      <c r="B97" s="27" t="s">
        <v>1430</v>
      </c>
      <c r="C97" s="27" t="s">
        <v>221</v>
      </c>
      <c r="D97" s="11">
        <v>0.0</v>
      </c>
      <c r="E97" s="11">
        <v>1.0</v>
      </c>
      <c r="F97" s="11">
        <v>0.0</v>
      </c>
    </row>
    <row r="98" ht="15.75" customHeight="1">
      <c r="A98" s="27">
        <v>1.025030599E9</v>
      </c>
      <c r="B98" s="27" t="s">
        <v>1437</v>
      </c>
      <c r="C98" s="27" t="s">
        <v>221</v>
      </c>
      <c r="D98" s="11">
        <v>0.0</v>
      </c>
      <c r="E98" s="11">
        <v>0.0</v>
      </c>
      <c r="F98" s="11">
        <v>0.0</v>
      </c>
    </row>
    <row r="99" ht="15.75" customHeight="1">
      <c r="A99" s="27">
        <v>1.025030597E9</v>
      </c>
      <c r="B99" s="27" t="s">
        <v>1442</v>
      </c>
      <c r="C99" s="27" t="s">
        <v>221</v>
      </c>
      <c r="D99" s="11">
        <v>0.0</v>
      </c>
      <c r="E99" s="11">
        <v>0.0</v>
      </c>
      <c r="F99" s="11">
        <v>0.0</v>
      </c>
    </row>
    <row r="100" ht="15.75" customHeight="1">
      <c r="A100" s="27">
        <v>1.025030607E9</v>
      </c>
      <c r="B100" s="27" t="s">
        <v>1450</v>
      </c>
      <c r="C100" s="27" t="s">
        <v>221</v>
      </c>
      <c r="D100" s="11">
        <v>0.0</v>
      </c>
      <c r="E100" s="11">
        <v>0.0</v>
      </c>
      <c r="F100" s="11">
        <v>0.0</v>
      </c>
    </row>
    <row r="101" ht="15.75" customHeight="1">
      <c r="A101" s="27">
        <v>1.025030596E9</v>
      </c>
      <c r="B101" s="27" t="s">
        <v>1458</v>
      </c>
      <c r="C101" s="27" t="s">
        <v>221</v>
      </c>
      <c r="D101" s="11">
        <v>0.0</v>
      </c>
      <c r="E101" s="11">
        <v>0.0</v>
      </c>
      <c r="F101" s="11">
        <v>0.0</v>
      </c>
    </row>
    <row r="102" ht="15.75" customHeight="1">
      <c r="A102" s="27">
        <v>1.025030592E9</v>
      </c>
      <c r="B102" s="27" t="s">
        <v>1467</v>
      </c>
      <c r="C102" s="27" t="s">
        <v>221</v>
      </c>
      <c r="D102" s="11">
        <v>0.0</v>
      </c>
      <c r="E102" s="11">
        <v>0.0</v>
      </c>
      <c r="F102" s="11">
        <v>0.0</v>
      </c>
    </row>
    <row r="103" ht="15.75" customHeight="1">
      <c r="A103" s="27">
        <v>1.025030601E9</v>
      </c>
      <c r="B103" s="27" t="s">
        <v>1474</v>
      </c>
      <c r="C103" s="27" t="s">
        <v>221</v>
      </c>
      <c r="D103" s="11">
        <v>0.0</v>
      </c>
      <c r="E103" s="11">
        <v>1.0</v>
      </c>
      <c r="F103" s="11">
        <v>0.0</v>
      </c>
    </row>
    <row r="104" ht="15.75" customHeight="1">
      <c r="A104" s="27">
        <v>1.025030602E9</v>
      </c>
      <c r="B104" s="27" t="s">
        <v>1482</v>
      </c>
      <c r="C104" s="27" t="s">
        <v>221</v>
      </c>
      <c r="D104" s="11">
        <v>0.0</v>
      </c>
      <c r="E104" s="11">
        <v>0.0</v>
      </c>
      <c r="F104" s="11">
        <v>0.0</v>
      </c>
    </row>
    <row r="105" ht="15.75" customHeight="1">
      <c r="A105" s="27">
        <v>1.025030589E9</v>
      </c>
      <c r="B105" s="27" t="s">
        <v>1489</v>
      </c>
      <c r="C105" s="27" t="s">
        <v>221</v>
      </c>
      <c r="D105" s="11">
        <v>0.0</v>
      </c>
      <c r="E105" s="11">
        <v>0.0</v>
      </c>
      <c r="F105" s="11">
        <v>0.0</v>
      </c>
    </row>
    <row r="106" ht="15.75" customHeight="1">
      <c r="A106" s="27">
        <v>1.025030704E9</v>
      </c>
      <c r="B106" s="27" t="s">
        <v>1497</v>
      </c>
      <c r="C106" s="27" t="s">
        <v>221</v>
      </c>
      <c r="D106" s="11">
        <v>0.0</v>
      </c>
      <c r="E106" s="11">
        <v>0.0</v>
      </c>
      <c r="F106" s="11">
        <v>0.0</v>
      </c>
    </row>
    <row r="107" ht="15.75" customHeight="1">
      <c r="A107" s="27">
        <v>1.025030594E9</v>
      </c>
      <c r="B107" s="27" t="s">
        <v>1506</v>
      </c>
      <c r="C107" s="27" t="s">
        <v>221</v>
      </c>
      <c r="D107" s="11">
        <v>0.0</v>
      </c>
      <c r="E107" s="11">
        <v>0.0</v>
      </c>
      <c r="F107" s="11">
        <v>0.0</v>
      </c>
    </row>
    <row r="108" ht="15.75" customHeight="1">
      <c r="A108" s="27">
        <v>1.025030598E9</v>
      </c>
      <c r="B108" s="27" t="s">
        <v>1512</v>
      </c>
      <c r="C108" s="27" t="s">
        <v>221</v>
      </c>
      <c r="D108" s="11">
        <v>0.0</v>
      </c>
      <c r="E108" s="11">
        <v>1.0</v>
      </c>
      <c r="F108" s="11">
        <v>0.0</v>
      </c>
    </row>
    <row r="109" ht="15.75" customHeight="1">
      <c r="A109" s="27">
        <v>1.025030591E9</v>
      </c>
      <c r="B109" s="27" t="s">
        <v>1519</v>
      </c>
      <c r="C109" s="27" t="s">
        <v>221</v>
      </c>
      <c r="D109" s="11">
        <v>0.0</v>
      </c>
      <c r="E109" s="11">
        <v>0.0</v>
      </c>
      <c r="F109" s="11">
        <v>0.0</v>
      </c>
    </row>
    <row r="110" ht="15.75" customHeight="1">
      <c r="A110" s="27">
        <v>1.02503059E9</v>
      </c>
      <c r="B110" s="27" t="s">
        <v>1527</v>
      </c>
      <c r="C110" s="27" t="s">
        <v>221</v>
      </c>
      <c r="D110" s="11">
        <v>0.0</v>
      </c>
      <c r="E110" s="11">
        <v>0.0</v>
      </c>
      <c r="F110" s="11">
        <v>0.0</v>
      </c>
    </row>
    <row r="111" ht="15.75" customHeight="1">
      <c r="A111" s="27">
        <v>1.025030593E9</v>
      </c>
      <c r="B111" s="27" t="s">
        <v>1533</v>
      </c>
      <c r="C111" s="27" t="s">
        <v>221</v>
      </c>
      <c r="D111" s="11">
        <v>0.0</v>
      </c>
      <c r="E111" s="11">
        <v>0.0</v>
      </c>
      <c r="F111" s="11">
        <v>0.0</v>
      </c>
    </row>
    <row r="112" ht="15.75" customHeight="1">
      <c r="A112" s="27">
        <v>1.025030612E9</v>
      </c>
      <c r="B112" s="27" t="s">
        <v>1540</v>
      </c>
      <c r="C112" s="27" t="s">
        <v>282</v>
      </c>
      <c r="D112" s="11">
        <v>0.0</v>
      </c>
      <c r="E112" s="11">
        <v>0.0</v>
      </c>
      <c r="F112" s="11">
        <v>0.0</v>
      </c>
    </row>
    <row r="113" ht="15.75" customHeight="1">
      <c r="A113" s="27">
        <v>1.025030621E9</v>
      </c>
      <c r="B113" s="27" t="s">
        <v>1549</v>
      </c>
      <c r="C113" s="27" t="s">
        <v>282</v>
      </c>
      <c r="D113" s="11">
        <v>0.0</v>
      </c>
      <c r="E113" s="11">
        <v>1.0</v>
      </c>
      <c r="F113" s="11">
        <v>0.0</v>
      </c>
    </row>
    <row r="114" ht="15.75" customHeight="1">
      <c r="A114" s="27">
        <v>1.02503063E9</v>
      </c>
      <c r="B114" s="27" t="s">
        <v>1557</v>
      </c>
      <c r="C114" s="27" t="s">
        <v>282</v>
      </c>
      <c r="D114" s="11">
        <v>0.0</v>
      </c>
      <c r="E114" s="11">
        <v>0.0</v>
      </c>
      <c r="F114" s="11">
        <v>0.0</v>
      </c>
    </row>
    <row r="115" ht="15.75" customHeight="1">
      <c r="A115" s="27">
        <v>1.025030623E9</v>
      </c>
      <c r="B115" s="27" t="s">
        <v>1566</v>
      </c>
      <c r="C115" s="27" t="s">
        <v>282</v>
      </c>
      <c r="D115" s="11">
        <v>0.0</v>
      </c>
      <c r="E115" s="11">
        <v>0.0</v>
      </c>
      <c r="F115" s="11">
        <v>0.0</v>
      </c>
    </row>
    <row r="116" ht="15.75" customHeight="1">
      <c r="A116" s="27">
        <v>1.025030627E9</v>
      </c>
      <c r="B116" s="27" t="s">
        <v>1571</v>
      </c>
      <c r="C116" s="27" t="s">
        <v>282</v>
      </c>
      <c r="D116" s="11">
        <v>0.0</v>
      </c>
      <c r="E116" s="11">
        <v>0.0</v>
      </c>
      <c r="F116" s="11">
        <v>0.0</v>
      </c>
    </row>
    <row r="117" ht="15.75" customHeight="1">
      <c r="A117" s="27">
        <v>1.025030628E9</v>
      </c>
      <c r="B117" s="27" t="s">
        <v>1579</v>
      </c>
      <c r="C117" s="27" t="s">
        <v>282</v>
      </c>
      <c r="D117" s="11">
        <v>0.0</v>
      </c>
      <c r="E117" s="11">
        <v>0.0</v>
      </c>
      <c r="F117" s="11">
        <v>0.0</v>
      </c>
    </row>
    <row r="118" ht="15.75" customHeight="1">
      <c r="A118" s="27">
        <v>1.025030616E9</v>
      </c>
      <c r="B118" s="27" t="s">
        <v>1586</v>
      </c>
      <c r="C118" s="27" t="s">
        <v>282</v>
      </c>
      <c r="D118" s="11">
        <v>0.0</v>
      </c>
      <c r="E118" s="11">
        <v>0.0</v>
      </c>
      <c r="F118" s="11">
        <v>0.0</v>
      </c>
    </row>
    <row r="119" ht="15.75" customHeight="1">
      <c r="A119" s="27">
        <v>1.02503061E9</v>
      </c>
      <c r="B119" s="27" t="s">
        <v>1593</v>
      </c>
      <c r="C119" s="27" t="s">
        <v>282</v>
      </c>
      <c r="D119" s="11">
        <v>0.0</v>
      </c>
      <c r="E119" s="11">
        <v>1.0</v>
      </c>
      <c r="F119" s="11">
        <v>0.0</v>
      </c>
    </row>
    <row r="120" ht="15.75" customHeight="1">
      <c r="A120" s="27">
        <v>1.025030629E9</v>
      </c>
      <c r="B120" s="27" t="s">
        <v>1603</v>
      </c>
      <c r="C120" s="27" t="s">
        <v>282</v>
      </c>
      <c r="D120" s="11">
        <v>0.0</v>
      </c>
      <c r="E120" s="11">
        <v>0.0</v>
      </c>
      <c r="F120" s="11">
        <v>0.0</v>
      </c>
    </row>
    <row r="121" ht="15.75" customHeight="1">
      <c r="A121" s="27">
        <v>1.025030615E9</v>
      </c>
      <c r="B121" s="27" t="s">
        <v>1611</v>
      </c>
      <c r="C121" s="27" t="s">
        <v>282</v>
      </c>
      <c r="D121" s="11">
        <v>0.0</v>
      </c>
      <c r="E121" s="11">
        <v>0.0</v>
      </c>
      <c r="F121" s="11">
        <v>0.0</v>
      </c>
    </row>
    <row r="122" ht="15.75" customHeight="1">
      <c r="A122" s="27">
        <v>1.025030637E9</v>
      </c>
      <c r="B122" s="27" t="s">
        <v>1619</v>
      </c>
      <c r="C122" s="27" t="s">
        <v>282</v>
      </c>
      <c r="D122" s="11">
        <v>0.0</v>
      </c>
      <c r="E122" s="11">
        <v>0.0</v>
      </c>
      <c r="F122" s="11">
        <v>0.0</v>
      </c>
    </row>
    <row r="123" ht="15.75" customHeight="1">
      <c r="A123" s="27">
        <v>1.02503062E9</v>
      </c>
      <c r="B123" s="27" t="s">
        <v>1628</v>
      </c>
      <c r="C123" s="27" t="s">
        <v>282</v>
      </c>
      <c r="D123" s="11">
        <v>0.0</v>
      </c>
      <c r="E123" s="11">
        <v>0.0</v>
      </c>
      <c r="F123" s="11">
        <v>0.0</v>
      </c>
    </row>
    <row r="124" ht="15.75" customHeight="1">
      <c r="A124" s="27">
        <v>1.025030634E9</v>
      </c>
      <c r="B124" s="27" t="s">
        <v>1635</v>
      </c>
      <c r="C124" s="27" t="s">
        <v>282</v>
      </c>
      <c r="D124" s="11">
        <v>0.0</v>
      </c>
      <c r="E124" s="11">
        <v>0.0</v>
      </c>
      <c r="F124" s="11">
        <v>0.0</v>
      </c>
    </row>
    <row r="125" ht="15.75" customHeight="1">
      <c r="A125" s="27">
        <v>1.025030633E9</v>
      </c>
      <c r="B125" s="27" t="s">
        <v>1641</v>
      </c>
      <c r="C125" s="27" t="s">
        <v>282</v>
      </c>
      <c r="D125" s="11">
        <v>0.0</v>
      </c>
      <c r="E125" s="11">
        <v>0.0</v>
      </c>
      <c r="F125" s="11">
        <v>0.0</v>
      </c>
    </row>
    <row r="126" ht="15.75" customHeight="1">
      <c r="A126" s="27">
        <v>1.025030626E9</v>
      </c>
      <c r="B126" s="27" t="s">
        <v>1648</v>
      </c>
      <c r="C126" s="27" t="s">
        <v>282</v>
      </c>
      <c r="D126" s="11">
        <v>0.0</v>
      </c>
      <c r="E126" s="11">
        <v>0.0</v>
      </c>
      <c r="F126" s="11">
        <v>0.0</v>
      </c>
    </row>
    <row r="127" ht="15.75" customHeight="1">
      <c r="A127" s="27">
        <v>1.025030614E9</v>
      </c>
      <c r="B127" s="27" t="s">
        <v>1657</v>
      </c>
      <c r="C127" s="27" t="s">
        <v>282</v>
      </c>
      <c r="D127" s="11">
        <v>0.0</v>
      </c>
      <c r="E127" s="11">
        <v>0.0</v>
      </c>
      <c r="F127" s="11">
        <v>0.0</v>
      </c>
    </row>
    <row r="128" ht="15.75" customHeight="1">
      <c r="A128" s="27">
        <v>1.025030638E9</v>
      </c>
      <c r="B128" s="27" t="s">
        <v>1661</v>
      </c>
      <c r="C128" s="27" t="s">
        <v>282</v>
      </c>
      <c r="D128" s="11">
        <v>0.0</v>
      </c>
      <c r="E128" s="11">
        <v>0.0</v>
      </c>
      <c r="F128" s="11">
        <v>0.0</v>
      </c>
    </row>
    <row r="129" ht="15.75" customHeight="1">
      <c r="A129" s="27">
        <v>1.025030617E9</v>
      </c>
      <c r="B129" s="27" t="s">
        <v>1675</v>
      </c>
      <c r="C129" s="27" t="s">
        <v>282</v>
      </c>
      <c r="D129" s="11">
        <v>0.0</v>
      </c>
      <c r="E129" s="11">
        <v>0.0</v>
      </c>
      <c r="F129" s="11">
        <v>0.0</v>
      </c>
    </row>
    <row r="130" ht="15.75" customHeight="1">
      <c r="A130" s="27">
        <v>1.025030624E9</v>
      </c>
      <c r="B130" s="27" t="s">
        <v>1681</v>
      </c>
      <c r="C130" s="27" t="s">
        <v>282</v>
      </c>
      <c r="D130" s="11">
        <v>0.0</v>
      </c>
      <c r="E130" s="11">
        <v>0.0</v>
      </c>
      <c r="F130" s="11">
        <v>0.0</v>
      </c>
    </row>
    <row r="131" ht="15.75" customHeight="1">
      <c r="A131" s="27">
        <v>1.025031089E9</v>
      </c>
      <c r="B131" s="27" t="s">
        <v>1687</v>
      </c>
      <c r="C131" s="27" t="s">
        <v>282</v>
      </c>
      <c r="D131" s="11">
        <v>0.0</v>
      </c>
      <c r="E131" s="11">
        <v>0.0</v>
      </c>
      <c r="F131" s="11">
        <v>0.0</v>
      </c>
    </row>
    <row r="132" ht="15.75" customHeight="1">
      <c r="A132" s="27">
        <v>1.025030636E9</v>
      </c>
      <c r="B132" s="27" t="s">
        <v>1695</v>
      </c>
      <c r="C132" s="27" t="s">
        <v>282</v>
      </c>
      <c r="D132" s="11">
        <v>0.0</v>
      </c>
      <c r="E132" s="11">
        <v>0.0</v>
      </c>
      <c r="F132" s="11">
        <v>0.0</v>
      </c>
    </row>
    <row r="133" ht="15.75" customHeight="1">
      <c r="A133" s="27">
        <v>1.025030618E9</v>
      </c>
      <c r="B133" s="27" t="s">
        <v>1706</v>
      </c>
      <c r="C133" s="27" t="s">
        <v>282</v>
      </c>
      <c r="D133" s="11">
        <v>0.0</v>
      </c>
      <c r="E133" s="11">
        <v>0.0</v>
      </c>
      <c r="F133" s="11">
        <v>0.0</v>
      </c>
    </row>
    <row r="134" ht="15.75" customHeight="1">
      <c r="A134" s="27">
        <v>1.025030622E9</v>
      </c>
      <c r="B134" s="27" t="s">
        <v>1713</v>
      </c>
      <c r="C134" s="27" t="s">
        <v>282</v>
      </c>
      <c r="D134" s="11">
        <v>0.0</v>
      </c>
      <c r="E134" s="11">
        <v>0.0</v>
      </c>
      <c r="F134" s="11">
        <v>0.0</v>
      </c>
    </row>
    <row r="135" ht="15.75" customHeight="1">
      <c r="A135" s="27">
        <v>1.025030635E9</v>
      </c>
      <c r="B135" s="27" t="s">
        <v>1718</v>
      </c>
      <c r="C135" s="27" t="s">
        <v>282</v>
      </c>
      <c r="D135" s="11">
        <v>0.0</v>
      </c>
      <c r="E135" s="11">
        <v>0.0</v>
      </c>
      <c r="F135" s="11">
        <v>0.0</v>
      </c>
    </row>
    <row r="136" ht="15.75" customHeight="1">
      <c r="A136" s="27">
        <v>1.025030632E9</v>
      </c>
      <c r="B136" s="27" t="s">
        <v>1725</v>
      </c>
      <c r="C136" s="27" t="s">
        <v>282</v>
      </c>
      <c r="D136" s="11">
        <v>0.0</v>
      </c>
      <c r="E136" s="11">
        <v>0.0</v>
      </c>
      <c r="F136" s="11">
        <v>0.0</v>
      </c>
    </row>
    <row r="137" ht="15.75" customHeight="1">
      <c r="A137" s="27">
        <v>1.025030625E9</v>
      </c>
      <c r="B137" s="27" t="s">
        <v>1734</v>
      </c>
      <c r="C137" s="27" t="s">
        <v>282</v>
      </c>
      <c r="D137" s="11">
        <v>0.0</v>
      </c>
      <c r="E137" s="11">
        <v>0.0</v>
      </c>
      <c r="F137" s="11">
        <v>0.0</v>
      </c>
    </row>
    <row r="138" ht="15.75" customHeight="1">
      <c r="A138" s="27">
        <v>1.025030619E9</v>
      </c>
      <c r="B138" s="27" t="s">
        <v>1746</v>
      </c>
      <c r="C138" s="27" t="s">
        <v>282</v>
      </c>
      <c r="D138" s="11">
        <v>0.0</v>
      </c>
      <c r="E138" s="11">
        <v>0.0</v>
      </c>
      <c r="F138" s="11">
        <v>0.0</v>
      </c>
    </row>
    <row r="139" ht="15.75" customHeight="1">
      <c r="A139" s="27">
        <v>1.025030613E9</v>
      </c>
      <c r="B139" s="27" t="s">
        <v>1755</v>
      </c>
      <c r="C139" s="27" t="s">
        <v>282</v>
      </c>
      <c r="D139" s="11">
        <v>0.0</v>
      </c>
      <c r="E139" s="11">
        <v>0.0</v>
      </c>
      <c r="F139" s="11">
        <v>0.0</v>
      </c>
    </row>
    <row r="140" ht="15.75" customHeight="1">
      <c r="D140" s="11" t="s">
        <v>1762</v>
      </c>
      <c r="E140" s="11" t="s">
        <v>1762</v>
      </c>
      <c r="F140" s="11" t="s">
        <v>1762</v>
      </c>
    </row>
    <row r="141" ht="15.75" customHeight="1">
      <c r="D141" s="11" t="s">
        <v>1762</v>
      </c>
      <c r="E141" s="11" t="s">
        <v>1762</v>
      </c>
      <c r="F141" s="11" t="s">
        <v>1762</v>
      </c>
    </row>
    <row r="142" ht="15.75" customHeight="1">
      <c r="D142" s="11" t="s">
        <v>1762</v>
      </c>
      <c r="E142" s="11" t="s">
        <v>1762</v>
      </c>
      <c r="F142" s="11" t="s">
        <v>1762</v>
      </c>
    </row>
    <row r="143" ht="15.75" customHeight="1">
      <c r="D143" s="11" t="s">
        <v>1762</v>
      </c>
      <c r="E143" s="11" t="s">
        <v>1762</v>
      </c>
      <c r="F143" s="11" t="s">
        <v>1762</v>
      </c>
    </row>
    <row r="144" ht="15.75" customHeight="1">
      <c r="D144" s="11" t="s">
        <v>1762</v>
      </c>
      <c r="E144" s="11" t="s">
        <v>1762</v>
      </c>
      <c r="F144" s="11" t="s">
        <v>1762</v>
      </c>
    </row>
    <row r="145" ht="15.75" customHeight="1">
      <c r="D145" s="11" t="s">
        <v>1762</v>
      </c>
      <c r="E145" s="11" t="s">
        <v>1762</v>
      </c>
      <c r="F145" s="11" t="s">
        <v>1762</v>
      </c>
    </row>
    <row r="146" ht="15.75" customHeight="1">
      <c r="D146" s="11" t="s">
        <v>1762</v>
      </c>
      <c r="E146" s="11" t="s">
        <v>1762</v>
      </c>
      <c r="F146" s="11" t="s">
        <v>1762</v>
      </c>
    </row>
    <row r="147" ht="15.75" customHeight="1">
      <c r="D147" s="11" t="s">
        <v>1762</v>
      </c>
      <c r="E147" s="11" t="s">
        <v>1762</v>
      </c>
      <c r="F147" s="11" t="s">
        <v>1762</v>
      </c>
    </row>
    <row r="148" ht="15.75" customHeight="1">
      <c r="D148" s="11" t="s">
        <v>1762</v>
      </c>
      <c r="E148" s="11" t="s">
        <v>1762</v>
      </c>
      <c r="F148" s="11" t="s">
        <v>1762</v>
      </c>
    </row>
    <row r="149" ht="15.75" customHeight="1">
      <c r="D149" s="11" t="s">
        <v>1762</v>
      </c>
      <c r="E149" s="11" t="s">
        <v>1762</v>
      </c>
      <c r="F149" s="11" t="s">
        <v>1762</v>
      </c>
    </row>
    <row r="150" ht="15.75" customHeight="1">
      <c r="D150" s="11" t="s">
        <v>1762</v>
      </c>
      <c r="E150" s="11" t="s">
        <v>1762</v>
      </c>
      <c r="F150" s="11" t="s">
        <v>1762</v>
      </c>
    </row>
    <row r="151" ht="15.75" customHeight="1">
      <c r="D151" s="11" t="s">
        <v>1762</v>
      </c>
      <c r="E151" s="11" t="s">
        <v>1762</v>
      </c>
      <c r="F151" s="11" t="s">
        <v>1762</v>
      </c>
    </row>
    <row r="152" ht="15.75" customHeight="1">
      <c r="D152" s="11" t="s">
        <v>1762</v>
      </c>
      <c r="E152" s="11" t="s">
        <v>1762</v>
      </c>
      <c r="F152" s="11" t="s">
        <v>1762</v>
      </c>
    </row>
    <row r="153" ht="15.75" customHeight="1">
      <c r="D153" s="11" t="s">
        <v>1762</v>
      </c>
      <c r="E153" s="11" t="s">
        <v>1762</v>
      </c>
      <c r="F153" s="11" t="s">
        <v>1762</v>
      </c>
    </row>
    <row r="154" ht="15.75" customHeight="1">
      <c r="D154" s="11" t="s">
        <v>1762</v>
      </c>
      <c r="E154" s="11" t="s">
        <v>1762</v>
      </c>
      <c r="F154" s="11" t="s">
        <v>1762</v>
      </c>
    </row>
    <row r="155" ht="15.75" customHeight="1">
      <c r="D155" s="11" t="s">
        <v>1762</v>
      </c>
      <c r="E155" s="11" t="s">
        <v>1762</v>
      </c>
      <c r="F155" s="11" t="s">
        <v>1762</v>
      </c>
    </row>
    <row r="156" ht="15.75" customHeight="1">
      <c r="D156" s="11" t="s">
        <v>1762</v>
      </c>
      <c r="E156" s="11" t="s">
        <v>1762</v>
      </c>
      <c r="F156" s="11" t="s">
        <v>1762</v>
      </c>
    </row>
    <row r="157" ht="15.75" customHeight="1">
      <c r="D157" s="11" t="s">
        <v>1762</v>
      </c>
      <c r="E157" s="11" t="s">
        <v>1762</v>
      </c>
      <c r="F157" s="11" t="s">
        <v>1762</v>
      </c>
    </row>
    <row r="158" ht="15.75" customHeight="1">
      <c r="D158" s="11" t="s">
        <v>1762</v>
      </c>
      <c r="E158" s="11" t="s">
        <v>1762</v>
      </c>
      <c r="F158" s="11" t="s">
        <v>1762</v>
      </c>
    </row>
    <row r="159" ht="15.75" customHeight="1">
      <c r="D159" s="11" t="s">
        <v>1762</v>
      </c>
      <c r="E159" s="11" t="s">
        <v>1762</v>
      </c>
      <c r="F159" s="11" t="s">
        <v>1762</v>
      </c>
    </row>
    <row r="160" ht="15.75" customHeight="1">
      <c r="D160" s="11" t="s">
        <v>1762</v>
      </c>
      <c r="E160" s="11" t="s">
        <v>1762</v>
      </c>
      <c r="F160" s="11" t="s">
        <v>1762</v>
      </c>
    </row>
    <row r="161" ht="15.75" customHeight="1">
      <c r="D161" s="11" t="s">
        <v>1762</v>
      </c>
      <c r="E161" s="11" t="s">
        <v>1762</v>
      </c>
      <c r="F161" s="11" t="s">
        <v>1762</v>
      </c>
    </row>
    <row r="162" ht="15.75" customHeight="1">
      <c r="D162" s="11" t="s">
        <v>1762</v>
      </c>
      <c r="E162" s="11" t="s">
        <v>1762</v>
      </c>
      <c r="F162" s="11" t="s">
        <v>1762</v>
      </c>
    </row>
    <row r="163" ht="15.75" customHeight="1">
      <c r="D163" s="11" t="s">
        <v>1762</v>
      </c>
      <c r="E163" s="11" t="s">
        <v>1762</v>
      </c>
      <c r="F163" s="11" t="s">
        <v>1762</v>
      </c>
    </row>
    <row r="164" ht="15.75" customHeight="1">
      <c r="D164" s="11" t="s">
        <v>1762</v>
      </c>
      <c r="E164" s="11" t="s">
        <v>1762</v>
      </c>
      <c r="F164" s="11" t="s">
        <v>1762</v>
      </c>
    </row>
    <row r="165" ht="15.75" customHeight="1">
      <c r="D165" s="11" t="s">
        <v>1762</v>
      </c>
      <c r="E165" s="11" t="s">
        <v>1762</v>
      </c>
      <c r="F165" s="11" t="s">
        <v>1762</v>
      </c>
    </row>
    <row r="166" ht="15.75" customHeight="1">
      <c r="D166" s="11" t="s">
        <v>1762</v>
      </c>
      <c r="E166" s="11" t="s">
        <v>1762</v>
      </c>
      <c r="F166" s="11" t="s">
        <v>1762</v>
      </c>
    </row>
    <row r="167" ht="15.75" customHeight="1">
      <c r="D167" s="11" t="s">
        <v>1762</v>
      </c>
      <c r="E167" s="11" t="s">
        <v>1762</v>
      </c>
      <c r="F167" s="11" t="s">
        <v>1762</v>
      </c>
    </row>
    <row r="168" ht="15.75" customHeight="1">
      <c r="D168" s="11" t="s">
        <v>1762</v>
      </c>
      <c r="E168" s="11" t="s">
        <v>1762</v>
      </c>
      <c r="F168" s="11" t="s">
        <v>1762</v>
      </c>
    </row>
    <row r="169" ht="15.75" customHeight="1">
      <c r="D169" s="11" t="s">
        <v>1762</v>
      </c>
      <c r="E169" s="11" t="s">
        <v>1762</v>
      </c>
      <c r="F169" s="11" t="s">
        <v>1762</v>
      </c>
    </row>
    <row r="170" ht="15.75" customHeight="1">
      <c r="D170" s="11" t="s">
        <v>1762</v>
      </c>
      <c r="E170" s="11" t="s">
        <v>1762</v>
      </c>
      <c r="F170" s="11" t="s">
        <v>1762</v>
      </c>
    </row>
    <row r="171" ht="15.75" customHeight="1">
      <c r="D171" s="11" t="s">
        <v>1762</v>
      </c>
      <c r="E171" s="11" t="s">
        <v>1762</v>
      </c>
      <c r="F171" s="11" t="s">
        <v>1762</v>
      </c>
    </row>
    <row r="172" ht="15.75" customHeight="1">
      <c r="D172" s="11" t="s">
        <v>1762</v>
      </c>
      <c r="E172" s="11" t="s">
        <v>1762</v>
      </c>
      <c r="F172" s="11" t="s">
        <v>1762</v>
      </c>
    </row>
    <row r="173" ht="15.75" customHeight="1">
      <c r="D173" s="11" t="s">
        <v>1762</v>
      </c>
      <c r="E173" s="11" t="s">
        <v>1762</v>
      </c>
      <c r="F173" s="11" t="s">
        <v>1762</v>
      </c>
    </row>
    <row r="174" ht="15.75" customHeight="1">
      <c r="D174" s="11" t="s">
        <v>1762</v>
      </c>
      <c r="E174" s="11" t="s">
        <v>1762</v>
      </c>
      <c r="F174" s="11" t="s">
        <v>1762</v>
      </c>
    </row>
    <row r="175" ht="15.75" customHeight="1">
      <c r="D175" s="11" t="s">
        <v>1762</v>
      </c>
      <c r="E175" s="11" t="s">
        <v>1762</v>
      </c>
      <c r="F175" s="11" t="s">
        <v>1762</v>
      </c>
    </row>
    <row r="176" ht="15.75" customHeight="1">
      <c r="D176" s="11" t="s">
        <v>1762</v>
      </c>
      <c r="E176" s="11" t="s">
        <v>1762</v>
      </c>
      <c r="F176" s="11" t="s">
        <v>1762</v>
      </c>
    </row>
    <row r="177" ht="15.75" customHeight="1">
      <c r="D177" s="11" t="s">
        <v>1762</v>
      </c>
      <c r="E177" s="11" t="s">
        <v>1762</v>
      </c>
      <c r="F177" s="11" t="s">
        <v>1762</v>
      </c>
    </row>
    <row r="178" ht="15.75" customHeight="1">
      <c r="D178" s="11" t="s">
        <v>1762</v>
      </c>
      <c r="E178" s="11" t="s">
        <v>1762</v>
      </c>
      <c r="F178" s="11" t="s">
        <v>1762</v>
      </c>
    </row>
    <row r="179" ht="15.75" customHeight="1">
      <c r="D179" s="11" t="s">
        <v>1762</v>
      </c>
      <c r="E179" s="11" t="s">
        <v>1762</v>
      </c>
      <c r="F179" s="11" t="s">
        <v>1762</v>
      </c>
    </row>
    <row r="180" ht="15.75" customHeight="1">
      <c r="D180" s="11" t="s">
        <v>1762</v>
      </c>
      <c r="E180" s="11" t="s">
        <v>1762</v>
      </c>
      <c r="F180" s="11" t="s">
        <v>1762</v>
      </c>
    </row>
    <row r="181" ht="15.75" customHeight="1">
      <c r="D181" s="11" t="s">
        <v>1762</v>
      </c>
      <c r="E181" s="11" t="s">
        <v>1762</v>
      </c>
      <c r="F181" s="11" t="s">
        <v>1762</v>
      </c>
    </row>
    <row r="182" ht="15.75" customHeight="1">
      <c r="D182" s="11" t="s">
        <v>1762</v>
      </c>
      <c r="E182" s="11" t="s">
        <v>1762</v>
      </c>
      <c r="F182" s="11" t="s">
        <v>1762</v>
      </c>
    </row>
    <row r="183" ht="15.75" customHeight="1">
      <c r="D183" s="11" t="s">
        <v>1762</v>
      </c>
      <c r="E183" s="11" t="s">
        <v>1762</v>
      </c>
      <c r="F183" s="11" t="s">
        <v>1762</v>
      </c>
    </row>
    <row r="184" ht="15.75" customHeight="1">
      <c r="D184" s="11" t="s">
        <v>1762</v>
      </c>
      <c r="E184" s="11" t="s">
        <v>1762</v>
      </c>
      <c r="F184" s="11" t="s">
        <v>1762</v>
      </c>
    </row>
    <row r="185" ht="15.75" customHeight="1">
      <c r="D185" s="11" t="s">
        <v>1762</v>
      </c>
      <c r="E185" s="11" t="s">
        <v>1762</v>
      </c>
      <c r="F185" s="11" t="s">
        <v>1762</v>
      </c>
    </row>
    <row r="186" ht="15.75" customHeight="1">
      <c r="D186" s="11" t="s">
        <v>1762</v>
      </c>
      <c r="E186" s="11" t="s">
        <v>1762</v>
      </c>
      <c r="F186" s="11" t="s">
        <v>1762</v>
      </c>
    </row>
    <row r="187" ht="15.75" customHeight="1">
      <c r="D187" s="11" t="s">
        <v>1762</v>
      </c>
      <c r="E187" s="11" t="s">
        <v>1762</v>
      </c>
      <c r="F187" s="11" t="s">
        <v>1762</v>
      </c>
    </row>
    <row r="188" ht="15.75" customHeight="1">
      <c r="D188" s="11" t="s">
        <v>1762</v>
      </c>
      <c r="E188" s="11" t="s">
        <v>1762</v>
      </c>
      <c r="F188" s="11" t="s">
        <v>1762</v>
      </c>
    </row>
    <row r="189" ht="15.75" customHeight="1">
      <c r="D189" s="11" t="s">
        <v>1762</v>
      </c>
      <c r="E189" s="11" t="s">
        <v>1762</v>
      </c>
      <c r="F189" s="11" t="s">
        <v>1762</v>
      </c>
    </row>
    <row r="190" ht="15.75" customHeight="1">
      <c r="D190" s="11" t="s">
        <v>1762</v>
      </c>
      <c r="E190" s="11" t="s">
        <v>1762</v>
      </c>
      <c r="F190" s="11" t="s">
        <v>1762</v>
      </c>
    </row>
    <row r="191" ht="15.75" customHeight="1">
      <c r="D191" s="11" t="s">
        <v>1762</v>
      </c>
      <c r="E191" s="11" t="s">
        <v>1762</v>
      </c>
      <c r="F191" s="11" t="s">
        <v>1762</v>
      </c>
    </row>
    <row r="192" ht="15.75" customHeight="1">
      <c r="D192" s="11" t="s">
        <v>1762</v>
      </c>
      <c r="E192" s="11" t="s">
        <v>1762</v>
      </c>
      <c r="F192" s="11" t="s">
        <v>1762</v>
      </c>
    </row>
    <row r="193" ht="15.75" customHeight="1">
      <c r="D193" s="11" t="s">
        <v>1762</v>
      </c>
      <c r="E193" s="11" t="s">
        <v>1762</v>
      </c>
      <c r="F193" s="11" t="s">
        <v>1762</v>
      </c>
    </row>
    <row r="194" ht="15.75" customHeight="1">
      <c r="D194" s="11" t="s">
        <v>1762</v>
      </c>
      <c r="E194" s="11" t="s">
        <v>1762</v>
      </c>
      <c r="F194" s="11" t="s">
        <v>1762</v>
      </c>
    </row>
    <row r="195" ht="15.75" customHeight="1">
      <c r="D195" s="11" t="s">
        <v>1762</v>
      </c>
      <c r="E195" s="11" t="s">
        <v>1762</v>
      </c>
      <c r="F195" s="11" t="s">
        <v>1762</v>
      </c>
    </row>
    <row r="196" ht="15.75" customHeight="1">
      <c r="D196" s="11" t="s">
        <v>1762</v>
      </c>
      <c r="E196" s="11" t="s">
        <v>1762</v>
      </c>
      <c r="F196" s="11" t="s">
        <v>1762</v>
      </c>
    </row>
    <row r="197" ht="15.75" customHeight="1">
      <c r="D197" s="11" t="s">
        <v>1762</v>
      </c>
      <c r="E197" s="11" t="s">
        <v>1762</v>
      </c>
      <c r="F197" s="11" t="s">
        <v>1762</v>
      </c>
    </row>
    <row r="198" ht="15.75" customHeight="1">
      <c r="D198" s="11" t="s">
        <v>1762</v>
      </c>
      <c r="E198" s="11" t="s">
        <v>1762</v>
      </c>
      <c r="F198" s="11" t="s">
        <v>1762</v>
      </c>
    </row>
    <row r="199" ht="15.75" customHeight="1">
      <c r="D199" s="11" t="s">
        <v>1762</v>
      </c>
      <c r="E199" s="11" t="s">
        <v>1762</v>
      </c>
      <c r="F199" s="11" t="s">
        <v>1762</v>
      </c>
    </row>
    <row r="200" ht="15.75" customHeight="1">
      <c r="D200" s="11" t="s">
        <v>1762</v>
      </c>
      <c r="E200" s="11" t="s">
        <v>1762</v>
      </c>
      <c r="F200" s="11" t="s">
        <v>1762</v>
      </c>
    </row>
    <row r="201" ht="15.75" customHeight="1">
      <c r="D201" s="11" t="s">
        <v>1762</v>
      </c>
      <c r="E201" s="11" t="s">
        <v>1762</v>
      </c>
      <c r="F201" s="11" t="s">
        <v>1762</v>
      </c>
    </row>
    <row r="202" ht="15.75" customHeight="1">
      <c r="D202" s="11" t="s">
        <v>1762</v>
      </c>
      <c r="E202" s="11" t="s">
        <v>1762</v>
      </c>
      <c r="F202" s="11" t="s">
        <v>1762</v>
      </c>
    </row>
    <row r="203" ht="15.75" customHeight="1">
      <c r="D203" s="11" t="s">
        <v>1762</v>
      </c>
      <c r="E203" s="11" t="s">
        <v>1762</v>
      </c>
      <c r="F203" s="11" t="s">
        <v>1762</v>
      </c>
    </row>
    <row r="204" ht="15.75" customHeight="1">
      <c r="D204" s="11" t="s">
        <v>1762</v>
      </c>
      <c r="E204" s="11" t="s">
        <v>1762</v>
      </c>
      <c r="F204" s="11" t="s">
        <v>1762</v>
      </c>
    </row>
    <row r="205" ht="15.75" customHeight="1">
      <c r="D205" s="11" t="s">
        <v>1762</v>
      </c>
      <c r="E205" s="11" t="s">
        <v>1762</v>
      </c>
      <c r="F205" s="11" t="s">
        <v>1762</v>
      </c>
    </row>
    <row r="206" ht="15.75" customHeight="1">
      <c r="D206" s="11" t="s">
        <v>1762</v>
      </c>
      <c r="E206" s="11" t="s">
        <v>1762</v>
      </c>
      <c r="F206" s="11" t="s">
        <v>1762</v>
      </c>
    </row>
    <row r="207" ht="15.75" customHeight="1">
      <c r="D207" s="11" t="s">
        <v>1762</v>
      </c>
      <c r="E207" s="11" t="s">
        <v>1762</v>
      </c>
      <c r="F207" s="11" t="s">
        <v>1762</v>
      </c>
    </row>
    <row r="208" ht="15.75" customHeight="1">
      <c r="D208" s="11" t="s">
        <v>1762</v>
      </c>
      <c r="E208" s="11" t="s">
        <v>1762</v>
      </c>
      <c r="F208" s="11" t="s">
        <v>1762</v>
      </c>
    </row>
    <row r="209" ht="15.75" customHeight="1">
      <c r="D209" s="11" t="s">
        <v>1762</v>
      </c>
      <c r="E209" s="11" t="s">
        <v>1762</v>
      </c>
      <c r="F209" s="11" t="s">
        <v>1762</v>
      </c>
    </row>
    <row r="210" ht="15.75" customHeight="1">
      <c r="D210" s="11" t="s">
        <v>1762</v>
      </c>
      <c r="E210" s="11" t="s">
        <v>1762</v>
      </c>
      <c r="F210" s="11" t="s">
        <v>1762</v>
      </c>
    </row>
    <row r="211" ht="15.75" customHeight="1">
      <c r="D211" s="11" t="s">
        <v>1762</v>
      </c>
      <c r="E211" s="11" t="s">
        <v>1762</v>
      </c>
      <c r="F211" s="11" t="s">
        <v>1762</v>
      </c>
    </row>
    <row r="212" ht="15.75" customHeight="1">
      <c r="D212" s="11" t="s">
        <v>1762</v>
      </c>
      <c r="E212" s="11" t="s">
        <v>1762</v>
      </c>
      <c r="F212" s="11" t="s">
        <v>1762</v>
      </c>
    </row>
    <row r="213" ht="15.75" customHeight="1">
      <c r="D213" s="11" t="s">
        <v>1762</v>
      </c>
      <c r="E213" s="11" t="s">
        <v>1762</v>
      </c>
      <c r="F213" s="11" t="s">
        <v>1762</v>
      </c>
    </row>
    <row r="214" ht="15.75" customHeight="1">
      <c r="D214" s="11" t="s">
        <v>1762</v>
      </c>
      <c r="E214" s="11" t="s">
        <v>1762</v>
      </c>
      <c r="F214" s="11" t="s">
        <v>1762</v>
      </c>
    </row>
    <row r="215" ht="15.75" customHeight="1">
      <c r="D215" s="11" t="s">
        <v>1762</v>
      </c>
      <c r="E215" s="11" t="s">
        <v>1762</v>
      </c>
      <c r="F215" s="11" t="s">
        <v>1762</v>
      </c>
    </row>
    <row r="216" ht="15.75" customHeight="1">
      <c r="D216" s="11" t="s">
        <v>1762</v>
      </c>
      <c r="E216" s="11" t="s">
        <v>1762</v>
      </c>
      <c r="F216" s="11" t="s">
        <v>1762</v>
      </c>
    </row>
    <row r="217" ht="15.75" customHeight="1">
      <c r="D217" s="11" t="s">
        <v>1762</v>
      </c>
      <c r="E217" s="11" t="s">
        <v>1762</v>
      </c>
      <c r="F217" s="11" t="s">
        <v>1762</v>
      </c>
    </row>
    <row r="218" ht="15.75" customHeight="1">
      <c r="D218" s="11" t="s">
        <v>1762</v>
      </c>
      <c r="E218" s="11" t="s">
        <v>1762</v>
      </c>
      <c r="F218" s="11" t="s">
        <v>1762</v>
      </c>
    </row>
    <row r="219" ht="15.75" customHeight="1">
      <c r="D219" s="11" t="s">
        <v>1762</v>
      </c>
      <c r="E219" s="11" t="s">
        <v>1762</v>
      </c>
      <c r="F219" s="11" t="s">
        <v>1762</v>
      </c>
    </row>
    <row r="220" ht="15.75" customHeight="1">
      <c r="D220" s="11" t="s">
        <v>1762</v>
      </c>
      <c r="E220" s="11" t="s">
        <v>1762</v>
      </c>
      <c r="F220" s="11" t="s">
        <v>1762</v>
      </c>
    </row>
    <row r="221" ht="15.75" customHeight="1">
      <c r="D221" s="11" t="s">
        <v>1762</v>
      </c>
      <c r="E221" s="11" t="s">
        <v>1762</v>
      </c>
      <c r="F221" s="11" t="s">
        <v>1762</v>
      </c>
    </row>
    <row r="222" ht="15.75" customHeight="1">
      <c r="D222" s="11" t="s">
        <v>1762</v>
      </c>
      <c r="E222" s="11" t="s">
        <v>1762</v>
      </c>
      <c r="F222" s="11" t="s">
        <v>1762</v>
      </c>
    </row>
    <row r="223" ht="15.75" customHeight="1">
      <c r="D223" s="11" t="s">
        <v>1762</v>
      </c>
      <c r="E223" s="11" t="s">
        <v>1762</v>
      </c>
      <c r="F223" s="11" t="s">
        <v>1762</v>
      </c>
    </row>
    <row r="224" ht="15.75" customHeight="1">
      <c r="D224" s="11" t="s">
        <v>1762</v>
      </c>
      <c r="E224" s="11" t="s">
        <v>1762</v>
      </c>
      <c r="F224" s="11" t="s">
        <v>1762</v>
      </c>
    </row>
    <row r="225" ht="15.75" customHeight="1">
      <c r="D225" s="11" t="s">
        <v>1762</v>
      </c>
      <c r="E225" s="11" t="s">
        <v>1762</v>
      </c>
      <c r="F225" s="11" t="s">
        <v>1762</v>
      </c>
    </row>
    <row r="226" ht="15.75" customHeight="1">
      <c r="D226" s="11" t="s">
        <v>1762</v>
      </c>
      <c r="E226" s="11" t="s">
        <v>1762</v>
      </c>
      <c r="F226" s="11" t="s">
        <v>1762</v>
      </c>
    </row>
    <row r="227" ht="15.75" customHeight="1">
      <c r="D227" s="11" t="s">
        <v>1762</v>
      </c>
      <c r="E227" s="11" t="s">
        <v>1762</v>
      </c>
      <c r="F227" s="11" t="s">
        <v>1762</v>
      </c>
    </row>
    <row r="228" ht="15.75" customHeight="1">
      <c r="D228" s="11" t="s">
        <v>1762</v>
      </c>
      <c r="E228" s="11" t="s">
        <v>1762</v>
      </c>
      <c r="F228" s="11" t="s">
        <v>1762</v>
      </c>
    </row>
    <row r="229" ht="15.75" customHeight="1">
      <c r="D229" s="11" t="s">
        <v>1762</v>
      </c>
      <c r="E229" s="11" t="s">
        <v>1762</v>
      </c>
      <c r="F229" s="11" t="s">
        <v>1762</v>
      </c>
    </row>
    <row r="230" ht="15.75" customHeight="1">
      <c r="D230" s="11" t="s">
        <v>1762</v>
      </c>
      <c r="E230" s="11" t="s">
        <v>1762</v>
      </c>
      <c r="F230" s="11" t="s">
        <v>1762</v>
      </c>
    </row>
    <row r="231" ht="15.75" customHeight="1">
      <c r="D231" s="11" t="s">
        <v>1762</v>
      </c>
      <c r="E231" s="11" t="s">
        <v>1762</v>
      </c>
      <c r="F231" s="11" t="s">
        <v>1762</v>
      </c>
    </row>
    <row r="232" ht="15.75" customHeight="1">
      <c r="D232" s="11" t="s">
        <v>1762</v>
      </c>
      <c r="E232" s="11" t="s">
        <v>1762</v>
      </c>
      <c r="F232" s="11" t="s">
        <v>1762</v>
      </c>
    </row>
    <row r="233" ht="15.75" customHeight="1">
      <c r="D233" s="11" t="s">
        <v>1762</v>
      </c>
      <c r="E233" s="11" t="s">
        <v>1762</v>
      </c>
      <c r="F233" s="11" t="s">
        <v>1762</v>
      </c>
    </row>
    <row r="234" ht="15.75" customHeight="1">
      <c r="D234" s="11" t="s">
        <v>1762</v>
      </c>
      <c r="E234" s="11" t="s">
        <v>1762</v>
      </c>
      <c r="F234" s="11" t="s">
        <v>1762</v>
      </c>
    </row>
    <row r="235" ht="15.75" customHeight="1">
      <c r="D235" s="11" t="s">
        <v>1762</v>
      </c>
      <c r="E235" s="11" t="s">
        <v>1762</v>
      </c>
      <c r="F235" s="11" t="s">
        <v>1762</v>
      </c>
    </row>
    <row r="236" ht="15.75" customHeight="1">
      <c r="D236" s="11" t="s">
        <v>1762</v>
      </c>
      <c r="E236" s="11" t="s">
        <v>1762</v>
      </c>
      <c r="F236" s="11" t="s">
        <v>1762</v>
      </c>
    </row>
    <row r="237" ht="15.75" customHeight="1">
      <c r="D237" s="11" t="s">
        <v>1762</v>
      </c>
      <c r="E237" s="11" t="s">
        <v>1762</v>
      </c>
      <c r="F237" s="11" t="s">
        <v>1762</v>
      </c>
    </row>
    <row r="238" ht="15.75" customHeight="1">
      <c r="D238" s="11" t="s">
        <v>1762</v>
      </c>
      <c r="E238" s="11" t="s">
        <v>1762</v>
      </c>
      <c r="F238" s="11" t="s">
        <v>1762</v>
      </c>
    </row>
    <row r="239" ht="15.75" customHeight="1">
      <c r="D239" s="11" t="s">
        <v>1762</v>
      </c>
      <c r="E239" s="11" t="s">
        <v>1762</v>
      </c>
      <c r="F239" s="11" t="s">
        <v>1762</v>
      </c>
    </row>
    <row r="240" ht="15.75" customHeight="1">
      <c r="D240" s="11" t="s">
        <v>1762</v>
      </c>
      <c r="E240" s="11" t="s">
        <v>1762</v>
      </c>
      <c r="F240" s="11" t="s">
        <v>1762</v>
      </c>
    </row>
    <row r="241" ht="15.75" customHeight="1">
      <c r="D241" s="11" t="s">
        <v>1762</v>
      </c>
      <c r="E241" s="11" t="s">
        <v>1762</v>
      </c>
      <c r="F241" s="11" t="s">
        <v>1762</v>
      </c>
    </row>
    <row r="242" ht="15.75" customHeight="1">
      <c r="D242" s="11" t="s">
        <v>1762</v>
      </c>
      <c r="E242" s="11" t="s">
        <v>1762</v>
      </c>
      <c r="F242" s="11" t="s">
        <v>1762</v>
      </c>
    </row>
    <row r="243" ht="15.75" customHeight="1">
      <c r="D243" s="11" t="s">
        <v>1762</v>
      </c>
      <c r="E243" s="11" t="s">
        <v>1762</v>
      </c>
      <c r="F243" s="11" t="s">
        <v>1762</v>
      </c>
    </row>
    <row r="244" ht="15.75" customHeight="1">
      <c r="D244" s="11" t="s">
        <v>1762</v>
      </c>
      <c r="E244" s="11" t="s">
        <v>1762</v>
      </c>
      <c r="F244" s="11" t="s">
        <v>1762</v>
      </c>
    </row>
    <row r="245" ht="15.75" customHeight="1">
      <c r="D245" s="11" t="s">
        <v>1762</v>
      </c>
      <c r="E245" s="11" t="s">
        <v>1762</v>
      </c>
      <c r="F245" s="11" t="s">
        <v>1762</v>
      </c>
    </row>
    <row r="246" ht="15.75" customHeight="1">
      <c r="D246" s="11" t="s">
        <v>1762</v>
      </c>
      <c r="E246" s="11" t="s">
        <v>1762</v>
      </c>
      <c r="F246" s="11" t="s">
        <v>1762</v>
      </c>
    </row>
    <row r="247" ht="15.75" customHeight="1">
      <c r="D247" s="11" t="s">
        <v>1762</v>
      </c>
      <c r="E247" s="11" t="s">
        <v>1762</v>
      </c>
      <c r="F247" s="11" t="s">
        <v>1762</v>
      </c>
    </row>
    <row r="248" ht="15.75" customHeight="1">
      <c r="D248" s="11" t="s">
        <v>1762</v>
      </c>
      <c r="E248" s="11" t="s">
        <v>1762</v>
      </c>
      <c r="F248" s="11" t="s">
        <v>1762</v>
      </c>
    </row>
    <row r="249" ht="15.75" customHeight="1">
      <c r="D249" s="11" t="s">
        <v>1762</v>
      </c>
      <c r="E249" s="11" t="s">
        <v>1762</v>
      </c>
      <c r="F249" s="11" t="s">
        <v>1762</v>
      </c>
    </row>
    <row r="250" ht="15.75" customHeight="1">
      <c r="D250" s="11" t="s">
        <v>1762</v>
      </c>
      <c r="E250" s="11" t="s">
        <v>1762</v>
      </c>
      <c r="F250" s="11" t="s">
        <v>1762</v>
      </c>
    </row>
    <row r="251" ht="15.75" customHeight="1">
      <c r="D251" s="11" t="s">
        <v>1762</v>
      </c>
      <c r="E251" s="11" t="s">
        <v>1762</v>
      </c>
      <c r="F251" s="11" t="s">
        <v>1762</v>
      </c>
    </row>
    <row r="252" ht="15.75" customHeight="1">
      <c r="D252" s="11" t="s">
        <v>1762</v>
      </c>
      <c r="E252" s="11" t="s">
        <v>1762</v>
      </c>
      <c r="F252" s="11" t="s">
        <v>1762</v>
      </c>
    </row>
    <row r="253" ht="15.75" customHeight="1">
      <c r="D253" s="11" t="s">
        <v>1762</v>
      </c>
      <c r="E253" s="11" t="s">
        <v>1762</v>
      </c>
      <c r="F253" s="11" t="s">
        <v>1762</v>
      </c>
    </row>
    <row r="254" ht="15.75" customHeight="1">
      <c r="D254" s="11" t="s">
        <v>1762</v>
      </c>
      <c r="E254" s="11" t="s">
        <v>1762</v>
      </c>
      <c r="F254" s="11" t="s">
        <v>1762</v>
      </c>
    </row>
    <row r="255" ht="15.75" customHeight="1">
      <c r="D255" s="11" t="s">
        <v>1762</v>
      </c>
      <c r="E255" s="11" t="s">
        <v>1762</v>
      </c>
      <c r="F255" s="11" t="s">
        <v>1762</v>
      </c>
    </row>
    <row r="256" ht="15.75" customHeight="1">
      <c r="D256" s="11" t="s">
        <v>1762</v>
      </c>
      <c r="E256" s="11" t="s">
        <v>1762</v>
      </c>
      <c r="F256" s="11" t="s">
        <v>1762</v>
      </c>
    </row>
    <row r="257" ht="15.75" customHeight="1">
      <c r="D257" s="11" t="s">
        <v>1762</v>
      </c>
      <c r="E257" s="11" t="s">
        <v>1762</v>
      </c>
      <c r="F257" s="11" t="s">
        <v>1762</v>
      </c>
    </row>
    <row r="258" ht="15.75" customHeight="1">
      <c r="D258" s="11" t="s">
        <v>1762</v>
      </c>
      <c r="E258" s="11" t="s">
        <v>1762</v>
      </c>
      <c r="F258" s="11" t="s">
        <v>1762</v>
      </c>
    </row>
    <row r="259" ht="15.75" customHeight="1">
      <c r="D259" s="11" t="s">
        <v>1762</v>
      </c>
      <c r="E259" s="11" t="s">
        <v>1762</v>
      </c>
      <c r="F259" s="11" t="s">
        <v>1762</v>
      </c>
    </row>
    <row r="260" ht="15.75" customHeight="1">
      <c r="D260" s="11" t="s">
        <v>1762</v>
      </c>
      <c r="E260" s="11" t="s">
        <v>1762</v>
      </c>
      <c r="F260" s="11" t="s">
        <v>1762</v>
      </c>
    </row>
    <row r="261" ht="15.75" customHeight="1">
      <c r="D261" s="11" t="s">
        <v>1762</v>
      </c>
      <c r="E261" s="11" t="s">
        <v>1762</v>
      </c>
      <c r="F261" s="11" t="s">
        <v>1762</v>
      </c>
    </row>
    <row r="262" ht="15.75" customHeight="1">
      <c r="D262" s="11" t="s">
        <v>1762</v>
      </c>
      <c r="E262" s="11" t="s">
        <v>1762</v>
      </c>
      <c r="F262" s="11" t="s">
        <v>1762</v>
      </c>
    </row>
    <row r="263" ht="15.75" customHeight="1">
      <c r="D263" s="11" t="s">
        <v>1762</v>
      </c>
      <c r="E263" s="11" t="s">
        <v>1762</v>
      </c>
      <c r="F263" s="11" t="s">
        <v>1762</v>
      </c>
    </row>
    <row r="264" ht="15.75" customHeight="1">
      <c r="D264" s="11" t="s">
        <v>1762</v>
      </c>
      <c r="E264" s="11" t="s">
        <v>1762</v>
      </c>
      <c r="F264" s="11" t="s">
        <v>1762</v>
      </c>
    </row>
    <row r="265" ht="15.75" customHeight="1">
      <c r="D265" s="11" t="s">
        <v>1762</v>
      </c>
      <c r="E265" s="11" t="s">
        <v>1762</v>
      </c>
      <c r="F265" s="11" t="s">
        <v>1762</v>
      </c>
    </row>
    <row r="266" ht="15.75" customHeight="1">
      <c r="D266" s="11" t="s">
        <v>1762</v>
      </c>
      <c r="E266" s="11" t="s">
        <v>1762</v>
      </c>
      <c r="F266" s="11" t="s">
        <v>1762</v>
      </c>
    </row>
    <row r="267" ht="15.75" customHeight="1">
      <c r="D267" s="11" t="s">
        <v>1762</v>
      </c>
      <c r="E267" s="11" t="s">
        <v>1762</v>
      </c>
      <c r="F267" s="11" t="s">
        <v>1762</v>
      </c>
    </row>
    <row r="268" ht="15.75" customHeight="1">
      <c r="D268" s="11" t="s">
        <v>1762</v>
      </c>
      <c r="E268" s="11" t="s">
        <v>1762</v>
      </c>
      <c r="F268" s="11" t="s">
        <v>1762</v>
      </c>
    </row>
    <row r="269" ht="15.75" customHeight="1">
      <c r="D269" s="11" t="s">
        <v>1762</v>
      </c>
      <c r="E269" s="11" t="s">
        <v>1762</v>
      </c>
      <c r="F269" s="11" t="s">
        <v>1762</v>
      </c>
    </row>
    <row r="270" ht="15.75" customHeight="1">
      <c r="D270" s="11" t="s">
        <v>1762</v>
      </c>
      <c r="E270" s="11" t="s">
        <v>1762</v>
      </c>
      <c r="F270" s="11" t="s">
        <v>1762</v>
      </c>
    </row>
    <row r="271" ht="15.75" customHeight="1">
      <c r="D271" s="11" t="s">
        <v>1762</v>
      </c>
      <c r="E271" s="11" t="s">
        <v>1762</v>
      </c>
      <c r="F271" s="11" t="s">
        <v>1762</v>
      </c>
    </row>
    <row r="272" ht="15.75" customHeight="1">
      <c r="D272" s="11" t="s">
        <v>1762</v>
      </c>
      <c r="E272" s="11" t="s">
        <v>1762</v>
      </c>
      <c r="F272" s="11" t="s">
        <v>1762</v>
      </c>
    </row>
    <row r="273" ht="15.75" customHeight="1">
      <c r="D273" s="11" t="s">
        <v>1762</v>
      </c>
      <c r="E273" s="11" t="s">
        <v>1762</v>
      </c>
      <c r="F273" s="11" t="s">
        <v>1762</v>
      </c>
    </row>
    <row r="274" ht="15.75" customHeight="1">
      <c r="D274" s="11" t="s">
        <v>1762</v>
      </c>
      <c r="E274" s="11" t="s">
        <v>1762</v>
      </c>
      <c r="F274" s="11" t="s">
        <v>1762</v>
      </c>
    </row>
    <row r="275" ht="15.75" customHeight="1">
      <c r="D275" s="11" t="s">
        <v>1762</v>
      </c>
      <c r="E275" s="11" t="s">
        <v>1762</v>
      </c>
      <c r="F275" s="11" t="s">
        <v>1762</v>
      </c>
    </row>
    <row r="276" ht="15.75" customHeight="1">
      <c r="D276" s="11" t="s">
        <v>1762</v>
      </c>
      <c r="E276" s="11" t="s">
        <v>1762</v>
      </c>
      <c r="F276" s="11" t="s">
        <v>1762</v>
      </c>
    </row>
    <row r="277" ht="15.75" customHeight="1">
      <c r="D277" s="11" t="s">
        <v>1762</v>
      </c>
      <c r="E277" s="11" t="s">
        <v>1762</v>
      </c>
      <c r="F277" s="11" t="s">
        <v>1762</v>
      </c>
    </row>
    <row r="278" ht="15.75" customHeight="1">
      <c r="D278" s="11" t="s">
        <v>1762</v>
      </c>
      <c r="E278" s="11" t="s">
        <v>1762</v>
      </c>
      <c r="F278" s="11" t="s">
        <v>1762</v>
      </c>
    </row>
    <row r="279" ht="15.75" customHeight="1">
      <c r="D279" s="11" t="s">
        <v>1762</v>
      </c>
      <c r="E279" s="11" t="s">
        <v>1762</v>
      </c>
      <c r="F279" s="11" t="s">
        <v>1762</v>
      </c>
    </row>
    <row r="280" ht="15.75" customHeight="1">
      <c r="D280" s="11" t="s">
        <v>1762</v>
      </c>
      <c r="E280" s="11" t="s">
        <v>1762</v>
      </c>
      <c r="F280" s="11" t="s">
        <v>1762</v>
      </c>
    </row>
    <row r="281" ht="15.75" customHeight="1">
      <c r="D281" s="11" t="s">
        <v>1762</v>
      </c>
      <c r="E281" s="11" t="s">
        <v>1762</v>
      </c>
      <c r="F281" s="11" t="s">
        <v>1762</v>
      </c>
    </row>
    <row r="282" ht="15.75" customHeight="1">
      <c r="D282" s="11" t="s">
        <v>1762</v>
      </c>
      <c r="E282" s="11" t="s">
        <v>1762</v>
      </c>
      <c r="F282" s="11" t="s">
        <v>1762</v>
      </c>
    </row>
    <row r="283" ht="15.75" customHeight="1">
      <c r="D283" s="11" t="s">
        <v>1762</v>
      </c>
      <c r="E283" s="11" t="s">
        <v>1762</v>
      </c>
      <c r="F283" s="11" t="s">
        <v>1762</v>
      </c>
    </row>
    <row r="284" ht="15.75" customHeight="1">
      <c r="D284" s="11" t="s">
        <v>1762</v>
      </c>
      <c r="E284" s="11" t="s">
        <v>1762</v>
      </c>
      <c r="F284" s="11" t="s">
        <v>1762</v>
      </c>
    </row>
    <row r="285" ht="15.75" customHeight="1">
      <c r="D285" s="11" t="s">
        <v>1762</v>
      </c>
      <c r="E285" s="11" t="s">
        <v>1762</v>
      </c>
      <c r="F285" s="11" t="s">
        <v>1762</v>
      </c>
    </row>
    <row r="286" ht="15.75" customHeight="1">
      <c r="D286" s="11" t="s">
        <v>1762</v>
      </c>
      <c r="E286" s="11" t="s">
        <v>1762</v>
      </c>
      <c r="F286" s="11" t="s">
        <v>1762</v>
      </c>
    </row>
    <row r="287" ht="15.75" customHeight="1">
      <c r="D287" s="11" t="s">
        <v>1762</v>
      </c>
      <c r="E287" s="11" t="s">
        <v>1762</v>
      </c>
      <c r="F287" s="11" t="s">
        <v>1762</v>
      </c>
    </row>
    <row r="288" ht="15.75" customHeight="1">
      <c r="D288" s="11" t="s">
        <v>1762</v>
      </c>
      <c r="E288" s="11" t="s">
        <v>1762</v>
      </c>
      <c r="F288" s="11" t="s">
        <v>1762</v>
      </c>
    </row>
    <row r="289" ht="15.75" customHeight="1">
      <c r="D289" s="11" t="s">
        <v>1762</v>
      </c>
      <c r="E289" s="11" t="s">
        <v>1762</v>
      </c>
      <c r="F289" s="11" t="s">
        <v>1762</v>
      </c>
    </row>
    <row r="290" ht="15.75" customHeight="1">
      <c r="D290" s="11" t="s">
        <v>1762</v>
      </c>
      <c r="E290" s="11" t="s">
        <v>1762</v>
      </c>
      <c r="F290" s="11" t="s">
        <v>1762</v>
      </c>
    </row>
    <row r="291" ht="15.75" customHeight="1">
      <c r="D291" s="11" t="s">
        <v>1762</v>
      </c>
      <c r="E291" s="11" t="s">
        <v>1762</v>
      </c>
      <c r="F291" s="11" t="s">
        <v>1762</v>
      </c>
    </row>
    <row r="292" ht="15.75" customHeight="1">
      <c r="D292" s="11" t="s">
        <v>1762</v>
      </c>
      <c r="E292" s="11" t="s">
        <v>1762</v>
      </c>
      <c r="F292" s="11" t="s">
        <v>1762</v>
      </c>
    </row>
    <row r="293" ht="15.75" customHeight="1">
      <c r="D293" s="11" t="s">
        <v>1762</v>
      </c>
      <c r="E293" s="11" t="s">
        <v>1762</v>
      </c>
      <c r="F293" s="11" t="s">
        <v>1762</v>
      </c>
    </row>
    <row r="294" ht="15.75" customHeight="1">
      <c r="D294" s="11" t="s">
        <v>1762</v>
      </c>
      <c r="E294" s="11" t="s">
        <v>1762</v>
      </c>
      <c r="F294" s="11" t="s">
        <v>1762</v>
      </c>
    </row>
    <row r="295" ht="15.75" customHeight="1">
      <c r="D295" s="11" t="s">
        <v>1762</v>
      </c>
      <c r="E295" s="11" t="s">
        <v>1762</v>
      </c>
      <c r="F295" s="11" t="s">
        <v>1762</v>
      </c>
    </row>
    <row r="296" ht="15.75" customHeight="1">
      <c r="D296" s="11" t="s">
        <v>1762</v>
      </c>
      <c r="E296" s="11" t="s">
        <v>1762</v>
      </c>
      <c r="F296" s="11" t="s">
        <v>1762</v>
      </c>
    </row>
    <row r="297" ht="15.75" customHeight="1">
      <c r="D297" s="11" t="s">
        <v>1762</v>
      </c>
      <c r="E297" s="11" t="s">
        <v>1762</v>
      </c>
      <c r="F297" s="11" t="s">
        <v>1762</v>
      </c>
    </row>
    <row r="298" ht="15.75" customHeight="1">
      <c r="D298" s="11" t="s">
        <v>1762</v>
      </c>
      <c r="E298" s="11" t="s">
        <v>1762</v>
      </c>
      <c r="F298" s="11" t="s">
        <v>1762</v>
      </c>
    </row>
    <row r="299" ht="15.75" customHeight="1">
      <c r="D299" s="11" t="s">
        <v>1762</v>
      </c>
      <c r="E299" s="11" t="s">
        <v>1762</v>
      </c>
      <c r="F299" s="11" t="s">
        <v>1762</v>
      </c>
    </row>
    <row r="300" ht="15.75" customHeight="1">
      <c r="D300" s="11" t="s">
        <v>1762</v>
      </c>
      <c r="E300" s="11" t="s">
        <v>1762</v>
      </c>
      <c r="F300" s="11" t="s">
        <v>1762</v>
      </c>
    </row>
    <row r="301" ht="15.75" customHeight="1">
      <c r="D301" s="11" t="s">
        <v>1762</v>
      </c>
      <c r="E301" s="11" t="s">
        <v>1762</v>
      </c>
      <c r="F301" s="11" t="s">
        <v>1762</v>
      </c>
    </row>
    <row r="302" ht="15.75" customHeight="1">
      <c r="D302" s="11" t="s">
        <v>1762</v>
      </c>
      <c r="E302" s="11" t="s">
        <v>1762</v>
      </c>
      <c r="F302" s="11" t="s">
        <v>1762</v>
      </c>
    </row>
    <row r="303" ht="15.75" customHeight="1">
      <c r="D303" s="11" t="s">
        <v>1762</v>
      </c>
      <c r="E303" s="11" t="s">
        <v>1762</v>
      </c>
      <c r="F303" s="11" t="s">
        <v>1762</v>
      </c>
    </row>
    <row r="304" ht="15.75" customHeight="1">
      <c r="D304" s="11" t="s">
        <v>1762</v>
      </c>
      <c r="E304" s="11" t="s">
        <v>1762</v>
      </c>
      <c r="F304" s="11" t="s">
        <v>1762</v>
      </c>
    </row>
    <row r="305" ht="15.75" customHeight="1">
      <c r="D305" s="11" t="s">
        <v>1762</v>
      </c>
      <c r="E305" s="11" t="s">
        <v>1762</v>
      </c>
      <c r="F305" s="11" t="s">
        <v>1762</v>
      </c>
    </row>
    <row r="306" ht="15.75" customHeight="1">
      <c r="D306" s="11" t="s">
        <v>1762</v>
      </c>
      <c r="E306" s="11" t="s">
        <v>1762</v>
      </c>
      <c r="F306" s="11" t="s">
        <v>1762</v>
      </c>
    </row>
    <row r="307" ht="15.75" customHeight="1">
      <c r="D307" s="11" t="s">
        <v>1762</v>
      </c>
      <c r="E307" s="11" t="s">
        <v>1762</v>
      </c>
      <c r="F307" s="11" t="s">
        <v>1762</v>
      </c>
    </row>
    <row r="308" ht="15.75" customHeight="1">
      <c r="D308" s="11" t="s">
        <v>1762</v>
      </c>
      <c r="E308" s="11" t="s">
        <v>1762</v>
      </c>
      <c r="F308" s="11" t="s">
        <v>1762</v>
      </c>
    </row>
    <row r="309" ht="15.75" customHeight="1">
      <c r="D309" s="11" t="s">
        <v>1762</v>
      </c>
      <c r="E309" s="11" t="s">
        <v>1762</v>
      </c>
      <c r="F309" s="11" t="s">
        <v>1762</v>
      </c>
    </row>
    <row r="310" ht="15.75" customHeight="1">
      <c r="D310" s="11" t="s">
        <v>1762</v>
      </c>
      <c r="E310" s="11" t="s">
        <v>1762</v>
      </c>
      <c r="F310" s="11" t="s">
        <v>1762</v>
      </c>
    </row>
    <row r="311" ht="15.75" customHeight="1">
      <c r="D311" s="11" t="s">
        <v>1762</v>
      </c>
      <c r="E311" s="11" t="s">
        <v>1762</v>
      </c>
      <c r="F311" s="11" t="s">
        <v>1762</v>
      </c>
    </row>
    <row r="312" ht="15.75" customHeight="1">
      <c r="D312" s="11" t="s">
        <v>1762</v>
      </c>
      <c r="E312" s="11" t="s">
        <v>1762</v>
      </c>
      <c r="F312" s="11" t="s">
        <v>1762</v>
      </c>
    </row>
    <row r="313" ht="15.75" customHeight="1">
      <c r="D313" s="11" t="s">
        <v>1762</v>
      </c>
      <c r="E313" s="11" t="s">
        <v>1762</v>
      </c>
      <c r="F313" s="11" t="s">
        <v>1762</v>
      </c>
    </row>
    <row r="314" ht="15.75" customHeight="1">
      <c r="D314" s="11" t="s">
        <v>1762</v>
      </c>
      <c r="E314" s="11" t="s">
        <v>1762</v>
      </c>
      <c r="F314" s="11" t="s">
        <v>1762</v>
      </c>
    </row>
    <row r="315" ht="15.75" customHeight="1">
      <c r="D315" s="11" t="s">
        <v>1762</v>
      </c>
      <c r="E315" s="11" t="s">
        <v>1762</v>
      </c>
      <c r="F315" s="11" t="s">
        <v>1762</v>
      </c>
    </row>
    <row r="316" ht="15.75" customHeight="1">
      <c r="D316" s="11" t="s">
        <v>1762</v>
      </c>
      <c r="E316" s="11" t="s">
        <v>1762</v>
      </c>
      <c r="F316" s="11" t="s">
        <v>1762</v>
      </c>
    </row>
    <row r="317" ht="15.75" customHeight="1">
      <c r="D317" s="11" t="s">
        <v>1762</v>
      </c>
      <c r="E317" s="11" t="s">
        <v>1762</v>
      </c>
      <c r="F317" s="11" t="s">
        <v>1762</v>
      </c>
    </row>
    <row r="318" ht="15.75" customHeight="1">
      <c r="D318" s="11" t="s">
        <v>1762</v>
      </c>
      <c r="E318" s="11" t="s">
        <v>1762</v>
      </c>
      <c r="F318" s="11" t="s">
        <v>1762</v>
      </c>
    </row>
    <row r="319" ht="15.75" customHeight="1">
      <c r="D319" s="11" t="s">
        <v>1762</v>
      </c>
      <c r="E319" s="11" t="s">
        <v>1762</v>
      </c>
      <c r="F319" s="11" t="s">
        <v>1762</v>
      </c>
    </row>
    <row r="320" ht="15.75" customHeight="1">
      <c r="D320" s="11" t="s">
        <v>1762</v>
      </c>
      <c r="E320" s="11" t="s">
        <v>1762</v>
      </c>
      <c r="F320" s="11" t="s">
        <v>1762</v>
      </c>
    </row>
    <row r="321" ht="15.75" customHeight="1">
      <c r="D321" s="11" t="s">
        <v>1762</v>
      </c>
      <c r="E321" s="11" t="s">
        <v>1762</v>
      </c>
      <c r="F321" s="11" t="s">
        <v>1762</v>
      </c>
    </row>
    <row r="322" ht="15.75" customHeight="1">
      <c r="D322" s="11" t="s">
        <v>1762</v>
      </c>
      <c r="E322" s="11" t="s">
        <v>1762</v>
      </c>
      <c r="F322" s="11" t="s">
        <v>1762</v>
      </c>
    </row>
    <row r="323" ht="15.75" customHeight="1">
      <c r="D323" s="11" t="s">
        <v>1762</v>
      </c>
      <c r="E323" s="11" t="s">
        <v>1762</v>
      </c>
      <c r="F323" s="11" t="s">
        <v>1762</v>
      </c>
    </row>
    <row r="324" ht="15.75" customHeight="1">
      <c r="D324" s="11" t="s">
        <v>1762</v>
      </c>
      <c r="E324" s="11" t="s">
        <v>1762</v>
      </c>
      <c r="F324" s="11" t="s">
        <v>1762</v>
      </c>
    </row>
    <row r="325" ht="15.75" customHeight="1">
      <c r="D325" s="11" t="s">
        <v>1762</v>
      </c>
      <c r="E325" s="11" t="s">
        <v>1762</v>
      </c>
      <c r="F325" s="11" t="s">
        <v>1762</v>
      </c>
    </row>
    <row r="326" ht="15.75" customHeight="1">
      <c r="D326" s="11" t="s">
        <v>1762</v>
      </c>
      <c r="E326" s="11" t="s">
        <v>1762</v>
      </c>
      <c r="F326" s="11" t="s">
        <v>1762</v>
      </c>
    </row>
    <row r="327" ht="15.75" customHeight="1">
      <c r="D327" s="11" t="s">
        <v>1762</v>
      </c>
      <c r="E327" s="11" t="s">
        <v>1762</v>
      </c>
      <c r="F327" s="11" t="s">
        <v>1762</v>
      </c>
    </row>
    <row r="328" ht="15.75" customHeight="1">
      <c r="D328" s="11" t="s">
        <v>1762</v>
      </c>
      <c r="E328" s="11" t="s">
        <v>1762</v>
      </c>
      <c r="F328" s="11" t="s">
        <v>1762</v>
      </c>
    </row>
    <row r="329" ht="15.75" customHeight="1">
      <c r="D329" s="11" t="s">
        <v>1762</v>
      </c>
      <c r="E329" s="11" t="s">
        <v>1762</v>
      </c>
      <c r="F329" s="11" t="s">
        <v>1762</v>
      </c>
    </row>
    <row r="330" ht="15.75" customHeight="1">
      <c r="D330" s="11" t="s">
        <v>1762</v>
      </c>
      <c r="E330" s="11" t="s">
        <v>1762</v>
      </c>
      <c r="F330" s="11" t="s">
        <v>1762</v>
      </c>
    </row>
    <row r="331" ht="15.75" customHeight="1">
      <c r="D331" s="11" t="s">
        <v>1762</v>
      </c>
      <c r="E331" s="11" t="s">
        <v>1762</v>
      </c>
      <c r="F331" s="11" t="s">
        <v>1762</v>
      </c>
    </row>
    <row r="332" ht="15.75" customHeight="1">
      <c r="D332" s="11" t="s">
        <v>1762</v>
      </c>
      <c r="E332" s="11" t="s">
        <v>1762</v>
      </c>
      <c r="F332" s="11" t="s">
        <v>1762</v>
      </c>
    </row>
    <row r="333" ht="15.75" customHeight="1">
      <c r="D333" s="11" t="s">
        <v>1762</v>
      </c>
      <c r="E333" s="11" t="s">
        <v>1762</v>
      </c>
      <c r="F333" s="11" t="s">
        <v>1762</v>
      </c>
    </row>
    <row r="334" ht="15.75" customHeight="1">
      <c r="D334" s="11" t="s">
        <v>1762</v>
      </c>
      <c r="E334" s="11" t="s">
        <v>1762</v>
      </c>
      <c r="F334" s="11" t="s">
        <v>1762</v>
      </c>
    </row>
    <row r="335" ht="15.75" customHeight="1">
      <c r="D335" s="11" t="s">
        <v>1762</v>
      </c>
      <c r="E335" s="11" t="s">
        <v>1762</v>
      </c>
      <c r="F335" s="11" t="s">
        <v>1762</v>
      </c>
    </row>
    <row r="336" ht="15.75" customHeight="1">
      <c r="D336" s="11" t="s">
        <v>1762</v>
      </c>
      <c r="E336" s="11" t="s">
        <v>1762</v>
      </c>
      <c r="F336" s="11" t="s">
        <v>1762</v>
      </c>
    </row>
    <row r="337" ht="15.75" customHeight="1">
      <c r="D337" s="11" t="s">
        <v>1762</v>
      </c>
      <c r="E337" s="11" t="s">
        <v>1762</v>
      </c>
      <c r="F337" s="11" t="s">
        <v>1762</v>
      </c>
    </row>
    <row r="338" ht="15.75" customHeight="1">
      <c r="D338" s="11" t="s">
        <v>1762</v>
      </c>
      <c r="E338" s="11" t="s">
        <v>1762</v>
      </c>
      <c r="F338" s="11" t="s">
        <v>1762</v>
      </c>
    </row>
    <row r="339" ht="15.75" customHeight="1">
      <c r="D339" s="11" t="s">
        <v>1762</v>
      </c>
      <c r="E339" s="11" t="s">
        <v>1762</v>
      </c>
      <c r="F339" s="11" t="s">
        <v>1762</v>
      </c>
    </row>
    <row r="340" ht="15.75" customHeight="1">
      <c r="D340" s="11" t="s">
        <v>1762</v>
      </c>
      <c r="E340" s="11" t="s">
        <v>1762</v>
      </c>
      <c r="F340" s="11" t="s">
        <v>1762</v>
      </c>
    </row>
    <row r="341" ht="15.75" customHeight="1">
      <c r="D341" s="11" t="s">
        <v>1762</v>
      </c>
      <c r="E341" s="11" t="s">
        <v>1762</v>
      </c>
      <c r="F341" s="11" t="s">
        <v>1762</v>
      </c>
    </row>
    <row r="342" ht="15.75" customHeight="1">
      <c r="D342" s="11" t="s">
        <v>1762</v>
      </c>
      <c r="E342" s="11" t="s">
        <v>1762</v>
      </c>
      <c r="F342" s="11" t="s">
        <v>1762</v>
      </c>
    </row>
    <row r="343" ht="15.75" customHeight="1">
      <c r="D343" s="11" t="s">
        <v>1762</v>
      </c>
      <c r="E343" s="11" t="s">
        <v>1762</v>
      </c>
      <c r="F343" s="11" t="s">
        <v>1762</v>
      </c>
    </row>
    <row r="344" ht="15.75" customHeight="1">
      <c r="D344" s="11" t="s">
        <v>1762</v>
      </c>
      <c r="E344" s="11" t="s">
        <v>1762</v>
      </c>
      <c r="F344" s="11" t="s">
        <v>1762</v>
      </c>
    </row>
    <row r="345" ht="15.75" customHeight="1">
      <c r="D345" s="11" t="s">
        <v>1762</v>
      </c>
      <c r="E345" s="11" t="s">
        <v>1762</v>
      </c>
      <c r="F345" s="11" t="s">
        <v>1762</v>
      </c>
    </row>
    <row r="346" ht="15.75" customHeight="1">
      <c r="D346" s="11" t="s">
        <v>1762</v>
      </c>
      <c r="E346" s="11" t="s">
        <v>1762</v>
      </c>
      <c r="F346" s="11" t="s">
        <v>1762</v>
      </c>
    </row>
    <row r="347" ht="15.75" customHeight="1">
      <c r="D347" s="11" t="s">
        <v>1762</v>
      </c>
      <c r="E347" s="11" t="s">
        <v>1762</v>
      </c>
      <c r="F347" s="11" t="s">
        <v>1762</v>
      </c>
    </row>
    <row r="348" ht="15.75" customHeight="1">
      <c r="D348" s="11" t="s">
        <v>1762</v>
      </c>
      <c r="E348" s="11" t="s">
        <v>1762</v>
      </c>
      <c r="F348" s="11" t="s">
        <v>1762</v>
      </c>
    </row>
    <row r="349" ht="15.75" customHeight="1">
      <c r="D349" s="11" t="s">
        <v>1762</v>
      </c>
      <c r="E349" s="11" t="s">
        <v>1762</v>
      </c>
      <c r="F349" s="11" t="s">
        <v>1762</v>
      </c>
    </row>
    <row r="350" ht="15.75" customHeight="1">
      <c r="D350" s="11" t="s">
        <v>1762</v>
      </c>
      <c r="E350" s="11" t="s">
        <v>1762</v>
      </c>
      <c r="F350" s="11" t="s">
        <v>1762</v>
      </c>
    </row>
    <row r="351" ht="15.75" customHeight="1">
      <c r="D351" s="11" t="s">
        <v>1762</v>
      </c>
      <c r="E351" s="11" t="s">
        <v>1762</v>
      </c>
      <c r="F351" s="11" t="s">
        <v>1762</v>
      </c>
    </row>
    <row r="352" ht="15.75" customHeight="1">
      <c r="D352" s="11" t="s">
        <v>1762</v>
      </c>
      <c r="E352" s="11" t="s">
        <v>1762</v>
      </c>
      <c r="F352" s="11" t="s">
        <v>1762</v>
      </c>
    </row>
    <row r="353" ht="15.75" customHeight="1">
      <c r="D353" s="11" t="s">
        <v>1762</v>
      </c>
      <c r="E353" s="11" t="s">
        <v>1762</v>
      </c>
      <c r="F353" s="11" t="s">
        <v>1762</v>
      </c>
    </row>
    <row r="354" ht="15.75" customHeight="1">
      <c r="D354" s="11" t="s">
        <v>1762</v>
      </c>
      <c r="E354" s="11" t="s">
        <v>1762</v>
      </c>
      <c r="F354" s="11" t="s">
        <v>1762</v>
      </c>
    </row>
    <row r="355" ht="15.75" customHeight="1">
      <c r="D355" s="11" t="s">
        <v>1762</v>
      </c>
      <c r="E355" s="11" t="s">
        <v>1762</v>
      </c>
      <c r="F355" s="11" t="s">
        <v>1762</v>
      </c>
    </row>
    <row r="356" ht="15.75" customHeight="1">
      <c r="D356" s="11" t="s">
        <v>1762</v>
      </c>
      <c r="E356" s="11" t="s">
        <v>1762</v>
      </c>
      <c r="F356" s="11" t="s">
        <v>1762</v>
      </c>
    </row>
    <row r="357" ht="15.75" customHeight="1">
      <c r="D357" s="11" t="s">
        <v>1762</v>
      </c>
      <c r="E357" s="11" t="s">
        <v>1762</v>
      </c>
      <c r="F357" s="11" t="s">
        <v>1762</v>
      </c>
    </row>
    <row r="358" ht="15.75" customHeight="1">
      <c r="D358" s="11" t="s">
        <v>1762</v>
      </c>
      <c r="E358" s="11" t="s">
        <v>1762</v>
      </c>
      <c r="F358" s="11" t="s">
        <v>1762</v>
      </c>
    </row>
    <row r="359" ht="15.75" customHeight="1">
      <c r="D359" s="11" t="s">
        <v>1762</v>
      </c>
      <c r="E359" s="11" t="s">
        <v>1762</v>
      </c>
      <c r="F359" s="11" t="s">
        <v>1762</v>
      </c>
    </row>
    <row r="360" ht="15.75" customHeight="1">
      <c r="D360" s="11" t="s">
        <v>1762</v>
      </c>
      <c r="E360" s="11" t="s">
        <v>1762</v>
      </c>
      <c r="F360" s="11" t="s">
        <v>1762</v>
      </c>
    </row>
    <row r="361" ht="15.75" customHeight="1">
      <c r="D361" s="11" t="s">
        <v>1762</v>
      </c>
      <c r="E361" s="11" t="s">
        <v>1762</v>
      </c>
      <c r="F361" s="11" t="s">
        <v>1762</v>
      </c>
    </row>
    <row r="362" ht="15.75" customHeight="1">
      <c r="D362" s="11" t="s">
        <v>1762</v>
      </c>
      <c r="E362" s="11" t="s">
        <v>1762</v>
      </c>
      <c r="F362" s="11" t="s">
        <v>1762</v>
      </c>
    </row>
    <row r="363" ht="15.75" customHeight="1">
      <c r="D363" s="11" t="s">
        <v>1762</v>
      </c>
      <c r="E363" s="11" t="s">
        <v>1762</v>
      </c>
      <c r="F363" s="11" t="s">
        <v>1762</v>
      </c>
    </row>
    <row r="364" ht="15.75" customHeight="1">
      <c r="D364" s="11" t="s">
        <v>1762</v>
      </c>
      <c r="E364" s="11" t="s">
        <v>1762</v>
      </c>
      <c r="F364" s="11" t="s">
        <v>1762</v>
      </c>
    </row>
    <row r="365" ht="15.75" customHeight="1">
      <c r="D365" s="11" t="s">
        <v>1762</v>
      </c>
      <c r="E365" s="11" t="s">
        <v>1762</v>
      </c>
      <c r="F365" s="11" t="s">
        <v>1762</v>
      </c>
    </row>
    <row r="366" ht="15.75" customHeight="1">
      <c r="D366" s="11" t="s">
        <v>1762</v>
      </c>
      <c r="E366" s="11" t="s">
        <v>1762</v>
      </c>
      <c r="F366" s="11" t="s">
        <v>1762</v>
      </c>
    </row>
    <row r="367" ht="15.75" customHeight="1">
      <c r="D367" s="11" t="s">
        <v>1762</v>
      </c>
      <c r="E367" s="11" t="s">
        <v>1762</v>
      </c>
      <c r="F367" s="11" t="s">
        <v>1762</v>
      </c>
    </row>
    <row r="368" ht="15.75" customHeight="1">
      <c r="D368" s="11" t="s">
        <v>1762</v>
      </c>
      <c r="E368" s="11" t="s">
        <v>1762</v>
      </c>
      <c r="F368" s="11" t="s">
        <v>1762</v>
      </c>
    </row>
    <row r="369" ht="15.75" customHeight="1">
      <c r="D369" s="11" t="s">
        <v>1762</v>
      </c>
      <c r="E369" s="11" t="s">
        <v>1762</v>
      </c>
      <c r="F369" s="11" t="s">
        <v>1762</v>
      </c>
    </row>
    <row r="370" ht="15.75" customHeight="1">
      <c r="D370" s="11" t="s">
        <v>1762</v>
      </c>
      <c r="E370" s="11" t="s">
        <v>1762</v>
      </c>
      <c r="F370" s="11" t="s">
        <v>1762</v>
      </c>
    </row>
    <row r="371" ht="15.75" customHeight="1">
      <c r="D371" s="11" t="s">
        <v>1762</v>
      </c>
      <c r="E371" s="11" t="s">
        <v>1762</v>
      </c>
      <c r="F371" s="11" t="s">
        <v>1762</v>
      </c>
    </row>
    <row r="372" ht="15.75" customHeight="1">
      <c r="D372" s="11" t="s">
        <v>1762</v>
      </c>
      <c r="E372" s="11" t="s">
        <v>1762</v>
      </c>
      <c r="F372" s="11" t="s">
        <v>1762</v>
      </c>
    </row>
    <row r="373" ht="15.75" customHeight="1">
      <c r="D373" s="11" t="s">
        <v>1762</v>
      </c>
      <c r="E373" s="11" t="s">
        <v>1762</v>
      </c>
      <c r="F373" s="11" t="s">
        <v>1762</v>
      </c>
    </row>
    <row r="374" ht="15.75" customHeight="1">
      <c r="D374" s="11" t="s">
        <v>1762</v>
      </c>
      <c r="E374" s="11" t="s">
        <v>1762</v>
      </c>
      <c r="F374" s="11" t="s">
        <v>1762</v>
      </c>
    </row>
    <row r="375" ht="15.75" customHeight="1">
      <c r="D375" s="11" t="s">
        <v>1762</v>
      </c>
      <c r="E375" s="11" t="s">
        <v>1762</v>
      </c>
      <c r="F375" s="11" t="s">
        <v>1762</v>
      </c>
    </row>
    <row r="376" ht="15.75" customHeight="1">
      <c r="D376" s="11" t="s">
        <v>1762</v>
      </c>
      <c r="E376" s="11" t="s">
        <v>1762</v>
      </c>
      <c r="F376" s="11" t="s">
        <v>1762</v>
      </c>
    </row>
    <row r="377" ht="15.75" customHeight="1">
      <c r="D377" s="11" t="s">
        <v>1762</v>
      </c>
      <c r="E377" s="11" t="s">
        <v>1762</v>
      </c>
      <c r="F377" s="11" t="s">
        <v>1762</v>
      </c>
    </row>
    <row r="378" ht="15.75" customHeight="1">
      <c r="D378" s="11" t="s">
        <v>1762</v>
      </c>
      <c r="E378" s="11" t="s">
        <v>1762</v>
      </c>
      <c r="F378" s="11" t="s">
        <v>1762</v>
      </c>
    </row>
    <row r="379" ht="15.75" customHeight="1">
      <c r="D379" s="11" t="s">
        <v>1762</v>
      </c>
      <c r="E379" s="11" t="s">
        <v>1762</v>
      </c>
      <c r="F379" s="11" t="s">
        <v>1762</v>
      </c>
    </row>
    <row r="380" ht="15.75" customHeight="1">
      <c r="D380" s="11" t="s">
        <v>1762</v>
      </c>
      <c r="E380" s="11" t="s">
        <v>1762</v>
      </c>
      <c r="F380" s="11" t="s">
        <v>1762</v>
      </c>
    </row>
    <row r="381" ht="15.75" customHeight="1">
      <c r="D381" s="11" t="s">
        <v>1762</v>
      </c>
      <c r="E381" s="11" t="s">
        <v>1762</v>
      </c>
      <c r="F381" s="11" t="s">
        <v>1762</v>
      </c>
    </row>
    <row r="382" ht="15.75" customHeight="1">
      <c r="D382" s="11" t="s">
        <v>1762</v>
      </c>
      <c r="E382" s="11" t="s">
        <v>1762</v>
      </c>
      <c r="F382" s="11" t="s">
        <v>1762</v>
      </c>
    </row>
    <row r="383" ht="15.75" customHeight="1">
      <c r="D383" s="11" t="s">
        <v>1762</v>
      </c>
      <c r="E383" s="11" t="s">
        <v>1762</v>
      </c>
      <c r="F383" s="11" t="s">
        <v>1762</v>
      </c>
    </row>
    <row r="384" ht="15.75" customHeight="1">
      <c r="D384" s="11" t="s">
        <v>1762</v>
      </c>
      <c r="E384" s="11" t="s">
        <v>1762</v>
      </c>
      <c r="F384" s="11" t="s">
        <v>1762</v>
      </c>
    </row>
    <row r="385" ht="15.75" customHeight="1">
      <c r="D385" s="11" t="s">
        <v>1762</v>
      </c>
      <c r="E385" s="11" t="s">
        <v>1762</v>
      </c>
      <c r="F385" s="11" t="s">
        <v>1762</v>
      </c>
    </row>
    <row r="386" ht="15.75" customHeight="1">
      <c r="D386" s="11" t="s">
        <v>1762</v>
      </c>
      <c r="E386" s="11" t="s">
        <v>1762</v>
      </c>
      <c r="F386" s="11" t="s">
        <v>1762</v>
      </c>
    </row>
    <row r="387" ht="15.75" customHeight="1">
      <c r="D387" s="11" t="s">
        <v>1762</v>
      </c>
      <c r="E387" s="11" t="s">
        <v>1762</v>
      </c>
      <c r="F387" s="11" t="s">
        <v>1762</v>
      </c>
    </row>
    <row r="388" ht="15.75" customHeight="1">
      <c r="D388" s="11" t="s">
        <v>1762</v>
      </c>
      <c r="E388" s="11" t="s">
        <v>1762</v>
      </c>
      <c r="F388" s="11" t="s">
        <v>1762</v>
      </c>
    </row>
    <row r="389" ht="15.75" customHeight="1">
      <c r="D389" s="11" t="s">
        <v>1762</v>
      </c>
      <c r="E389" s="11" t="s">
        <v>1762</v>
      </c>
      <c r="F389" s="11" t="s">
        <v>1762</v>
      </c>
    </row>
    <row r="390" ht="15.75" customHeight="1">
      <c r="D390" s="11" t="s">
        <v>1762</v>
      </c>
      <c r="E390" s="11" t="s">
        <v>1762</v>
      </c>
      <c r="F390" s="11" t="s">
        <v>1762</v>
      </c>
    </row>
    <row r="391" ht="15.75" customHeight="1">
      <c r="D391" s="11" t="s">
        <v>1762</v>
      </c>
      <c r="E391" s="11" t="s">
        <v>1762</v>
      </c>
      <c r="F391" s="11" t="s">
        <v>1762</v>
      </c>
    </row>
    <row r="392" ht="15.75" customHeight="1">
      <c r="D392" s="11" t="s">
        <v>1762</v>
      </c>
      <c r="E392" s="11" t="s">
        <v>1762</v>
      </c>
      <c r="F392" s="11" t="s">
        <v>1762</v>
      </c>
    </row>
    <row r="393" ht="15.75" customHeight="1">
      <c r="D393" s="11" t="s">
        <v>1762</v>
      </c>
      <c r="E393" s="11" t="s">
        <v>1762</v>
      </c>
      <c r="F393" s="11" t="s">
        <v>1762</v>
      </c>
    </row>
    <row r="394" ht="15.75" customHeight="1">
      <c r="D394" s="11" t="s">
        <v>1762</v>
      </c>
      <c r="E394" s="11" t="s">
        <v>1762</v>
      </c>
      <c r="F394" s="11" t="s">
        <v>1762</v>
      </c>
    </row>
    <row r="395" ht="15.75" customHeight="1">
      <c r="D395" s="11" t="s">
        <v>1762</v>
      </c>
      <c r="E395" s="11" t="s">
        <v>1762</v>
      </c>
      <c r="F395" s="11" t="s">
        <v>1762</v>
      </c>
    </row>
    <row r="396" ht="15.75" customHeight="1">
      <c r="D396" s="11" t="s">
        <v>1762</v>
      </c>
      <c r="E396" s="11" t="s">
        <v>1762</v>
      </c>
      <c r="F396" s="11" t="s">
        <v>1762</v>
      </c>
    </row>
    <row r="397" ht="15.75" customHeight="1">
      <c r="D397" s="11" t="s">
        <v>1762</v>
      </c>
      <c r="E397" s="11" t="s">
        <v>1762</v>
      </c>
      <c r="F397" s="11" t="s">
        <v>1762</v>
      </c>
    </row>
    <row r="398" ht="15.75" customHeight="1">
      <c r="D398" s="11" t="s">
        <v>1762</v>
      </c>
      <c r="E398" s="11" t="s">
        <v>1762</v>
      </c>
      <c r="F398" s="11" t="s">
        <v>1762</v>
      </c>
    </row>
    <row r="399" ht="15.75" customHeight="1">
      <c r="D399" s="11" t="s">
        <v>1762</v>
      </c>
      <c r="E399" s="11" t="s">
        <v>1762</v>
      </c>
      <c r="F399" s="11" t="s">
        <v>1762</v>
      </c>
    </row>
    <row r="400" ht="15.75" customHeight="1">
      <c r="D400" s="11" t="s">
        <v>1762</v>
      </c>
      <c r="E400" s="11" t="s">
        <v>1762</v>
      </c>
      <c r="F400" s="11" t="s">
        <v>1762</v>
      </c>
    </row>
    <row r="401" ht="15.75" customHeight="1">
      <c r="D401" s="11" t="s">
        <v>1762</v>
      </c>
      <c r="E401" s="11" t="s">
        <v>1762</v>
      </c>
      <c r="F401" s="11" t="s">
        <v>1762</v>
      </c>
    </row>
    <row r="402" ht="15.75" customHeight="1">
      <c r="D402" s="11" t="s">
        <v>1762</v>
      </c>
      <c r="E402" s="11" t="s">
        <v>1762</v>
      </c>
      <c r="F402" s="11" t="s">
        <v>1762</v>
      </c>
    </row>
    <row r="403" ht="15.75" customHeight="1">
      <c r="D403" s="11" t="s">
        <v>1762</v>
      </c>
      <c r="E403" s="11" t="s">
        <v>1762</v>
      </c>
      <c r="F403" s="11" t="s">
        <v>1762</v>
      </c>
    </row>
    <row r="404" ht="15.75" customHeight="1">
      <c r="D404" s="11" t="s">
        <v>1762</v>
      </c>
      <c r="E404" s="11" t="s">
        <v>1762</v>
      </c>
      <c r="F404" s="11" t="s">
        <v>1762</v>
      </c>
    </row>
    <row r="405" ht="15.75" customHeight="1">
      <c r="D405" s="11" t="s">
        <v>1762</v>
      </c>
      <c r="E405" s="11" t="s">
        <v>1762</v>
      </c>
      <c r="F405" s="11" t="s">
        <v>1762</v>
      </c>
    </row>
    <row r="406" ht="15.75" customHeight="1">
      <c r="D406" s="11" t="s">
        <v>1762</v>
      </c>
      <c r="E406" s="11" t="s">
        <v>1762</v>
      </c>
      <c r="F406" s="11" t="s">
        <v>1762</v>
      </c>
    </row>
    <row r="407" ht="15.75" customHeight="1">
      <c r="D407" s="11" t="s">
        <v>1762</v>
      </c>
      <c r="E407" s="11" t="s">
        <v>1762</v>
      </c>
      <c r="F407" s="11" t="s">
        <v>1762</v>
      </c>
    </row>
    <row r="408" ht="15.75" customHeight="1">
      <c r="D408" s="11" t="s">
        <v>1762</v>
      </c>
      <c r="E408" s="11" t="s">
        <v>1762</v>
      </c>
      <c r="F408" s="11" t="s">
        <v>1762</v>
      </c>
    </row>
    <row r="409" ht="15.75" customHeight="1">
      <c r="D409" s="11" t="s">
        <v>1762</v>
      </c>
      <c r="E409" s="11" t="s">
        <v>1762</v>
      </c>
      <c r="F409" s="11" t="s">
        <v>1762</v>
      </c>
    </row>
    <row r="410" ht="15.75" customHeight="1">
      <c r="D410" s="11" t="s">
        <v>1762</v>
      </c>
      <c r="E410" s="11" t="s">
        <v>1762</v>
      </c>
      <c r="F410" s="11" t="s">
        <v>1762</v>
      </c>
    </row>
    <row r="411" ht="15.75" customHeight="1">
      <c r="D411" s="11" t="s">
        <v>1762</v>
      </c>
      <c r="E411" s="11" t="s">
        <v>1762</v>
      </c>
      <c r="F411" s="11" t="s">
        <v>1762</v>
      </c>
    </row>
    <row r="412" ht="15.75" customHeight="1">
      <c r="D412" s="11" t="s">
        <v>1762</v>
      </c>
      <c r="E412" s="11" t="s">
        <v>1762</v>
      </c>
      <c r="F412" s="11" t="s">
        <v>1762</v>
      </c>
    </row>
    <row r="413" ht="15.75" customHeight="1">
      <c r="D413" s="11" t="s">
        <v>1762</v>
      </c>
      <c r="E413" s="11" t="s">
        <v>1762</v>
      </c>
      <c r="F413" s="11" t="s">
        <v>1762</v>
      </c>
    </row>
    <row r="414" ht="15.75" customHeight="1">
      <c r="D414" s="11" t="s">
        <v>1762</v>
      </c>
      <c r="E414" s="11" t="s">
        <v>1762</v>
      </c>
      <c r="F414" s="11" t="s">
        <v>1762</v>
      </c>
    </row>
    <row r="415" ht="15.75" customHeight="1">
      <c r="D415" s="11" t="s">
        <v>1762</v>
      </c>
      <c r="E415" s="11" t="s">
        <v>1762</v>
      </c>
      <c r="F415" s="11" t="s">
        <v>1762</v>
      </c>
    </row>
    <row r="416" ht="15.75" customHeight="1">
      <c r="D416" s="11" t="s">
        <v>1762</v>
      </c>
      <c r="E416" s="11" t="s">
        <v>1762</v>
      </c>
      <c r="F416" s="11" t="s">
        <v>1762</v>
      </c>
    </row>
    <row r="417" ht="15.75" customHeight="1">
      <c r="D417" s="11" t="s">
        <v>1762</v>
      </c>
      <c r="E417" s="11" t="s">
        <v>1762</v>
      </c>
      <c r="F417" s="11" t="s">
        <v>1762</v>
      </c>
    </row>
    <row r="418" ht="15.75" customHeight="1">
      <c r="D418" s="11" t="s">
        <v>1762</v>
      </c>
      <c r="E418" s="11" t="s">
        <v>1762</v>
      </c>
      <c r="F418" s="11" t="s">
        <v>1762</v>
      </c>
    </row>
    <row r="419" ht="15.75" customHeight="1">
      <c r="D419" s="11" t="s">
        <v>1762</v>
      </c>
      <c r="E419" s="11" t="s">
        <v>1762</v>
      </c>
      <c r="F419" s="11" t="s">
        <v>1762</v>
      </c>
    </row>
    <row r="420" ht="15.75" customHeight="1">
      <c r="D420" s="11" t="s">
        <v>1762</v>
      </c>
      <c r="E420" s="11" t="s">
        <v>1762</v>
      </c>
      <c r="F420" s="11" t="s">
        <v>1762</v>
      </c>
    </row>
    <row r="421" ht="15.75" customHeight="1">
      <c r="D421" s="11" t="s">
        <v>1762</v>
      </c>
      <c r="E421" s="11" t="s">
        <v>1762</v>
      </c>
      <c r="F421" s="11" t="s">
        <v>1762</v>
      </c>
    </row>
    <row r="422" ht="15.75" customHeight="1">
      <c r="D422" s="11" t="s">
        <v>1762</v>
      </c>
      <c r="E422" s="11" t="s">
        <v>1762</v>
      </c>
      <c r="F422" s="11" t="s">
        <v>1762</v>
      </c>
    </row>
    <row r="423" ht="15.75" customHeight="1">
      <c r="D423" s="11" t="s">
        <v>1762</v>
      </c>
      <c r="E423" s="11" t="s">
        <v>1762</v>
      </c>
      <c r="F423" s="11" t="s">
        <v>1762</v>
      </c>
    </row>
    <row r="424" ht="15.75" customHeight="1">
      <c r="D424" s="11" t="s">
        <v>1762</v>
      </c>
      <c r="E424" s="11" t="s">
        <v>1762</v>
      </c>
      <c r="F424" s="11" t="s">
        <v>1762</v>
      </c>
    </row>
    <row r="425" ht="15.75" customHeight="1">
      <c r="D425" s="11" t="s">
        <v>1762</v>
      </c>
      <c r="E425" s="11" t="s">
        <v>1762</v>
      </c>
      <c r="F425" s="11" t="s">
        <v>1762</v>
      </c>
    </row>
    <row r="426" ht="15.75" customHeight="1">
      <c r="D426" s="11" t="s">
        <v>1762</v>
      </c>
      <c r="E426" s="11" t="s">
        <v>1762</v>
      </c>
      <c r="F426" s="11" t="s">
        <v>1762</v>
      </c>
    </row>
    <row r="427" ht="15.75" customHeight="1">
      <c r="D427" s="11" t="s">
        <v>1762</v>
      </c>
      <c r="E427" s="11" t="s">
        <v>1762</v>
      </c>
      <c r="F427" s="11" t="s">
        <v>1762</v>
      </c>
    </row>
    <row r="428" ht="15.75" customHeight="1">
      <c r="D428" s="11" t="s">
        <v>1762</v>
      </c>
      <c r="E428" s="11" t="s">
        <v>1762</v>
      </c>
      <c r="F428" s="11" t="s">
        <v>1762</v>
      </c>
    </row>
    <row r="429" ht="15.75" customHeight="1">
      <c r="D429" s="11" t="s">
        <v>1762</v>
      </c>
      <c r="E429" s="11" t="s">
        <v>1762</v>
      </c>
      <c r="F429" s="11" t="s">
        <v>1762</v>
      </c>
    </row>
    <row r="430" ht="15.75" customHeight="1">
      <c r="D430" s="11" t="s">
        <v>1762</v>
      </c>
      <c r="E430" s="11" t="s">
        <v>1762</v>
      </c>
      <c r="F430" s="11" t="s">
        <v>1762</v>
      </c>
    </row>
    <row r="431" ht="15.75" customHeight="1">
      <c r="D431" s="11" t="s">
        <v>1762</v>
      </c>
      <c r="E431" s="11" t="s">
        <v>1762</v>
      </c>
      <c r="F431" s="11" t="s">
        <v>1762</v>
      </c>
    </row>
    <row r="432" ht="15.75" customHeight="1">
      <c r="D432" s="11" t="s">
        <v>1762</v>
      </c>
      <c r="E432" s="11" t="s">
        <v>1762</v>
      </c>
      <c r="F432" s="11" t="s">
        <v>1762</v>
      </c>
    </row>
    <row r="433" ht="15.75" customHeight="1">
      <c r="D433" s="11" t="s">
        <v>1762</v>
      </c>
      <c r="E433" s="11" t="s">
        <v>1762</v>
      </c>
      <c r="F433" s="11" t="s">
        <v>1762</v>
      </c>
    </row>
    <row r="434" ht="15.75" customHeight="1">
      <c r="D434" s="11" t="s">
        <v>1762</v>
      </c>
      <c r="E434" s="11" t="s">
        <v>1762</v>
      </c>
      <c r="F434" s="11" t="s">
        <v>1762</v>
      </c>
    </row>
    <row r="435" ht="15.75" customHeight="1">
      <c r="D435" s="11" t="s">
        <v>1762</v>
      </c>
      <c r="E435" s="11" t="s">
        <v>1762</v>
      </c>
      <c r="F435" s="11" t="s">
        <v>1762</v>
      </c>
    </row>
    <row r="436" ht="15.75" customHeight="1">
      <c r="D436" s="11" t="s">
        <v>1762</v>
      </c>
      <c r="E436" s="11" t="s">
        <v>1762</v>
      </c>
      <c r="F436" s="11" t="s">
        <v>1762</v>
      </c>
    </row>
    <row r="437" ht="15.75" customHeight="1">
      <c r="D437" s="11" t="s">
        <v>1762</v>
      </c>
      <c r="E437" s="11" t="s">
        <v>1762</v>
      </c>
      <c r="F437" s="11" t="s">
        <v>1762</v>
      </c>
    </row>
    <row r="438" ht="15.75" customHeight="1">
      <c r="D438" s="11" t="s">
        <v>1762</v>
      </c>
      <c r="E438" s="11" t="s">
        <v>1762</v>
      </c>
      <c r="F438" s="11" t="s">
        <v>1762</v>
      </c>
    </row>
    <row r="439" ht="15.75" customHeight="1">
      <c r="D439" s="11" t="s">
        <v>1762</v>
      </c>
      <c r="E439" s="11" t="s">
        <v>1762</v>
      </c>
      <c r="F439" s="11" t="s">
        <v>1762</v>
      </c>
    </row>
    <row r="440" ht="15.75" customHeight="1">
      <c r="D440" s="11" t="s">
        <v>1762</v>
      </c>
      <c r="E440" s="11" t="s">
        <v>1762</v>
      </c>
      <c r="F440" s="11" t="s">
        <v>1762</v>
      </c>
    </row>
    <row r="441" ht="15.75" customHeight="1">
      <c r="D441" s="11" t="s">
        <v>1762</v>
      </c>
      <c r="E441" s="11" t="s">
        <v>1762</v>
      </c>
      <c r="F441" s="11" t="s">
        <v>1762</v>
      </c>
    </row>
    <row r="442" ht="15.75" customHeight="1">
      <c r="D442" s="11" t="s">
        <v>1762</v>
      </c>
      <c r="E442" s="11" t="s">
        <v>1762</v>
      </c>
      <c r="F442" s="11" t="s">
        <v>1762</v>
      </c>
    </row>
    <row r="443" ht="15.75" customHeight="1">
      <c r="D443" s="11" t="s">
        <v>1762</v>
      </c>
      <c r="E443" s="11" t="s">
        <v>1762</v>
      </c>
      <c r="F443" s="11" t="s">
        <v>1762</v>
      </c>
    </row>
    <row r="444" ht="15.75" customHeight="1">
      <c r="D444" s="11" t="s">
        <v>1762</v>
      </c>
      <c r="E444" s="11" t="s">
        <v>1762</v>
      </c>
      <c r="F444" s="11" t="s">
        <v>1762</v>
      </c>
    </row>
    <row r="445" ht="15.75" customHeight="1">
      <c r="D445" s="11" t="s">
        <v>1762</v>
      </c>
      <c r="E445" s="11" t="s">
        <v>1762</v>
      </c>
      <c r="F445" s="11" t="s">
        <v>1762</v>
      </c>
    </row>
    <row r="446" ht="15.75" customHeight="1">
      <c r="D446" s="11" t="s">
        <v>1762</v>
      </c>
      <c r="E446" s="11" t="s">
        <v>1762</v>
      </c>
      <c r="F446" s="11" t="s">
        <v>1762</v>
      </c>
    </row>
    <row r="447" ht="15.75" customHeight="1">
      <c r="D447" s="11" t="s">
        <v>1762</v>
      </c>
      <c r="E447" s="11" t="s">
        <v>1762</v>
      </c>
      <c r="F447" s="11" t="s">
        <v>1762</v>
      </c>
    </row>
    <row r="448" ht="15.75" customHeight="1">
      <c r="D448" s="11" t="s">
        <v>1762</v>
      </c>
      <c r="E448" s="11" t="s">
        <v>1762</v>
      </c>
      <c r="F448" s="11" t="s">
        <v>1762</v>
      </c>
    </row>
    <row r="449" ht="15.75" customHeight="1">
      <c r="D449" s="11" t="s">
        <v>1762</v>
      </c>
      <c r="E449" s="11" t="s">
        <v>1762</v>
      </c>
      <c r="F449" s="11" t="s">
        <v>1762</v>
      </c>
    </row>
    <row r="450" ht="15.75" customHeight="1">
      <c r="D450" s="11" t="s">
        <v>1762</v>
      </c>
      <c r="E450" s="11" t="s">
        <v>1762</v>
      </c>
      <c r="F450" s="11" t="s">
        <v>1762</v>
      </c>
    </row>
    <row r="451" ht="15.75" customHeight="1">
      <c r="D451" s="11" t="s">
        <v>1762</v>
      </c>
      <c r="E451" s="11" t="s">
        <v>1762</v>
      </c>
      <c r="F451" s="11" t="s">
        <v>1762</v>
      </c>
    </row>
    <row r="452" ht="15.75" customHeight="1">
      <c r="D452" s="11" t="s">
        <v>1762</v>
      </c>
      <c r="E452" s="11" t="s">
        <v>1762</v>
      </c>
      <c r="F452" s="11" t="s">
        <v>1762</v>
      </c>
    </row>
    <row r="453" ht="15.75" customHeight="1">
      <c r="D453" s="11" t="s">
        <v>1762</v>
      </c>
      <c r="E453" s="11" t="s">
        <v>1762</v>
      </c>
      <c r="F453" s="11" t="s">
        <v>1762</v>
      </c>
    </row>
    <row r="454" ht="15.75" customHeight="1">
      <c r="D454" s="11" t="s">
        <v>1762</v>
      </c>
      <c r="E454" s="11" t="s">
        <v>1762</v>
      </c>
      <c r="F454" s="11" t="s">
        <v>1762</v>
      </c>
    </row>
    <row r="455" ht="15.75" customHeight="1">
      <c r="D455" s="11" t="s">
        <v>1762</v>
      </c>
      <c r="E455" s="11" t="s">
        <v>1762</v>
      </c>
      <c r="F455" s="11" t="s">
        <v>1762</v>
      </c>
    </row>
    <row r="456" ht="15.75" customHeight="1">
      <c r="D456" s="11" t="s">
        <v>1762</v>
      </c>
      <c r="E456" s="11" t="s">
        <v>1762</v>
      </c>
      <c r="F456" s="11" t="s">
        <v>1762</v>
      </c>
    </row>
    <row r="457" ht="15.75" customHeight="1">
      <c r="D457" s="11" t="s">
        <v>1762</v>
      </c>
      <c r="E457" s="11" t="s">
        <v>1762</v>
      </c>
      <c r="F457" s="11" t="s">
        <v>1762</v>
      </c>
    </row>
    <row r="458" ht="15.75" customHeight="1">
      <c r="D458" s="11" t="s">
        <v>1762</v>
      </c>
      <c r="E458" s="11" t="s">
        <v>1762</v>
      </c>
      <c r="F458" s="11" t="s">
        <v>1762</v>
      </c>
    </row>
    <row r="459" ht="15.75" customHeight="1">
      <c r="D459" s="11" t="s">
        <v>1762</v>
      </c>
      <c r="E459" s="11" t="s">
        <v>1762</v>
      </c>
      <c r="F459" s="11" t="s">
        <v>1762</v>
      </c>
    </row>
    <row r="460" ht="15.75" customHeight="1">
      <c r="D460" s="11" t="s">
        <v>1762</v>
      </c>
      <c r="E460" s="11" t="s">
        <v>1762</v>
      </c>
      <c r="F460" s="11" t="s">
        <v>1762</v>
      </c>
    </row>
    <row r="461" ht="15.75" customHeight="1">
      <c r="D461" s="11" t="s">
        <v>1762</v>
      </c>
      <c r="E461" s="11" t="s">
        <v>1762</v>
      </c>
      <c r="F461" s="11" t="s">
        <v>1762</v>
      </c>
    </row>
    <row r="462" ht="15.75" customHeight="1">
      <c r="D462" s="11" t="s">
        <v>1762</v>
      </c>
      <c r="E462" s="11" t="s">
        <v>1762</v>
      </c>
      <c r="F462" s="11" t="s">
        <v>1762</v>
      </c>
    </row>
    <row r="463" ht="15.75" customHeight="1">
      <c r="D463" s="11" t="s">
        <v>1762</v>
      </c>
      <c r="E463" s="11" t="s">
        <v>1762</v>
      </c>
      <c r="F463" s="11" t="s">
        <v>1762</v>
      </c>
    </row>
    <row r="464" ht="15.75" customHeight="1">
      <c r="D464" s="11" t="s">
        <v>1762</v>
      </c>
      <c r="E464" s="11" t="s">
        <v>1762</v>
      </c>
      <c r="F464" s="11" t="s">
        <v>1762</v>
      </c>
    </row>
    <row r="465" ht="15.75" customHeight="1">
      <c r="D465" s="11" t="s">
        <v>1762</v>
      </c>
      <c r="E465" s="11" t="s">
        <v>1762</v>
      </c>
      <c r="F465" s="11" t="s">
        <v>1762</v>
      </c>
    </row>
    <row r="466" ht="15.75" customHeight="1">
      <c r="D466" s="11" t="s">
        <v>1762</v>
      </c>
      <c r="E466" s="11" t="s">
        <v>1762</v>
      </c>
      <c r="F466" s="11" t="s">
        <v>1762</v>
      </c>
    </row>
    <row r="467" ht="15.75" customHeight="1">
      <c r="D467" s="11" t="s">
        <v>1762</v>
      </c>
      <c r="E467" s="11" t="s">
        <v>1762</v>
      </c>
      <c r="F467" s="11" t="s">
        <v>1762</v>
      </c>
    </row>
    <row r="468" ht="15.75" customHeight="1">
      <c r="D468" s="11" t="s">
        <v>1762</v>
      </c>
      <c r="E468" s="11" t="s">
        <v>1762</v>
      </c>
      <c r="F468" s="11" t="s">
        <v>1762</v>
      </c>
    </row>
    <row r="469" ht="15.75" customHeight="1">
      <c r="D469" s="11" t="s">
        <v>1762</v>
      </c>
      <c r="E469" s="11" t="s">
        <v>1762</v>
      </c>
      <c r="F469" s="11" t="s">
        <v>1762</v>
      </c>
    </row>
    <row r="470" ht="15.75" customHeight="1">
      <c r="D470" s="11" t="s">
        <v>1762</v>
      </c>
      <c r="E470" s="11" t="s">
        <v>1762</v>
      </c>
      <c r="F470" s="11" t="s">
        <v>1762</v>
      </c>
    </row>
    <row r="471" ht="15.75" customHeight="1">
      <c r="D471" s="11" t="s">
        <v>1762</v>
      </c>
      <c r="E471" s="11" t="s">
        <v>1762</v>
      </c>
      <c r="F471" s="11" t="s">
        <v>1762</v>
      </c>
    </row>
    <row r="472" ht="15.75" customHeight="1">
      <c r="D472" s="11" t="s">
        <v>1762</v>
      </c>
      <c r="E472" s="11" t="s">
        <v>1762</v>
      </c>
      <c r="F472" s="11" t="s">
        <v>1762</v>
      </c>
    </row>
    <row r="473" ht="15.75" customHeight="1">
      <c r="D473" s="11" t="s">
        <v>1762</v>
      </c>
      <c r="E473" s="11" t="s">
        <v>1762</v>
      </c>
      <c r="F473" s="11" t="s">
        <v>1762</v>
      </c>
    </row>
    <row r="474" ht="15.75" customHeight="1">
      <c r="D474" s="11" t="s">
        <v>1762</v>
      </c>
      <c r="E474" s="11" t="s">
        <v>1762</v>
      </c>
      <c r="F474" s="11" t="s">
        <v>1762</v>
      </c>
    </row>
    <row r="475" ht="15.75" customHeight="1">
      <c r="D475" s="11" t="s">
        <v>1762</v>
      </c>
      <c r="E475" s="11" t="s">
        <v>1762</v>
      </c>
      <c r="F475" s="11" t="s">
        <v>1762</v>
      </c>
    </row>
    <row r="476" ht="15.75" customHeight="1">
      <c r="D476" s="11" t="s">
        <v>1762</v>
      </c>
      <c r="E476" s="11" t="s">
        <v>1762</v>
      </c>
      <c r="F476" s="11" t="s">
        <v>1762</v>
      </c>
    </row>
    <row r="477" ht="15.75" customHeight="1">
      <c r="D477" s="11" t="s">
        <v>1762</v>
      </c>
      <c r="E477" s="11" t="s">
        <v>1762</v>
      </c>
      <c r="F477" s="11" t="s">
        <v>1762</v>
      </c>
    </row>
    <row r="478" ht="15.75" customHeight="1">
      <c r="D478" s="11" t="s">
        <v>1762</v>
      </c>
      <c r="E478" s="11" t="s">
        <v>1762</v>
      </c>
      <c r="F478" s="11" t="s">
        <v>1762</v>
      </c>
    </row>
    <row r="479" ht="15.75" customHeight="1">
      <c r="D479" s="11" t="s">
        <v>1762</v>
      </c>
      <c r="E479" s="11" t="s">
        <v>1762</v>
      </c>
      <c r="F479" s="11" t="s">
        <v>1762</v>
      </c>
    </row>
    <row r="480" ht="15.75" customHeight="1">
      <c r="D480" s="11" t="s">
        <v>1762</v>
      </c>
      <c r="E480" s="11" t="s">
        <v>1762</v>
      </c>
      <c r="F480" s="11" t="s">
        <v>1762</v>
      </c>
    </row>
    <row r="481" ht="15.75" customHeight="1">
      <c r="D481" s="11" t="s">
        <v>1762</v>
      </c>
      <c r="E481" s="11" t="s">
        <v>1762</v>
      </c>
      <c r="F481" s="11" t="s">
        <v>1762</v>
      </c>
    </row>
    <row r="482" ht="15.75" customHeight="1">
      <c r="D482" s="11" t="s">
        <v>1762</v>
      </c>
      <c r="E482" s="11" t="s">
        <v>1762</v>
      </c>
      <c r="F482" s="11" t="s">
        <v>1762</v>
      </c>
    </row>
    <row r="483" ht="15.75" customHeight="1">
      <c r="D483" s="11" t="s">
        <v>1762</v>
      </c>
      <c r="E483" s="11" t="s">
        <v>1762</v>
      </c>
      <c r="F483" s="11" t="s">
        <v>1762</v>
      </c>
    </row>
    <row r="484" ht="15.75" customHeight="1">
      <c r="D484" s="11" t="s">
        <v>1762</v>
      </c>
      <c r="E484" s="11" t="s">
        <v>1762</v>
      </c>
      <c r="F484" s="11" t="s">
        <v>1762</v>
      </c>
    </row>
    <row r="485" ht="15.75" customHeight="1">
      <c r="D485" s="11" t="s">
        <v>1762</v>
      </c>
      <c r="E485" s="11" t="s">
        <v>1762</v>
      </c>
      <c r="F485" s="11" t="s">
        <v>1762</v>
      </c>
    </row>
    <row r="486" ht="15.75" customHeight="1">
      <c r="D486" s="11" t="s">
        <v>1762</v>
      </c>
      <c r="E486" s="11" t="s">
        <v>1762</v>
      </c>
      <c r="F486" s="11" t="s">
        <v>1762</v>
      </c>
    </row>
    <row r="487" ht="15.75" customHeight="1">
      <c r="D487" s="11" t="s">
        <v>1762</v>
      </c>
      <c r="E487" s="11" t="s">
        <v>1762</v>
      </c>
      <c r="F487" s="11" t="s">
        <v>1762</v>
      </c>
    </row>
    <row r="488" ht="15.75" customHeight="1">
      <c r="D488" s="11" t="s">
        <v>1762</v>
      </c>
      <c r="E488" s="11" t="s">
        <v>1762</v>
      </c>
      <c r="F488" s="11" t="s">
        <v>1762</v>
      </c>
    </row>
    <row r="489" ht="15.75" customHeight="1">
      <c r="D489" s="11" t="s">
        <v>1762</v>
      </c>
      <c r="E489" s="11" t="s">
        <v>1762</v>
      </c>
      <c r="F489" s="11" t="s">
        <v>1762</v>
      </c>
    </row>
    <row r="490" ht="15.75" customHeight="1">
      <c r="D490" s="11" t="s">
        <v>1762</v>
      </c>
      <c r="E490" s="11" t="s">
        <v>1762</v>
      </c>
      <c r="F490" s="11" t="s">
        <v>1762</v>
      </c>
    </row>
    <row r="491" ht="15.75" customHeight="1">
      <c r="D491" s="11" t="s">
        <v>1762</v>
      </c>
      <c r="E491" s="11" t="s">
        <v>1762</v>
      </c>
      <c r="F491" s="11" t="s">
        <v>1762</v>
      </c>
    </row>
    <row r="492" ht="15.75" customHeight="1">
      <c r="D492" s="11" t="s">
        <v>1762</v>
      </c>
      <c r="E492" s="11" t="s">
        <v>1762</v>
      </c>
      <c r="F492" s="11" t="s">
        <v>1762</v>
      </c>
    </row>
    <row r="493" ht="15.75" customHeight="1">
      <c r="D493" s="11" t="s">
        <v>1762</v>
      </c>
      <c r="E493" s="11" t="s">
        <v>1762</v>
      </c>
      <c r="F493" s="11" t="s">
        <v>1762</v>
      </c>
    </row>
    <row r="494" ht="15.75" customHeight="1">
      <c r="D494" s="11" t="s">
        <v>1762</v>
      </c>
      <c r="E494" s="11" t="s">
        <v>1762</v>
      </c>
      <c r="F494" s="11" t="s">
        <v>1762</v>
      </c>
    </row>
    <row r="495" ht="15.75" customHeight="1">
      <c r="D495" s="11" t="s">
        <v>1762</v>
      </c>
      <c r="E495" s="11" t="s">
        <v>1762</v>
      </c>
      <c r="F495" s="11" t="s">
        <v>1762</v>
      </c>
    </row>
    <row r="496" ht="15.75" customHeight="1">
      <c r="D496" s="11" t="s">
        <v>1762</v>
      </c>
      <c r="E496" s="11" t="s">
        <v>1762</v>
      </c>
      <c r="F496" s="11" t="s">
        <v>1762</v>
      </c>
    </row>
    <row r="497" ht="15.75" customHeight="1">
      <c r="D497" s="11" t="s">
        <v>1762</v>
      </c>
      <c r="E497" s="11" t="s">
        <v>1762</v>
      </c>
      <c r="F497" s="11" t="s">
        <v>1762</v>
      </c>
    </row>
    <row r="498" ht="15.75" customHeight="1">
      <c r="D498" s="11" t="s">
        <v>1762</v>
      </c>
      <c r="E498" s="11" t="s">
        <v>1762</v>
      </c>
      <c r="F498" s="11" t="s">
        <v>1762</v>
      </c>
    </row>
    <row r="499" ht="15.75" customHeight="1">
      <c r="D499" s="11" t="s">
        <v>1762</v>
      </c>
      <c r="E499" s="11" t="s">
        <v>1762</v>
      </c>
      <c r="F499" s="11" t="s">
        <v>1762</v>
      </c>
    </row>
    <row r="500" ht="15.75" customHeight="1">
      <c r="D500" s="11" t="s">
        <v>1762</v>
      </c>
      <c r="E500" s="11" t="s">
        <v>1762</v>
      </c>
      <c r="F500" s="11" t="s">
        <v>1762</v>
      </c>
    </row>
    <row r="501" ht="15.75" customHeight="1">
      <c r="D501" s="11" t="s">
        <v>1762</v>
      </c>
      <c r="E501" s="11" t="s">
        <v>1762</v>
      </c>
      <c r="F501" s="11" t="s">
        <v>1762</v>
      </c>
    </row>
    <row r="502" ht="15.75" customHeight="1">
      <c r="D502" s="11" t="s">
        <v>1762</v>
      </c>
      <c r="E502" s="11" t="s">
        <v>1762</v>
      </c>
      <c r="F502" s="11" t="s">
        <v>1762</v>
      </c>
    </row>
    <row r="503" ht="15.75" customHeight="1">
      <c r="D503" s="11" t="s">
        <v>1762</v>
      </c>
      <c r="E503" s="11" t="s">
        <v>1762</v>
      </c>
      <c r="F503" s="11" t="s">
        <v>1762</v>
      </c>
    </row>
    <row r="504" ht="15.75" customHeight="1">
      <c r="D504" s="11" t="s">
        <v>1762</v>
      </c>
      <c r="E504" s="11" t="s">
        <v>1762</v>
      </c>
      <c r="F504" s="11" t="s">
        <v>1762</v>
      </c>
    </row>
    <row r="505" ht="15.75" customHeight="1">
      <c r="D505" s="11" t="s">
        <v>1762</v>
      </c>
      <c r="E505" s="11" t="s">
        <v>1762</v>
      </c>
      <c r="F505" s="11" t="s">
        <v>1762</v>
      </c>
    </row>
    <row r="506" ht="15.75" customHeight="1">
      <c r="D506" s="11" t="s">
        <v>1762</v>
      </c>
      <c r="E506" s="11" t="s">
        <v>1762</v>
      </c>
      <c r="F506" s="11" t="s">
        <v>1762</v>
      </c>
    </row>
    <row r="507" ht="15.75" customHeight="1">
      <c r="D507" s="11" t="s">
        <v>1762</v>
      </c>
      <c r="E507" s="11" t="s">
        <v>1762</v>
      </c>
      <c r="F507" s="11" t="s">
        <v>1762</v>
      </c>
    </row>
    <row r="508" ht="15.75" customHeight="1">
      <c r="D508" s="11" t="s">
        <v>1762</v>
      </c>
      <c r="E508" s="11" t="s">
        <v>1762</v>
      </c>
      <c r="F508" s="11" t="s">
        <v>1762</v>
      </c>
    </row>
    <row r="509" ht="15.75" customHeight="1">
      <c r="D509" s="11" t="s">
        <v>1762</v>
      </c>
      <c r="E509" s="11" t="s">
        <v>1762</v>
      </c>
      <c r="F509" s="11" t="s">
        <v>1762</v>
      </c>
    </row>
    <row r="510" ht="15.75" customHeight="1">
      <c r="D510" s="11" t="s">
        <v>1762</v>
      </c>
      <c r="E510" s="11" t="s">
        <v>1762</v>
      </c>
      <c r="F510" s="11" t="s">
        <v>1762</v>
      </c>
    </row>
    <row r="511" ht="15.75" customHeight="1">
      <c r="D511" s="11" t="s">
        <v>1762</v>
      </c>
      <c r="E511" s="11" t="s">
        <v>1762</v>
      </c>
      <c r="F511" s="11" t="s">
        <v>1762</v>
      </c>
    </row>
    <row r="512" ht="15.75" customHeight="1">
      <c r="D512" s="11" t="s">
        <v>1762</v>
      </c>
      <c r="E512" s="11" t="s">
        <v>1762</v>
      </c>
      <c r="F512" s="11" t="s">
        <v>1762</v>
      </c>
    </row>
    <row r="513" ht="15.75" customHeight="1">
      <c r="D513" s="11" t="s">
        <v>1762</v>
      </c>
      <c r="E513" s="11" t="s">
        <v>1762</v>
      </c>
      <c r="F513" s="11" t="s">
        <v>1762</v>
      </c>
    </row>
    <row r="514" ht="15.75" customHeight="1">
      <c r="D514" s="11" t="s">
        <v>1762</v>
      </c>
      <c r="E514" s="11" t="s">
        <v>1762</v>
      </c>
      <c r="F514" s="11" t="s">
        <v>1762</v>
      </c>
    </row>
    <row r="515" ht="15.75" customHeight="1">
      <c r="D515" s="11" t="s">
        <v>1762</v>
      </c>
      <c r="E515" s="11" t="s">
        <v>1762</v>
      </c>
      <c r="F515" s="11" t="s">
        <v>1762</v>
      </c>
    </row>
    <row r="516" ht="15.75" customHeight="1">
      <c r="D516" s="11" t="s">
        <v>1762</v>
      </c>
      <c r="E516" s="11" t="s">
        <v>1762</v>
      </c>
      <c r="F516" s="11" t="s">
        <v>1762</v>
      </c>
    </row>
    <row r="517" ht="15.75" customHeight="1">
      <c r="D517" s="11" t="s">
        <v>1762</v>
      </c>
      <c r="E517" s="11" t="s">
        <v>1762</v>
      </c>
      <c r="F517" s="11" t="s">
        <v>1762</v>
      </c>
    </row>
    <row r="518" ht="15.75" customHeight="1">
      <c r="D518" s="11" t="s">
        <v>1762</v>
      </c>
      <c r="E518" s="11" t="s">
        <v>1762</v>
      </c>
      <c r="F518" s="11" t="s">
        <v>1762</v>
      </c>
    </row>
    <row r="519" ht="15.75" customHeight="1">
      <c r="D519" s="11" t="s">
        <v>1762</v>
      </c>
      <c r="E519" s="11" t="s">
        <v>1762</v>
      </c>
      <c r="F519" s="11" t="s">
        <v>1762</v>
      </c>
    </row>
    <row r="520" ht="15.75" customHeight="1">
      <c r="D520" s="11" t="s">
        <v>1762</v>
      </c>
      <c r="E520" s="11" t="s">
        <v>1762</v>
      </c>
      <c r="F520" s="11" t="s">
        <v>1762</v>
      </c>
    </row>
    <row r="521" ht="15.75" customHeight="1">
      <c r="D521" s="11" t="s">
        <v>1762</v>
      </c>
      <c r="E521" s="11" t="s">
        <v>1762</v>
      </c>
      <c r="F521" s="11" t="s">
        <v>1762</v>
      </c>
    </row>
    <row r="522" ht="15.75" customHeight="1">
      <c r="D522" s="11" t="s">
        <v>1762</v>
      </c>
      <c r="E522" s="11" t="s">
        <v>1762</v>
      </c>
      <c r="F522" s="11" t="s">
        <v>1762</v>
      </c>
    </row>
    <row r="523" ht="15.75" customHeight="1">
      <c r="D523" s="11" t="s">
        <v>1762</v>
      </c>
      <c r="E523" s="11" t="s">
        <v>1762</v>
      </c>
      <c r="F523" s="11" t="s">
        <v>1762</v>
      </c>
    </row>
    <row r="524" ht="15.75" customHeight="1">
      <c r="D524" s="11" t="s">
        <v>1762</v>
      </c>
      <c r="E524" s="11" t="s">
        <v>1762</v>
      </c>
      <c r="F524" s="11" t="s">
        <v>1762</v>
      </c>
    </row>
    <row r="525" ht="15.75" customHeight="1">
      <c r="D525" s="11" t="s">
        <v>1762</v>
      </c>
      <c r="E525" s="11" t="s">
        <v>1762</v>
      </c>
      <c r="F525" s="11" t="s">
        <v>1762</v>
      </c>
    </row>
    <row r="526" ht="15.75" customHeight="1">
      <c r="D526" s="11" t="s">
        <v>1762</v>
      </c>
      <c r="E526" s="11" t="s">
        <v>1762</v>
      </c>
      <c r="F526" s="11" t="s">
        <v>1762</v>
      </c>
    </row>
    <row r="527" ht="15.75" customHeight="1">
      <c r="D527" s="11" t="s">
        <v>1762</v>
      </c>
      <c r="E527" s="11" t="s">
        <v>1762</v>
      </c>
      <c r="F527" s="11" t="s">
        <v>1762</v>
      </c>
    </row>
    <row r="528" ht="15.75" customHeight="1">
      <c r="D528" s="11" t="s">
        <v>1762</v>
      </c>
      <c r="E528" s="11" t="s">
        <v>1762</v>
      </c>
      <c r="F528" s="11" t="s">
        <v>1762</v>
      </c>
    </row>
    <row r="529" ht="15.75" customHeight="1">
      <c r="D529" s="11" t="s">
        <v>1762</v>
      </c>
      <c r="E529" s="11" t="s">
        <v>1762</v>
      </c>
      <c r="F529" s="11" t="s">
        <v>1762</v>
      </c>
    </row>
    <row r="530" ht="15.75" customHeight="1">
      <c r="D530" s="11" t="s">
        <v>1762</v>
      </c>
      <c r="E530" s="11" t="s">
        <v>1762</v>
      </c>
      <c r="F530" s="11" t="s">
        <v>1762</v>
      </c>
    </row>
    <row r="531" ht="15.75" customHeight="1">
      <c r="D531" s="11" t="s">
        <v>1762</v>
      </c>
      <c r="E531" s="11" t="s">
        <v>1762</v>
      </c>
      <c r="F531" s="11" t="s">
        <v>1762</v>
      </c>
    </row>
    <row r="532" ht="15.75" customHeight="1">
      <c r="D532" s="11" t="s">
        <v>1762</v>
      </c>
      <c r="E532" s="11" t="s">
        <v>1762</v>
      </c>
      <c r="F532" s="11" t="s">
        <v>1762</v>
      </c>
    </row>
    <row r="533" ht="15.75" customHeight="1">
      <c r="D533" s="11" t="s">
        <v>1762</v>
      </c>
      <c r="E533" s="11" t="s">
        <v>1762</v>
      </c>
      <c r="F533" s="11" t="s">
        <v>1762</v>
      </c>
    </row>
    <row r="534" ht="15.75" customHeight="1">
      <c r="D534" s="11" t="s">
        <v>1762</v>
      </c>
      <c r="E534" s="11" t="s">
        <v>1762</v>
      </c>
      <c r="F534" s="11" t="s">
        <v>1762</v>
      </c>
    </row>
    <row r="535" ht="15.75" customHeight="1">
      <c r="D535" s="11" t="s">
        <v>1762</v>
      </c>
      <c r="E535" s="11" t="s">
        <v>1762</v>
      </c>
      <c r="F535" s="11" t="s">
        <v>1762</v>
      </c>
    </row>
    <row r="536" ht="15.75" customHeight="1">
      <c r="D536" s="11" t="s">
        <v>1762</v>
      </c>
      <c r="E536" s="11" t="s">
        <v>1762</v>
      </c>
      <c r="F536" s="11" t="s">
        <v>1762</v>
      </c>
    </row>
    <row r="537" ht="15.75" customHeight="1">
      <c r="D537" s="11" t="s">
        <v>1762</v>
      </c>
      <c r="E537" s="11" t="s">
        <v>1762</v>
      </c>
      <c r="F537" s="11" t="s">
        <v>1762</v>
      </c>
    </row>
    <row r="538" ht="15.75" customHeight="1">
      <c r="D538" s="11" t="s">
        <v>1762</v>
      </c>
      <c r="E538" s="11" t="s">
        <v>1762</v>
      </c>
      <c r="F538" s="11" t="s">
        <v>1762</v>
      </c>
    </row>
    <row r="539" ht="15.75" customHeight="1">
      <c r="D539" s="11" t="s">
        <v>1762</v>
      </c>
      <c r="E539" s="11" t="s">
        <v>1762</v>
      </c>
      <c r="F539" s="11" t="s">
        <v>1762</v>
      </c>
    </row>
    <row r="540" ht="15.75" customHeight="1">
      <c r="D540" s="11" t="s">
        <v>1762</v>
      </c>
      <c r="E540" s="11" t="s">
        <v>1762</v>
      </c>
      <c r="F540" s="11" t="s">
        <v>1762</v>
      </c>
    </row>
    <row r="541" ht="15.75" customHeight="1">
      <c r="D541" s="11" t="s">
        <v>1762</v>
      </c>
      <c r="E541" s="11" t="s">
        <v>1762</v>
      </c>
      <c r="F541" s="11" t="s">
        <v>1762</v>
      </c>
    </row>
    <row r="542" ht="15.75" customHeight="1">
      <c r="D542" s="11" t="s">
        <v>1762</v>
      </c>
      <c r="E542" s="11" t="s">
        <v>1762</v>
      </c>
      <c r="F542" s="11" t="s">
        <v>1762</v>
      </c>
    </row>
    <row r="543" ht="15.75" customHeight="1">
      <c r="D543" s="11" t="s">
        <v>1762</v>
      </c>
      <c r="E543" s="11" t="s">
        <v>1762</v>
      </c>
      <c r="F543" s="11" t="s">
        <v>1762</v>
      </c>
    </row>
    <row r="544" ht="15.75" customHeight="1">
      <c r="D544" s="11" t="s">
        <v>1762</v>
      </c>
      <c r="E544" s="11" t="s">
        <v>1762</v>
      </c>
      <c r="F544" s="11" t="s">
        <v>1762</v>
      </c>
    </row>
    <row r="545" ht="15.75" customHeight="1">
      <c r="D545" s="11" t="s">
        <v>1762</v>
      </c>
      <c r="E545" s="11" t="s">
        <v>1762</v>
      </c>
      <c r="F545" s="11" t="s">
        <v>1762</v>
      </c>
    </row>
    <row r="546" ht="15.75" customHeight="1">
      <c r="D546" s="11" t="s">
        <v>1762</v>
      </c>
      <c r="E546" s="11" t="s">
        <v>1762</v>
      </c>
      <c r="F546" s="11" t="s">
        <v>1762</v>
      </c>
    </row>
    <row r="547" ht="15.75" customHeight="1">
      <c r="D547" s="11" t="s">
        <v>1762</v>
      </c>
      <c r="E547" s="11" t="s">
        <v>1762</v>
      </c>
      <c r="F547" s="11" t="s">
        <v>1762</v>
      </c>
    </row>
    <row r="548" ht="15.75" customHeight="1">
      <c r="D548" s="11" t="s">
        <v>1762</v>
      </c>
      <c r="E548" s="11" t="s">
        <v>1762</v>
      </c>
      <c r="F548" s="11" t="s">
        <v>1762</v>
      </c>
    </row>
    <row r="549" ht="15.75" customHeight="1">
      <c r="D549" s="11" t="s">
        <v>1762</v>
      </c>
      <c r="E549" s="11" t="s">
        <v>1762</v>
      </c>
      <c r="F549" s="11" t="s">
        <v>1762</v>
      </c>
    </row>
    <row r="550" ht="15.75" customHeight="1">
      <c r="D550" s="11" t="s">
        <v>1762</v>
      </c>
      <c r="E550" s="11" t="s">
        <v>1762</v>
      </c>
      <c r="F550" s="11" t="s">
        <v>1762</v>
      </c>
    </row>
    <row r="551" ht="15.75" customHeight="1">
      <c r="D551" s="11" t="s">
        <v>1762</v>
      </c>
      <c r="E551" s="11" t="s">
        <v>1762</v>
      </c>
      <c r="F551" s="11" t="s">
        <v>1762</v>
      </c>
    </row>
    <row r="552" ht="15.75" customHeight="1">
      <c r="D552" s="11" t="s">
        <v>1762</v>
      </c>
      <c r="E552" s="11" t="s">
        <v>1762</v>
      </c>
      <c r="F552" s="11" t="s">
        <v>1762</v>
      </c>
    </row>
    <row r="553" ht="15.75" customHeight="1">
      <c r="D553" s="11" t="s">
        <v>1762</v>
      </c>
      <c r="E553" s="11" t="s">
        <v>1762</v>
      </c>
      <c r="F553" s="11" t="s">
        <v>1762</v>
      </c>
    </row>
    <row r="554" ht="15.75" customHeight="1">
      <c r="D554" s="11" t="s">
        <v>1762</v>
      </c>
      <c r="E554" s="11" t="s">
        <v>1762</v>
      </c>
      <c r="F554" s="11" t="s">
        <v>1762</v>
      </c>
    </row>
    <row r="555" ht="15.75" customHeight="1">
      <c r="D555" s="11" t="s">
        <v>1762</v>
      </c>
      <c r="E555" s="11" t="s">
        <v>1762</v>
      </c>
      <c r="F555" s="11" t="s">
        <v>1762</v>
      </c>
    </row>
    <row r="556" ht="15.75" customHeight="1">
      <c r="D556" s="11" t="s">
        <v>1762</v>
      </c>
      <c r="E556" s="11" t="s">
        <v>1762</v>
      </c>
      <c r="F556" s="11" t="s">
        <v>1762</v>
      </c>
    </row>
    <row r="557" ht="15.75" customHeight="1">
      <c r="D557" s="11" t="s">
        <v>1762</v>
      </c>
      <c r="E557" s="11" t="s">
        <v>1762</v>
      </c>
      <c r="F557" s="11" t="s">
        <v>1762</v>
      </c>
    </row>
    <row r="558" ht="15.75" customHeight="1">
      <c r="D558" s="11" t="s">
        <v>1762</v>
      </c>
      <c r="E558" s="11" t="s">
        <v>1762</v>
      </c>
      <c r="F558" s="11" t="s">
        <v>1762</v>
      </c>
    </row>
    <row r="559" ht="15.75" customHeight="1">
      <c r="D559" s="11" t="s">
        <v>1762</v>
      </c>
      <c r="E559" s="11" t="s">
        <v>1762</v>
      </c>
      <c r="F559" s="11" t="s">
        <v>1762</v>
      </c>
    </row>
    <row r="560" ht="15.75" customHeight="1">
      <c r="D560" s="11" t="s">
        <v>1762</v>
      </c>
      <c r="E560" s="11" t="s">
        <v>1762</v>
      </c>
      <c r="F560" s="11" t="s">
        <v>1762</v>
      </c>
    </row>
    <row r="561" ht="15.75" customHeight="1">
      <c r="D561" s="11" t="s">
        <v>1762</v>
      </c>
      <c r="E561" s="11" t="s">
        <v>1762</v>
      </c>
      <c r="F561" s="11" t="s">
        <v>1762</v>
      </c>
    </row>
    <row r="562" ht="15.75" customHeight="1">
      <c r="D562" s="11" t="s">
        <v>1762</v>
      </c>
      <c r="E562" s="11" t="s">
        <v>1762</v>
      </c>
      <c r="F562" s="11" t="s">
        <v>1762</v>
      </c>
    </row>
    <row r="563" ht="15.75" customHeight="1">
      <c r="D563" s="11" t="s">
        <v>1762</v>
      </c>
      <c r="E563" s="11" t="s">
        <v>1762</v>
      </c>
      <c r="F563" s="11" t="s">
        <v>1762</v>
      </c>
    </row>
    <row r="564" ht="15.75" customHeight="1">
      <c r="D564" s="11" t="s">
        <v>1762</v>
      </c>
      <c r="E564" s="11" t="s">
        <v>1762</v>
      </c>
      <c r="F564" s="11" t="s">
        <v>1762</v>
      </c>
    </row>
    <row r="565" ht="15.75" customHeight="1">
      <c r="D565" s="11" t="s">
        <v>1762</v>
      </c>
      <c r="E565" s="11" t="s">
        <v>1762</v>
      </c>
      <c r="F565" s="11" t="s">
        <v>1762</v>
      </c>
    </row>
    <row r="566" ht="15.75" customHeight="1">
      <c r="D566" s="11" t="s">
        <v>1762</v>
      </c>
      <c r="E566" s="11" t="s">
        <v>1762</v>
      </c>
      <c r="F566" s="11" t="s">
        <v>1762</v>
      </c>
    </row>
    <row r="567" ht="15.75" customHeight="1">
      <c r="D567" s="11" t="s">
        <v>1762</v>
      </c>
      <c r="E567" s="11" t="s">
        <v>1762</v>
      </c>
      <c r="F567" s="11" t="s">
        <v>1762</v>
      </c>
    </row>
    <row r="568" ht="15.75" customHeight="1">
      <c r="D568" s="11" t="s">
        <v>1762</v>
      </c>
      <c r="E568" s="11" t="s">
        <v>1762</v>
      </c>
      <c r="F568" s="11" t="s">
        <v>1762</v>
      </c>
    </row>
    <row r="569" ht="15.75" customHeight="1">
      <c r="D569" s="11" t="s">
        <v>1762</v>
      </c>
      <c r="E569" s="11" t="s">
        <v>1762</v>
      </c>
      <c r="F569" s="11" t="s">
        <v>1762</v>
      </c>
    </row>
    <row r="570" ht="15.75" customHeight="1">
      <c r="D570" s="11" t="s">
        <v>1762</v>
      </c>
      <c r="E570" s="11" t="s">
        <v>1762</v>
      </c>
      <c r="F570" s="11" t="s">
        <v>1762</v>
      </c>
    </row>
    <row r="571" ht="15.75" customHeight="1">
      <c r="D571" s="11" t="s">
        <v>1762</v>
      </c>
      <c r="E571" s="11" t="s">
        <v>1762</v>
      </c>
      <c r="F571" s="11" t="s">
        <v>1762</v>
      </c>
    </row>
    <row r="572" ht="15.75" customHeight="1">
      <c r="D572" s="11" t="s">
        <v>1762</v>
      </c>
      <c r="E572" s="11" t="s">
        <v>1762</v>
      </c>
      <c r="F572" s="11" t="s">
        <v>1762</v>
      </c>
    </row>
    <row r="573" ht="15.75" customHeight="1">
      <c r="D573" s="11" t="s">
        <v>1762</v>
      </c>
      <c r="E573" s="11" t="s">
        <v>1762</v>
      </c>
      <c r="F573" s="11" t="s">
        <v>1762</v>
      </c>
    </row>
    <row r="574" ht="15.75" customHeight="1">
      <c r="D574" s="11" t="s">
        <v>1762</v>
      </c>
      <c r="E574" s="11" t="s">
        <v>1762</v>
      </c>
      <c r="F574" s="11" t="s">
        <v>1762</v>
      </c>
    </row>
    <row r="575" ht="15.75" customHeight="1">
      <c r="D575" s="11" t="s">
        <v>1762</v>
      </c>
      <c r="E575" s="11" t="s">
        <v>1762</v>
      </c>
      <c r="F575" s="11" t="s">
        <v>1762</v>
      </c>
    </row>
    <row r="576" ht="15.75" customHeight="1">
      <c r="D576" s="11" t="s">
        <v>1762</v>
      </c>
      <c r="E576" s="11" t="s">
        <v>1762</v>
      </c>
      <c r="F576" s="11" t="s">
        <v>1762</v>
      </c>
    </row>
    <row r="577" ht="15.75" customHeight="1">
      <c r="D577" s="11" t="s">
        <v>1762</v>
      </c>
      <c r="E577" s="11" t="s">
        <v>1762</v>
      </c>
      <c r="F577" s="11" t="s">
        <v>1762</v>
      </c>
    </row>
    <row r="578" ht="15.75" customHeight="1">
      <c r="D578" s="11" t="s">
        <v>1762</v>
      </c>
      <c r="E578" s="11" t="s">
        <v>1762</v>
      </c>
      <c r="F578" s="11" t="s">
        <v>1762</v>
      </c>
    </row>
    <row r="579" ht="15.75" customHeight="1">
      <c r="D579" s="11" t="s">
        <v>1762</v>
      </c>
      <c r="E579" s="11" t="s">
        <v>1762</v>
      </c>
      <c r="F579" s="11" t="s">
        <v>1762</v>
      </c>
    </row>
    <row r="580" ht="15.75" customHeight="1">
      <c r="D580" s="11" t="s">
        <v>1762</v>
      </c>
      <c r="E580" s="11" t="s">
        <v>1762</v>
      </c>
      <c r="F580" s="11" t="s">
        <v>1762</v>
      </c>
    </row>
    <row r="581" ht="15.75" customHeight="1">
      <c r="D581" s="11" t="s">
        <v>1762</v>
      </c>
      <c r="E581" s="11" t="s">
        <v>1762</v>
      </c>
      <c r="F581" s="11" t="s">
        <v>1762</v>
      </c>
    </row>
    <row r="582" ht="15.75" customHeight="1">
      <c r="D582" s="11" t="s">
        <v>1762</v>
      </c>
      <c r="E582" s="11" t="s">
        <v>1762</v>
      </c>
      <c r="F582" s="11" t="s">
        <v>1762</v>
      </c>
    </row>
    <row r="583" ht="15.75" customHeight="1">
      <c r="D583" s="11" t="s">
        <v>1762</v>
      </c>
      <c r="E583" s="11" t="s">
        <v>1762</v>
      </c>
      <c r="F583" s="11" t="s">
        <v>1762</v>
      </c>
    </row>
    <row r="584" ht="15.75" customHeight="1">
      <c r="D584" s="11" t="s">
        <v>1762</v>
      </c>
      <c r="E584" s="11" t="s">
        <v>1762</v>
      </c>
      <c r="F584" s="11" t="s">
        <v>1762</v>
      </c>
    </row>
    <row r="585" ht="15.75" customHeight="1">
      <c r="D585" s="11" t="s">
        <v>1762</v>
      </c>
      <c r="E585" s="11" t="s">
        <v>1762</v>
      </c>
      <c r="F585" s="11" t="s">
        <v>1762</v>
      </c>
    </row>
    <row r="586" ht="15.75" customHeight="1">
      <c r="D586" s="11" t="s">
        <v>1762</v>
      </c>
      <c r="E586" s="11" t="s">
        <v>1762</v>
      </c>
      <c r="F586" s="11" t="s">
        <v>1762</v>
      </c>
    </row>
    <row r="587" ht="15.75" customHeight="1">
      <c r="D587" s="11" t="s">
        <v>1762</v>
      </c>
      <c r="E587" s="11" t="s">
        <v>1762</v>
      </c>
      <c r="F587" s="11" t="s">
        <v>1762</v>
      </c>
    </row>
    <row r="588" ht="15.75" customHeight="1">
      <c r="D588" s="11" t="s">
        <v>1762</v>
      </c>
      <c r="E588" s="11" t="s">
        <v>1762</v>
      </c>
      <c r="F588" s="11" t="s">
        <v>1762</v>
      </c>
    </row>
    <row r="589" ht="15.75" customHeight="1">
      <c r="D589" s="11" t="s">
        <v>1762</v>
      </c>
      <c r="E589" s="11" t="s">
        <v>1762</v>
      </c>
      <c r="F589" s="11" t="s">
        <v>1762</v>
      </c>
    </row>
    <row r="590" ht="15.75" customHeight="1">
      <c r="D590" s="11" t="s">
        <v>1762</v>
      </c>
      <c r="E590" s="11" t="s">
        <v>1762</v>
      </c>
      <c r="F590" s="11" t="s">
        <v>1762</v>
      </c>
    </row>
    <row r="591" ht="15.75" customHeight="1">
      <c r="D591" s="11" t="s">
        <v>1762</v>
      </c>
      <c r="E591" s="11" t="s">
        <v>1762</v>
      </c>
      <c r="F591" s="11" t="s">
        <v>1762</v>
      </c>
    </row>
    <row r="592" ht="15.75" customHeight="1">
      <c r="D592" s="11" t="s">
        <v>1762</v>
      </c>
      <c r="E592" s="11" t="s">
        <v>1762</v>
      </c>
      <c r="F592" s="11" t="s">
        <v>1762</v>
      </c>
    </row>
    <row r="593" ht="15.75" customHeight="1">
      <c r="D593" s="11" t="s">
        <v>1762</v>
      </c>
      <c r="E593" s="11" t="s">
        <v>1762</v>
      </c>
      <c r="F593" s="11" t="s">
        <v>1762</v>
      </c>
    </row>
    <row r="594" ht="15.75" customHeight="1">
      <c r="D594" s="11" t="s">
        <v>1762</v>
      </c>
      <c r="E594" s="11" t="s">
        <v>1762</v>
      </c>
      <c r="F594" s="11" t="s">
        <v>1762</v>
      </c>
    </row>
    <row r="595" ht="15.75" customHeight="1">
      <c r="D595" s="11" t="s">
        <v>1762</v>
      </c>
      <c r="E595" s="11" t="s">
        <v>1762</v>
      </c>
      <c r="F595" s="11" t="s">
        <v>1762</v>
      </c>
    </row>
    <row r="596" ht="15.75" customHeight="1">
      <c r="D596" s="11" t="s">
        <v>1762</v>
      </c>
      <c r="E596" s="11" t="s">
        <v>1762</v>
      </c>
      <c r="F596" s="11" t="s">
        <v>1762</v>
      </c>
    </row>
    <row r="597" ht="15.75" customHeight="1">
      <c r="D597" s="11" t="s">
        <v>1762</v>
      </c>
      <c r="E597" s="11" t="s">
        <v>1762</v>
      </c>
      <c r="F597" s="11" t="s">
        <v>1762</v>
      </c>
    </row>
    <row r="598" ht="15.75" customHeight="1">
      <c r="D598" s="11" t="s">
        <v>1762</v>
      </c>
      <c r="E598" s="11" t="s">
        <v>1762</v>
      </c>
      <c r="F598" s="11" t="s">
        <v>1762</v>
      </c>
    </row>
    <row r="599" ht="15.75" customHeight="1">
      <c r="D599" s="11" t="s">
        <v>1762</v>
      </c>
      <c r="E599" s="11" t="s">
        <v>1762</v>
      </c>
      <c r="F599" s="11" t="s">
        <v>1762</v>
      </c>
    </row>
    <row r="600" ht="15.75" customHeight="1">
      <c r="D600" s="11" t="s">
        <v>1762</v>
      </c>
      <c r="E600" s="11" t="s">
        <v>1762</v>
      </c>
      <c r="F600" s="11" t="s">
        <v>1762</v>
      </c>
    </row>
    <row r="601" ht="15.75" customHeight="1">
      <c r="D601" s="11" t="s">
        <v>1762</v>
      </c>
      <c r="E601" s="11" t="s">
        <v>1762</v>
      </c>
      <c r="F601" s="11" t="s">
        <v>1762</v>
      </c>
    </row>
    <row r="602" ht="15.75" customHeight="1">
      <c r="D602" s="11" t="s">
        <v>1762</v>
      </c>
      <c r="E602" s="11" t="s">
        <v>1762</v>
      </c>
      <c r="F602" s="11" t="s">
        <v>1762</v>
      </c>
    </row>
    <row r="603" ht="15.75" customHeight="1">
      <c r="D603" s="11" t="s">
        <v>1762</v>
      </c>
      <c r="E603" s="11" t="s">
        <v>1762</v>
      </c>
      <c r="F603" s="11" t="s">
        <v>1762</v>
      </c>
    </row>
    <row r="604" ht="15.75" customHeight="1">
      <c r="D604" s="11" t="s">
        <v>1762</v>
      </c>
      <c r="E604" s="11" t="s">
        <v>1762</v>
      </c>
      <c r="F604" s="11" t="s">
        <v>1762</v>
      </c>
    </row>
    <row r="605" ht="15.75" customHeight="1">
      <c r="D605" s="11" t="s">
        <v>1762</v>
      </c>
      <c r="E605" s="11" t="s">
        <v>1762</v>
      </c>
      <c r="F605" s="11" t="s">
        <v>1762</v>
      </c>
    </row>
    <row r="606" ht="15.75" customHeight="1">
      <c r="D606" s="11" t="s">
        <v>1762</v>
      </c>
      <c r="E606" s="11" t="s">
        <v>1762</v>
      </c>
      <c r="F606" s="11" t="s">
        <v>1762</v>
      </c>
    </row>
    <row r="607" ht="15.75" customHeight="1">
      <c r="D607" s="11" t="s">
        <v>1762</v>
      </c>
      <c r="E607" s="11" t="s">
        <v>1762</v>
      </c>
      <c r="F607" s="11" t="s">
        <v>1762</v>
      </c>
    </row>
    <row r="608" ht="15.75" customHeight="1">
      <c r="D608" s="11" t="s">
        <v>1762</v>
      </c>
      <c r="E608" s="11" t="s">
        <v>1762</v>
      </c>
      <c r="F608" s="11" t="s">
        <v>1762</v>
      </c>
    </row>
    <row r="609" ht="15.75" customHeight="1">
      <c r="D609" s="11" t="s">
        <v>1762</v>
      </c>
      <c r="E609" s="11" t="s">
        <v>1762</v>
      </c>
      <c r="F609" s="11" t="s">
        <v>1762</v>
      </c>
    </row>
    <row r="610" ht="15.75" customHeight="1">
      <c r="D610" s="11" t="s">
        <v>1762</v>
      </c>
      <c r="E610" s="11" t="s">
        <v>1762</v>
      </c>
      <c r="F610" s="11" t="s">
        <v>1762</v>
      </c>
    </row>
    <row r="611" ht="15.75" customHeight="1">
      <c r="D611" s="11" t="s">
        <v>1762</v>
      </c>
      <c r="E611" s="11" t="s">
        <v>1762</v>
      </c>
      <c r="F611" s="11" t="s">
        <v>1762</v>
      </c>
    </row>
    <row r="612" ht="15.75" customHeight="1">
      <c r="D612" s="11" t="s">
        <v>1762</v>
      </c>
      <c r="E612" s="11" t="s">
        <v>1762</v>
      </c>
      <c r="F612" s="11" t="s">
        <v>1762</v>
      </c>
    </row>
    <row r="613" ht="15.75" customHeight="1">
      <c r="D613" s="11" t="s">
        <v>1762</v>
      </c>
      <c r="E613" s="11" t="s">
        <v>1762</v>
      </c>
      <c r="F613" s="11" t="s">
        <v>1762</v>
      </c>
    </row>
    <row r="614" ht="15.75" customHeight="1">
      <c r="D614" s="11" t="s">
        <v>1762</v>
      </c>
      <c r="E614" s="11" t="s">
        <v>1762</v>
      </c>
      <c r="F614" s="11" t="s">
        <v>1762</v>
      </c>
    </row>
    <row r="615" ht="15.75" customHeight="1">
      <c r="D615" s="11" t="s">
        <v>1762</v>
      </c>
      <c r="E615" s="11" t="s">
        <v>1762</v>
      </c>
      <c r="F615" s="11" t="s">
        <v>1762</v>
      </c>
    </row>
    <row r="616" ht="15.75" customHeight="1">
      <c r="D616" s="11" t="s">
        <v>1762</v>
      </c>
      <c r="E616" s="11" t="s">
        <v>1762</v>
      </c>
      <c r="F616" s="11" t="s">
        <v>1762</v>
      </c>
    </row>
    <row r="617" ht="15.75" customHeight="1">
      <c r="D617" s="11" t="s">
        <v>1762</v>
      </c>
      <c r="E617" s="11" t="s">
        <v>1762</v>
      </c>
      <c r="F617" s="11" t="s">
        <v>1762</v>
      </c>
    </row>
    <row r="618" ht="15.75" customHeight="1">
      <c r="D618" s="11" t="s">
        <v>1762</v>
      </c>
      <c r="E618" s="11" t="s">
        <v>1762</v>
      </c>
      <c r="F618" s="11" t="s">
        <v>1762</v>
      </c>
    </row>
    <row r="619" ht="15.75" customHeight="1">
      <c r="D619" s="11" t="s">
        <v>1762</v>
      </c>
      <c r="E619" s="11" t="s">
        <v>1762</v>
      </c>
      <c r="F619" s="11" t="s">
        <v>1762</v>
      </c>
    </row>
    <row r="620" ht="15.75" customHeight="1">
      <c r="D620" s="11" t="s">
        <v>1762</v>
      </c>
      <c r="E620" s="11" t="s">
        <v>1762</v>
      </c>
      <c r="F620" s="11" t="s">
        <v>1762</v>
      </c>
    </row>
    <row r="621" ht="15.75" customHeight="1">
      <c r="D621" s="11" t="s">
        <v>1762</v>
      </c>
      <c r="E621" s="11" t="s">
        <v>1762</v>
      </c>
      <c r="F621" s="11" t="s">
        <v>1762</v>
      </c>
    </row>
    <row r="622" ht="15.75" customHeight="1">
      <c r="D622" s="11" t="s">
        <v>1762</v>
      </c>
      <c r="E622" s="11" t="s">
        <v>1762</v>
      </c>
      <c r="F622" s="11" t="s">
        <v>1762</v>
      </c>
    </row>
    <row r="623" ht="15.75" customHeight="1">
      <c r="D623" s="11" t="s">
        <v>1762</v>
      </c>
      <c r="E623" s="11" t="s">
        <v>1762</v>
      </c>
      <c r="F623" s="11" t="s">
        <v>1762</v>
      </c>
    </row>
    <row r="624" ht="15.75" customHeight="1">
      <c r="D624" s="11" t="s">
        <v>1762</v>
      </c>
      <c r="E624" s="11" t="s">
        <v>1762</v>
      </c>
      <c r="F624" s="11" t="s">
        <v>1762</v>
      </c>
    </row>
    <row r="625" ht="15.75" customHeight="1">
      <c r="D625" s="11" t="s">
        <v>1762</v>
      </c>
      <c r="E625" s="11" t="s">
        <v>1762</v>
      </c>
      <c r="F625" s="11" t="s">
        <v>1762</v>
      </c>
    </row>
    <row r="626" ht="15.75" customHeight="1">
      <c r="D626" s="11" t="s">
        <v>1762</v>
      </c>
      <c r="E626" s="11" t="s">
        <v>1762</v>
      </c>
      <c r="F626" s="11" t="s">
        <v>1762</v>
      </c>
    </row>
    <row r="627" ht="15.75" customHeight="1">
      <c r="D627" s="11" t="s">
        <v>1762</v>
      </c>
      <c r="E627" s="11" t="s">
        <v>1762</v>
      </c>
      <c r="F627" s="11" t="s">
        <v>1762</v>
      </c>
    </row>
    <row r="628" ht="15.75" customHeight="1">
      <c r="D628" s="11" t="s">
        <v>1762</v>
      </c>
      <c r="E628" s="11" t="s">
        <v>1762</v>
      </c>
      <c r="F628" s="11" t="s">
        <v>1762</v>
      </c>
    </row>
    <row r="629" ht="15.75" customHeight="1">
      <c r="D629" s="11" t="s">
        <v>1762</v>
      </c>
      <c r="E629" s="11" t="s">
        <v>1762</v>
      </c>
      <c r="F629" s="11" t="s">
        <v>1762</v>
      </c>
    </row>
    <row r="630" ht="15.75" customHeight="1">
      <c r="D630" s="11" t="s">
        <v>1762</v>
      </c>
      <c r="E630" s="11" t="s">
        <v>1762</v>
      </c>
      <c r="F630" s="11" t="s">
        <v>1762</v>
      </c>
    </row>
    <row r="631" ht="15.75" customHeight="1">
      <c r="D631" s="11" t="s">
        <v>1762</v>
      </c>
      <c r="E631" s="11" t="s">
        <v>1762</v>
      </c>
      <c r="F631" s="11" t="s">
        <v>1762</v>
      </c>
    </row>
    <row r="632" ht="15.75" customHeight="1">
      <c r="D632" s="11" t="s">
        <v>1762</v>
      </c>
      <c r="E632" s="11" t="s">
        <v>1762</v>
      </c>
      <c r="F632" s="11" t="s">
        <v>1762</v>
      </c>
    </row>
    <row r="633" ht="15.75" customHeight="1">
      <c r="D633" s="11" t="s">
        <v>1762</v>
      </c>
      <c r="E633" s="11" t="s">
        <v>1762</v>
      </c>
      <c r="F633" s="11" t="s">
        <v>1762</v>
      </c>
    </row>
    <row r="634" ht="15.75" customHeight="1">
      <c r="D634" s="11" t="s">
        <v>1762</v>
      </c>
      <c r="E634" s="11" t="s">
        <v>1762</v>
      </c>
      <c r="F634" s="11" t="s">
        <v>1762</v>
      </c>
    </row>
    <row r="635" ht="15.75" customHeight="1">
      <c r="D635" s="11" t="s">
        <v>1762</v>
      </c>
      <c r="E635" s="11" t="s">
        <v>1762</v>
      </c>
      <c r="F635" s="11" t="s">
        <v>1762</v>
      </c>
    </row>
    <row r="636" ht="15.75" customHeight="1">
      <c r="D636" s="11" t="s">
        <v>1762</v>
      </c>
      <c r="E636" s="11" t="s">
        <v>1762</v>
      </c>
      <c r="F636" s="11" t="s">
        <v>1762</v>
      </c>
    </row>
    <row r="637" ht="15.75" customHeight="1">
      <c r="D637" s="11" t="s">
        <v>1762</v>
      </c>
      <c r="E637" s="11" t="s">
        <v>1762</v>
      </c>
      <c r="F637" s="11" t="s">
        <v>1762</v>
      </c>
    </row>
    <row r="638" ht="15.75" customHeight="1">
      <c r="D638" s="11" t="s">
        <v>1762</v>
      </c>
      <c r="E638" s="11" t="s">
        <v>1762</v>
      </c>
      <c r="F638" s="11" t="s">
        <v>1762</v>
      </c>
    </row>
    <row r="639" ht="15.75" customHeight="1">
      <c r="D639" s="11" t="s">
        <v>1762</v>
      </c>
      <c r="E639" s="11" t="s">
        <v>1762</v>
      </c>
      <c r="F639" s="11" t="s">
        <v>1762</v>
      </c>
    </row>
    <row r="640" ht="15.75" customHeight="1">
      <c r="D640" s="11" t="s">
        <v>1762</v>
      </c>
      <c r="E640" s="11" t="s">
        <v>1762</v>
      </c>
      <c r="F640" s="11" t="s">
        <v>1762</v>
      </c>
    </row>
    <row r="641" ht="15.75" customHeight="1">
      <c r="D641" s="11" t="s">
        <v>1762</v>
      </c>
      <c r="E641" s="11" t="s">
        <v>1762</v>
      </c>
      <c r="F641" s="11" t="s">
        <v>1762</v>
      </c>
    </row>
    <row r="642" ht="15.75" customHeight="1">
      <c r="D642" s="11" t="s">
        <v>1762</v>
      </c>
      <c r="E642" s="11" t="s">
        <v>1762</v>
      </c>
      <c r="F642" s="11" t="s">
        <v>1762</v>
      </c>
    </row>
    <row r="643" ht="15.75" customHeight="1">
      <c r="D643" s="11" t="s">
        <v>1762</v>
      </c>
      <c r="E643" s="11" t="s">
        <v>1762</v>
      </c>
      <c r="F643" s="11" t="s">
        <v>1762</v>
      </c>
    </row>
    <row r="644" ht="15.75" customHeight="1">
      <c r="D644" s="11" t="s">
        <v>1762</v>
      </c>
      <c r="E644" s="11" t="s">
        <v>1762</v>
      </c>
      <c r="F644" s="11" t="s">
        <v>1762</v>
      </c>
    </row>
    <row r="645" ht="15.75" customHeight="1">
      <c r="D645" s="11" t="s">
        <v>1762</v>
      </c>
      <c r="E645" s="11" t="s">
        <v>1762</v>
      </c>
      <c r="F645" s="11" t="s">
        <v>1762</v>
      </c>
    </row>
    <row r="646" ht="15.75" customHeight="1">
      <c r="D646" s="11" t="s">
        <v>1762</v>
      </c>
      <c r="E646" s="11" t="s">
        <v>1762</v>
      </c>
      <c r="F646" s="11" t="s">
        <v>1762</v>
      </c>
    </row>
    <row r="647" ht="15.75" customHeight="1">
      <c r="D647" s="11" t="s">
        <v>1762</v>
      </c>
      <c r="E647" s="11" t="s">
        <v>1762</v>
      </c>
      <c r="F647" s="11" t="s">
        <v>1762</v>
      </c>
    </row>
    <row r="648" ht="15.75" customHeight="1">
      <c r="D648" s="11" t="s">
        <v>1762</v>
      </c>
      <c r="E648" s="11" t="s">
        <v>1762</v>
      </c>
      <c r="F648" s="11" t="s">
        <v>1762</v>
      </c>
    </row>
    <row r="649" ht="15.75" customHeight="1">
      <c r="D649" s="11" t="s">
        <v>1762</v>
      </c>
      <c r="E649" s="11" t="s">
        <v>1762</v>
      </c>
      <c r="F649" s="11" t="s">
        <v>1762</v>
      </c>
    </row>
    <row r="650" ht="15.75" customHeight="1">
      <c r="D650" s="11" t="s">
        <v>1762</v>
      </c>
      <c r="E650" s="11" t="s">
        <v>1762</v>
      </c>
      <c r="F650" s="11" t="s">
        <v>1762</v>
      </c>
    </row>
    <row r="651" ht="15.75" customHeight="1">
      <c r="D651" s="11" t="s">
        <v>1762</v>
      </c>
      <c r="E651" s="11" t="s">
        <v>1762</v>
      </c>
      <c r="F651" s="11" t="s">
        <v>1762</v>
      </c>
    </row>
    <row r="652" ht="15.75" customHeight="1">
      <c r="D652" s="11" t="s">
        <v>1762</v>
      </c>
      <c r="E652" s="11" t="s">
        <v>1762</v>
      </c>
      <c r="F652" s="11" t="s">
        <v>1762</v>
      </c>
    </row>
    <row r="653" ht="15.75" customHeight="1">
      <c r="D653" s="11" t="s">
        <v>1762</v>
      </c>
      <c r="E653" s="11" t="s">
        <v>1762</v>
      </c>
      <c r="F653" s="11" t="s">
        <v>1762</v>
      </c>
    </row>
    <row r="654" ht="15.75" customHeight="1">
      <c r="D654" s="11" t="s">
        <v>1762</v>
      </c>
      <c r="E654" s="11" t="s">
        <v>1762</v>
      </c>
      <c r="F654" s="11" t="s">
        <v>1762</v>
      </c>
    </row>
    <row r="655" ht="15.75" customHeight="1">
      <c r="D655" s="11" t="s">
        <v>1762</v>
      </c>
      <c r="E655" s="11" t="s">
        <v>1762</v>
      </c>
      <c r="F655" s="11" t="s">
        <v>1762</v>
      </c>
    </row>
    <row r="656" ht="15.75" customHeight="1">
      <c r="D656" s="11" t="s">
        <v>1762</v>
      </c>
      <c r="E656" s="11" t="s">
        <v>1762</v>
      </c>
      <c r="F656" s="11" t="s">
        <v>1762</v>
      </c>
    </row>
    <row r="657" ht="15.75" customHeight="1">
      <c r="D657" s="11" t="s">
        <v>1762</v>
      </c>
      <c r="E657" s="11" t="s">
        <v>1762</v>
      </c>
      <c r="F657" s="11" t="s">
        <v>1762</v>
      </c>
    </row>
    <row r="658" ht="15.75" customHeight="1">
      <c r="D658" s="11" t="s">
        <v>1762</v>
      </c>
      <c r="E658" s="11" t="s">
        <v>1762</v>
      </c>
      <c r="F658" s="11" t="s">
        <v>1762</v>
      </c>
    </row>
    <row r="659" ht="15.75" customHeight="1">
      <c r="D659" s="11" t="s">
        <v>1762</v>
      </c>
      <c r="E659" s="11" t="s">
        <v>1762</v>
      </c>
      <c r="F659" s="11" t="s">
        <v>1762</v>
      </c>
    </row>
    <row r="660" ht="15.75" customHeight="1">
      <c r="D660" s="11" t="s">
        <v>1762</v>
      </c>
      <c r="E660" s="11" t="s">
        <v>1762</v>
      </c>
      <c r="F660" s="11" t="s">
        <v>1762</v>
      </c>
    </row>
    <row r="661" ht="15.75" customHeight="1">
      <c r="D661" s="11" t="s">
        <v>1762</v>
      </c>
      <c r="E661" s="11" t="s">
        <v>1762</v>
      </c>
      <c r="F661" s="11" t="s">
        <v>1762</v>
      </c>
    </row>
    <row r="662" ht="15.75" customHeight="1">
      <c r="D662" s="11" t="s">
        <v>1762</v>
      </c>
      <c r="E662" s="11" t="s">
        <v>1762</v>
      </c>
      <c r="F662" s="11" t="s">
        <v>1762</v>
      </c>
    </row>
    <row r="663" ht="15.75" customHeight="1">
      <c r="D663" s="11" t="s">
        <v>1762</v>
      </c>
      <c r="E663" s="11" t="s">
        <v>1762</v>
      </c>
      <c r="F663" s="11" t="s">
        <v>1762</v>
      </c>
    </row>
    <row r="664" ht="15.75" customHeight="1">
      <c r="D664" s="11" t="s">
        <v>1762</v>
      </c>
      <c r="E664" s="11" t="s">
        <v>1762</v>
      </c>
      <c r="F664" s="11" t="s">
        <v>1762</v>
      </c>
    </row>
    <row r="665" ht="15.75" customHeight="1">
      <c r="D665" s="11" t="s">
        <v>1762</v>
      </c>
      <c r="E665" s="11" t="s">
        <v>1762</v>
      </c>
      <c r="F665" s="11" t="s">
        <v>1762</v>
      </c>
    </row>
    <row r="666" ht="15.75" customHeight="1">
      <c r="D666" s="11" t="s">
        <v>1762</v>
      </c>
      <c r="E666" s="11" t="s">
        <v>1762</v>
      </c>
      <c r="F666" s="11" t="s">
        <v>1762</v>
      </c>
    </row>
    <row r="667" ht="15.75" customHeight="1">
      <c r="D667" s="11" t="s">
        <v>1762</v>
      </c>
      <c r="E667" s="11" t="s">
        <v>1762</v>
      </c>
      <c r="F667" s="11" t="s">
        <v>1762</v>
      </c>
    </row>
    <row r="668" ht="15.75" customHeight="1">
      <c r="D668" s="11" t="s">
        <v>1762</v>
      </c>
      <c r="E668" s="11" t="s">
        <v>1762</v>
      </c>
      <c r="F668" s="11" t="s">
        <v>1762</v>
      </c>
    </row>
    <row r="669" ht="15.75" customHeight="1">
      <c r="D669" s="11" t="s">
        <v>1762</v>
      </c>
      <c r="E669" s="11" t="s">
        <v>1762</v>
      </c>
      <c r="F669" s="11" t="s">
        <v>1762</v>
      </c>
    </row>
    <row r="670" ht="15.75" customHeight="1">
      <c r="D670" s="11" t="s">
        <v>1762</v>
      </c>
      <c r="E670" s="11" t="s">
        <v>1762</v>
      </c>
      <c r="F670" s="11" t="s">
        <v>1762</v>
      </c>
    </row>
    <row r="671" ht="15.75" customHeight="1">
      <c r="D671" s="11" t="s">
        <v>1762</v>
      </c>
      <c r="E671" s="11" t="s">
        <v>1762</v>
      </c>
      <c r="F671" s="11" t="s">
        <v>1762</v>
      </c>
    </row>
    <row r="672" ht="15.75" customHeight="1">
      <c r="D672" s="11" t="s">
        <v>1762</v>
      </c>
      <c r="E672" s="11" t="s">
        <v>1762</v>
      </c>
      <c r="F672" s="11" t="s">
        <v>1762</v>
      </c>
    </row>
    <row r="673" ht="15.75" customHeight="1">
      <c r="D673" s="11" t="s">
        <v>1762</v>
      </c>
      <c r="E673" s="11" t="s">
        <v>1762</v>
      </c>
      <c r="F673" s="11" t="s">
        <v>1762</v>
      </c>
    </row>
    <row r="674" ht="15.75" customHeight="1">
      <c r="D674" s="11" t="s">
        <v>1762</v>
      </c>
      <c r="E674" s="11" t="s">
        <v>1762</v>
      </c>
      <c r="F674" s="11" t="s">
        <v>1762</v>
      </c>
    </row>
    <row r="675" ht="15.75" customHeight="1">
      <c r="D675" s="11" t="s">
        <v>1762</v>
      </c>
      <c r="E675" s="11" t="s">
        <v>1762</v>
      </c>
      <c r="F675" s="11" t="s">
        <v>1762</v>
      </c>
    </row>
    <row r="676" ht="15.75" customHeight="1">
      <c r="D676" s="11" t="s">
        <v>1762</v>
      </c>
      <c r="E676" s="11" t="s">
        <v>1762</v>
      </c>
      <c r="F676" s="11" t="s">
        <v>1762</v>
      </c>
    </row>
    <row r="677" ht="15.75" customHeight="1">
      <c r="D677" s="11" t="s">
        <v>1762</v>
      </c>
      <c r="E677" s="11" t="s">
        <v>1762</v>
      </c>
      <c r="F677" s="11" t="s">
        <v>1762</v>
      </c>
    </row>
    <row r="678" ht="15.75" customHeight="1">
      <c r="D678" s="11" t="s">
        <v>1762</v>
      </c>
      <c r="E678" s="11" t="s">
        <v>1762</v>
      </c>
      <c r="F678" s="11" t="s">
        <v>1762</v>
      </c>
    </row>
    <row r="679" ht="15.75" customHeight="1">
      <c r="D679" s="11" t="s">
        <v>1762</v>
      </c>
      <c r="E679" s="11" t="s">
        <v>1762</v>
      </c>
      <c r="F679" s="11" t="s">
        <v>1762</v>
      </c>
    </row>
    <row r="680" ht="15.75" customHeight="1">
      <c r="D680" s="11" t="s">
        <v>1762</v>
      </c>
      <c r="E680" s="11" t="s">
        <v>1762</v>
      </c>
      <c r="F680" s="11" t="s">
        <v>1762</v>
      </c>
    </row>
    <row r="681" ht="15.75" customHeight="1">
      <c r="D681" s="11" t="s">
        <v>1762</v>
      </c>
      <c r="E681" s="11" t="s">
        <v>1762</v>
      </c>
      <c r="F681" s="11" t="s">
        <v>1762</v>
      </c>
    </row>
    <row r="682" ht="15.75" customHeight="1">
      <c r="D682" s="11" t="s">
        <v>1762</v>
      </c>
      <c r="E682" s="11" t="s">
        <v>1762</v>
      </c>
      <c r="F682" s="11" t="s">
        <v>1762</v>
      </c>
    </row>
    <row r="683" ht="15.75" customHeight="1">
      <c r="D683" s="11" t="s">
        <v>1762</v>
      </c>
      <c r="E683" s="11" t="s">
        <v>1762</v>
      </c>
      <c r="F683" s="11" t="s">
        <v>1762</v>
      </c>
    </row>
    <row r="684" ht="15.75" customHeight="1">
      <c r="D684" s="11" t="s">
        <v>1762</v>
      </c>
      <c r="E684" s="11" t="s">
        <v>1762</v>
      </c>
      <c r="F684" s="11" t="s">
        <v>1762</v>
      </c>
    </row>
    <row r="685" ht="15.75" customHeight="1">
      <c r="D685" s="11" t="s">
        <v>1762</v>
      </c>
      <c r="E685" s="11" t="s">
        <v>1762</v>
      </c>
      <c r="F685" s="11" t="s">
        <v>1762</v>
      </c>
    </row>
    <row r="686" ht="15.75" customHeight="1">
      <c r="D686" s="11" t="s">
        <v>1762</v>
      </c>
      <c r="E686" s="11" t="s">
        <v>1762</v>
      </c>
      <c r="F686" s="11" t="s">
        <v>1762</v>
      </c>
    </row>
    <row r="687" ht="15.75" customHeight="1">
      <c r="D687" s="11" t="s">
        <v>1762</v>
      </c>
      <c r="E687" s="11" t="s">
        <v>1762</v>
      </c>
      <c r="F687" s="11" t="s">
        <v>1762</v>
      </c>
    </row>
    <row r="688" ht="15.75" customHeight="1">
      <c r="D688" s="11" t="s">
        <v>1762</v>
      </c>
      <c r="E688" s="11" t="s">
        <v>1762</v>
      </c>
      <c r="F688" s="11" t="s">
        <v>1762</v>
      </c>
    </row>
    <row r="689" ht="15.75" customHeight="1">
      <c r="D689" s="11" t="s">
        <v>1762</v>
      </c>
      <c r="E689" s="11" t="s">
        <v>1762</v>
      </c>
      <c r="F689" s="11" t="s">
        <v>1762</v>
      </c>
    </row>
    <row r="690" ht="15.75" customHeight="1">
      <c r="D690" s="11" t="s">
        <v>1762</v>
      </c>
      <c r="E690" s="11" t="s">
        <v>1762</v>
      </c>
      <c r="F690" s="11" t="s">
        <v>1762</v>
      </c>
    </row>
    <row r="691" ht="15.75" customHeight="1">
      <c r="D691" s="11" t="s">
        <v>1762</v>
      </c>
      <c r="E691" s="11" t="s">
        <v>1762</v>
      </c>
      <c r="F691" s="11" t="s">
        <v>1762</v>
      </c>
    </row>
    <row r="692" ht="15.75" customHeight="1">
      <c r="D692" s="11" t="s">
        <v>1762</v>
      </c>
      <c r="E692" s="11" t="s">
        <v>1762</v>
      </c>
      <c r="F692" s="11" t="s">
        <v>1762</v>
      </c>
    </row>
    <row r="693" ht="15.75" customHeight="1">
      <c r="D693" s="11" t="s">
        <v>1762</v>
      </c>
      <c r="E693" s="11" t="s">
        <v>1762</v>
      </c>
      <c r="F693" s="11" t="s">
        <v>1762</v>
      </c>
    </row>
    <row r="694" ht="15.75" customHeight="1">
      <c r="D694" s="11" t="s">
        <v>1762</v>
      </c>
      <c r="E694" s="11" t="s">
        <v>1762</v>
      </c>
      <c r="F694" s="11" t="s">
        <v>1762</v>
      </c>
    </row>
    <row r="695" ht="15.75" customHeight="1">
      <c r="D695" s="11" t="s">
        <v>1762</v>
      </c>
      <c r="E695" s="11" t="s">
        <v>1762</v>
      </c>
      <c r="F695" s="11" t="s">
        <v>1762</v>
      </c>
    </row>
    <row r="696" ht="15.75" customHeight="1">
      <c r="D696" s="11" t="s">
        <v>1762</v>
      </c>
      <c r="E696" s="11" t="s">
        <v>1762</v>
      </c>
      <c r="F696" s="11" t="s">
        <v>1762</v>
      </c>
    </row>
    <row r="697" ht="15.75" customHeight="1">
      <c r="D697" s="11" t="s">
        <v>1762</v>
      </c>
      <c r="E697" s="11" t="s">
        <v>1762</v>
      </c>
      <c r="F697" s="11" t="s">
        <v>1762</v>
      </c>
    </row>
    <row r="698" ht="15.75" customHeight="1">
      <c r="D698" s="11" t="s">
        <v>1762</v>
      </c>
      <c r="E698" s="11" t="s">
        <v>1762</v>
      </c>
      <c r="F698" s="11" t="s">
        <v>1762</v>
      </c>
    </row>
    <row r="699" ht="15.75" customHeight="1">
      <c r="D699" s="11" t="s">
        <v>1762</v>
      </c>
      <c r="E699" s="11" t="s">
        <v>1762</v>
      </c>
      <c r="F699" s="11" t="s">
        <v>1762</v>
      </c>
    </row>
    <row r="700" ht="15.75" customHeight="1">
      <c r="D700" s="11" t="s">
        <v>1762</v>
      </c>
      <c r="E700" s="11" t="s">
        <v>1762</v>
      </c>
      <c r="F700" s="11" t="s">
        <v>1762</v>
      </c>
    </row>
    <row r="701" ht="15.75" customHeight="1">
      <c r="D701" s="11" t="s">
        <v>1762</v>
      </c>
      <c r="E701" s="11" t="s">
        <v>1762</v>
      </c>
      <c r="F701" s="11" t="s">
        <v>1762</v>
      </c>
    </row>
    <row r="702" ht="15.75" customHeight="1">
      <c r="D702" s="11" t="s">
        <v>1762</v>
      </c>
      <c r="E702" s="11" t="s">
        <v>1762</v>
      </c>
      <c r="F702" s="11" t="s">
        <v>1762</v>
      </c>
    </row>
    <row r="703" ht="15.75" customHeight="1">
      <c r="D703" s="11" t="s">
        <v>1762</v>
      </c>
      <c r="E703" s="11" t="s">
        <v>1762</v>
      </c>
      <c r="F703" s="11" t="s">
        <v>1762</v>
      </c>
    </row>
    <row r="704" ht="15.75" customHeight="1">
      <c r="D704" s="11" t="s">
        <v>1762</v>
      </c>
      <c r="E704" s="11" t="s">
        <v>1762</v>
      </c>
      <c r="F704" s="11" t="s">
        <v>1762</v>
      </c>
    </row>
    <row r="705" ht="15.75" customHeight="1">
      <c r="D705" s="11" t="s">
        <v>1762</v>
      </c>
      <c r="E705" s="11" t="s">
        <v>1762</v>
      </c>
      <c r="F705" s="11" t="s">
        <v>1762</v>
      </c>
    </row>
    <row r="706" ht="15.75" customHeight="1">
      <c r="D706" s="11" t="s">
        <v>1762</v>
      </c>
      <c r="E706" s="11" t="s">
        <v>1762</v>
      </c>
      <c r="F706" s="11" t="s">
        <v>1762</v>
      </c>
    </row>
    <row r="707" ht="15.75" customHeight="1">
      <c r="D707" s="11" t="s">
        <v>1762</v>
      </c>
      <c r="E707" s="11" t="s">
        <v>1762</v>
      </c>
      <c r="F707" s="11" t="s">
        <v>1762</v>
      </c>
    </row>
    <row r="708" ht="15.75" customHeight="1">
      <c r="D708" s="11" t="s">
        <v>1762</v>
      </c>
      <c r="E708" s="11" t="s">
        <v>1762</v>
      </c>
      <c r="F708" s="11" t="s">
        <v>1762</v>
      </c>
    </row>
    <row r="709" ht="15.75" customHeight="1">
      <c r="D709" s="11" t="s">
        <v>1762</v>
      </c>
      <c r="E709" s="11" t="s">
        <v>1762</v>
      </c>
      <c r="F709" s="11" t="s">
        <v>1762</v>
      </c>
    </row>
    <row r="710" ht="15.75" customHeight="1">
      <c r="D710" s="11" t="s">
        <v>1762</v>
      </c>
      <c r="E710" s="11" t="s">
        <v>1762</v>
      </c>
      <c r="F710" s="11" t="s">
        <v>1762</v>
      </c>
    </row>
    <row r="711" ht="15.75" customHeight="1">
      <c r="D711" s="11" t="s">
        <v>1762</v>
      </c>
      <c r="E711" s="11" t="s">
        <v>1762</v>
      </c>
      <c r="F711" s="11" t="s">
        <v>1762</v>
      </c>
    </row>
    <row r="712" ht="15.75" customHeight="1">
      <c r="D712" s="11" t="s">
        <v>1762</v>
      </c>
      <c r="E712" s="11" t="s">
        <v>1762</v>
      </c>
      <c r="F712" s="11" t="s">
        <v>1762</v>
      </c>
    </row>
    <row r="713" ht="15.75" customHeight="1">
      <c r="D713" s="11" t="s">
        <v>1762</v>
      </c>
      <c r="E713" s="11" t="s">
        <v>1762</v>
      </c>
      <c r="F713" s="11" t="s">
        <v>1762</v>
      </c>
    </row>
    <row r="714" ht="15.75" customHeight="1">
      <c r="D714" s="11" t="s">
        <v>1762</v>
      </c>
      <c r="E714" s="11" t="s">
        <v>1762</v>
      </c>
      <c r="F714" s="11" t="s">
        <v>1762</v>
      </c>
    </row>
    <row r="715" ht="15.75" customHeight="1">
      <c r="D715" s="11" t="s">
        <v>1762</v>
      </c>
      <c r="E715" s="11" t="s">
        <v>1762</v>
      </c>
      <c r="F715" s="11" t="s">
        <v>1762</v>
      </c>
    </row>
    <row r="716" ht="15.75" customHeight="1">
      <c r="D716" s="11" t="s">
        <v>1762</v>
      </c>
      <c r="E716" s="11" t="s">
        <v>1762</v>
      </c>
      <c r="F716" s="11" t="s">
        <v>1762</v>
      </c>
    </row>
    <row r="717" ht="15.75" customHeight="1">
      <c r="D717" s="11" t="s">
        <v>1762</v>
      </c>
      <c r="E717" s="11" t="s">
        <v>1762</v>
      </c>
      <c r="F717" s="11" t="s">
        <v>1762</v>
      </c>
    </row>
    <row r="718" ht="15.75" customHeight="1">
      <c r="D718" s="11" t="s">
        <v>1762</v>
      </c>
      <c r="E718" s="11" t="s">
        <v>1762</v>
      </c>
      <c r="F718" s="11" t="s">
        <v>1762</v>
      </c>
    </row>
    <row r="719" ht="15.75" customHeight="1">
      <c r="D719" s="11" t="s">
        <v>1762</v>
      </c>
      <c r="E719" s="11" t="s">
        <v>1762</v>
      </c>
      <c r="F719" s="11" t="s">
        <v>1762</v>
      </c>
    </row>
    <row r="720" ht="15.75" customHeight="1">
      <c r="D720" s="11" t="s">
        <v>1762</v>
      </c>
      <c r="E720" s="11" t="s">
        <v>1762</v>
      </c>
      <c r="F720" s="11" t="s">
        <v>1762</v>
      </c>
    </row>
    <row r="721" ht="15.75" customHeight="1">
      <c r="D721" s="11" t="s">
        <v>1762</v>
      </c>
      <c r="E721" s="11" t="s">
        <v>1762</v>
      </c>
      <c r="F721" s="11" t="s">
        <v>1762</v>
      </c>
    </row>
    <row r="722" ht="15.75" customHeight="1">
      <c r="D722" s="11" t="s">
        <v>1762</v>
      </c>
      <c r="E722" s="11" t="s">
        <v>1762</v>
      </c>
      <c r="F722" s="11" t="s">
        <v>1762</v>
      </c>
    </row>
    <row r="723" ht="15.75" customHeight="1">
      <c r="D723" s="11" t="s">
        <v>1762</v>
      </c>
      <c r="E723" s="11" t="s">
        <v>1762</v>
      </c>
      <c r="F723" s="11" t="s">
        <v>1762</v>
      </c>
    </row>
    <row r="724" ht="15.75" customHeight="1">
      <c r="D724" s="11" t="s">
        <v>1762</v>
      </c>
      <c r="E724" s="11" t="s">
        <v>1762</v>
      </c>
      <c r="F724" s="11" t="s">
        <v>1762</v>
      </c>
    </row>
    <row r="725" ht="15.75" customHeight="1">
      <c r="D725" s="11" t="s">
        <v>1762</v>
      </c>
      <c r="E725" s="11" t="s">
        <v>1762</v>
      </c>
      <c r="F725" s="11" t="s">
        <v>1762</v>
      </c>
    </row>
    <row r="726" ht="15.75" customHeight="1">
      <c r="D726" s="11" t="s">
        <v>1762</v>
      </c>
      <c r="E726" s="11" t="s">
        <v>1762</v>
      </c>
      <c r="F726" s="11" t="s">
        <v>1762</v>
      </c>
    </row>
    <row r="727" ht="15.75" customHeight="1">
      <c r="D727" s="11" t="s">
        <v>1762</v>
      </c>
      <c r="E727" s="11" t="s">
        <v>1762</v>
      </c>
      <c r="F727" s="11" t="s">
        <v>1762</v>
      </c>
    </row>
    <row r="728" ht="15.75" customHeight="1">
      <c r="D728" s="11" t="s">
        <v>1762</v>
      </c>
      <c r="E728" s="11" t="s">
        <v>1762</v>
      </c>
      <c r="F728" s="11" t="s">
        <v>1762</v>
      </c>
    </row>
    <row r="729" ht="15.75" customHeight="1">
      <c r="D729" s="11" t="s">
        <v>1762</v>
      </c>
      <c r="E729" s="11" t="s">
        <v>1762</v>
      </c>
      <c r="F729" s="11" t="s">
        <v>1762</v>
      </c>
    </row>
    <row r="730" ht="15.75" customHeight="1">
      <c r="D730" s="11" t="s">
        <v>1762</v>
      </c>
      <c r="E730" s="11" t="s">
        <v>1762</v>
      </c>
      <c r="F730" s="11" t="s">
        <v>1762</v>
      </c>
    </row>
    <row r="731" ht="15.75" customHeight="1">
      <c r="D731" s="11" t="s">
        <v>1762</v>
      </c>
      <c r="E731" s="11" t="s">
        <v>1762</v>
      </c>
      <c r="F731" s="11" t="s">
        <v>1762</v>
      </c>
    </row>
    <row r="732" ht="15.75" customHeight="1">
      <c r="D732" s="11" t="s">
        <v>1762</v>
      </c>
      <c r="E732" s="11" t="s">
        <v>1762</v>
      </c>
      <c r="F732" s="11" t="s">
        <v>1762</v>
      </c>
    </row>
    <row r="733" ht="15.75" customHeight="1">
      <c r="D733" s="11" t="s">
        <v>1762</v>
      </c>
      <c r="E733" s="11" t="s">
        <v>1762</v>
      </c>
      <c r="F733" s="11" t="s">
        <v>1762</v>
      </c>
    </row>
    <row r="734" ht="15.75" customHeight="1">
      <c r="D734" s="11" t="s">
        <v>1762</v>
      </c>
      <c r="E734" s="11" t="s">
        <v>1762</v>
      </c>
      <c r="F734" s="11" t="s">
        <v>1762</v>
      </c>
    </row>
    <row r="735" ht="15.75" customHeight="1">
      <c r="D735" s="11" t="s">
        <v>1762</v>
      </c>
      <c r="E735" s="11" t="s">
        <v>1762</v>
      </c>
      <c r="F735" s="11" t="s">
        <v>1762</v>
      </c>
    </row>
    <row r="736" ht="15.75" customHeight="1">
      <c r="D736" s="11" t="s">
        <v>1762</v>
      </c>
      <c r="E736" s="11" t="s">
        <v>1762</v>
      </c>
      <c r="F736" s="11" t="s">
        <v>1762</v>
      </c>
    </row>
    <row r="737" ht="15.75" customHeight="1">
      <c r="D737" s="11" t="s">
        <v>1762</v>
      </c>
      <c r="E737" s="11" t="s">
        <v>1762</v>
      </c>
      <c r="F737" s="11" t="s">
        <v>1762</v>
      </c>
    </row>
    <row r="738" ht="15.75" customHeight="1">
      <c r="D738" s="11" t="s">
        <v>1762</v>
      </c>
      <c r="E738" s="11" t="s">
        <v>1762</v>
      </c>
      <c r="F738" s="11" t="s">
        <v>1762</v>
      </c>
    </row>
    <row r="739" ht="15.75" customHeight="1">
      <c r="D739" s="11" t="s">
        <v>1762</v>
      </c>
      <c r="E739" s="11" t="s">
        <v>1762</v>
      </c>
      <c r="F739" s="11" t="s">
        <v>1762</v>
      </c>
    </row>
    <row r="740" ht="15.75" customHeight="1">
      <c r="D740" s="11" t="s">
        <v>1762</v>
      </c>
      <c r="E740" s="11" t="s">
        <v>1762</v>
      </c>
      <c r="F740" s="11" t="s">
        <v>1762</v>
      </c>
    </row>
    <row r="741" ht="15.75" customHeight="1">
      <c r="D741" s="11" t="s">
        <v>1762</v>
      </c>
      <c r="E741" s="11" t="s">
        <v>1762</v>
      </c>
      <c r="F741" s="11" t="s">
        <v>1762</v>
      </c>
    </row>
    <row r="742" ht="15.75" customHeight="1">
      <c r="D742" s="11" t="s">
        <v>1762</v>
      </c>
      <c r="E742" s="11" t="s">
        <v>1762</v>
      </c>
      <c r="F742" s="11" t="s">
        <v>1762</v>
      </c>
    </row>
    <row r="743" ht="15.75" customHeight="1">
      <c r="D743" s="11" t="s">
        <v>1762</v>
      </c>
      <c r="E743" s="11" t="s">
        <v>1762</v>
      </c>
      <c r="F743" s="11" t="s">
        <v>1762</v>
      </c>
    </row>
    <row r="744" ht="15.75" customHeight="1">
      <c r="D744" s="11" t="s">
        <v>1762</v>
      </c>
      <c r="E744" s="11" t="s">
        <v>1762</v>
      </c>
      <c r="F744" s="11" t="s">
        <v>1762</v>
      </c>
    </row>
    <row r="745" ht="15.75" customHeight="1">
      <c r="D745" s="11" t="s">
        <v>1762</v>
      </c>
      <c r="E745" s="11" t="s">
        <v>1762</v>
      </c>
      <c r="F745" s="11" t="s">
        <v>1762</v>
      </c>
    </row>
    <row r="746" ht="15.75" customHeight="1">
      <c r="D746" s="11" t="s">
        <v>1762</v>
      </c>
      <c r="E746" s="11" t="s">
        <v>1762</v>
      </c>
      <c r="F746" s="11" t="s">
        <v>1762</v>
      </c>
    </row>
    <row r="747" ht="15.75" customHeight="1">
      <c r="D747" s="11" t="s">
        <v>1762</v>
      </c>
      <c r="E747" s="11" t="s">
        <v>1762</v>
      </c>
      <c r="F747" s="11" t="s">
        <v>1762</v>
      </c>
    </row>
    <row r="748" ht="15.75" customHeight="1">
      <c r="D748" s="11" t="s">
        <v>1762</v>
      </c>
      <c r="E748" s="11" t="s">
        <v>1762</v>
      </c>
      <c r="F748" s="11" t="s">
        <v>1762</v>
      </c>
    </row>
    <row r="749" ht="15.75" customHeight="1">
      <c r="D749" s="11" t="s">
        <v>1762</v>
      </c>
      <c r="E749" s="11" t="s">
        <v>1762</v>
      </c>
      <c r="F749" s="11" t="s">
        <v>1762</v>
      </c>
    </row>
    <row r="750" ht="15.75" customHeight="1">
      <c r="D750" s="11" t="s">
        <v>1762</v>
      </c>
      <c r="E750" s="11" t="s">
        <v>1762</v>
      </c>
      <c r="F750" s="11" t="s">
        <v>1762</v>
      </c>
    </row>
    <row r="751" ht="15.75" customHeight="1">
      <c r="D751" s="11" t="s">
        <v>1762</v>
      </c>
      <c r="E751" s="11" t="s">
        <v>1762</v>
      </c>
      <c r="F751" s="11" t="s">
        <v>1762</v>
      </c>
    </row>
    <row r="752" ht="15.75" customHeight="1">
      <c r="D752" s="11" t="s">
        <v>1762</v>
      </c>
      <c r="E752" s="11" t="s">
        <v>1762</v>
      </c>
      <c r="F752" s="11" t="s">
        <v>1762</v>
      </c>
    </row>
    <row r="753" ht="15.75" customHeight="1">
      <c r="D753" s="11" t="s">
        <v>1762</v>
      </c>
      <c r="E753" s="11" t="s">
        <v>1762</v>
      </c>
      <c r="F753" s="11" t="s">
        <v>1762</v>
      </c>
    </row>
    <row r="754" ht="15.75" customHeight="1">
      <c r="D754" s="11" t="s">
        <v>1762</v>
      </c>
      <c r="E754" s="11" t="s">
        <v>1762</v>
      </c>
      <c r="F754" s="11" t="s">
        <v>1762</v>
      </c>
    </row>
    <row r="755" ht="15.75" customHeight="1">
      <c r="D755" s="11" t="s">
        <v>1762</v>
      </c>
      <c r="E755" s="11" t="s">
        <v>1762</v>
      </c>
      <c r="F755" s="11" t="s">
        <v>1762</v>
      </c>
    </row>
    <row r="756" ht="15.75" customHeight="1">
      <c r="D756" s="11" t="s">
        <v>1762</v>
      </c>
      <c r="E756" s="11" t="s">
        <v>1762</v>
      </c>
      <c r="F756" s="11" t="s">
        <v>1762</v>
      </c>
    </row>
    <row r="757" ht="15.75" customHeight="1">
      <c r="D757" s="11" t="s">
        <v>1762</v>
      </c>
      <c r="E757" s="11" t="s">
        <v>1762</v>
      </c>
      <c r="F757" s="11" t="s">
        <v>1762</v>
      </c>
    </row>
    <row r="758" ht="15.75" customHeight="1">
      <c r="D758" s="11" t="s">
        <v>1762</v>
      </c>
      <c r="E758" s="11" t="s">
        <v>1762</v>
      </c>
      <c r="F758" s="11" t="s">
        <v>1762</v>
      </c>
    </row>
    <row r="759" ht="15.75" customHeight="1">
      <c r="D759" s="11" t="s">
        <v>1762</v>
      </c>
      <c r="E759" s="11" t="s">
        <v>1762</v>
      </c>
      <c r="F759" s="11" t="s">
        <v>1762</v>
      </c>
    </row>
    <row r="760" ht="15.75" customHeight="1">
      <c r="D760" s="11" t="s">
        <v>1762</v>
      </c>
      <c r="E760" s="11" t="s">
        <v>1762</v>
      </c>
      <c r="F760" s="11" t="s">
        <v>1762</v>
      </c>
    </row>
    <row r="761" ht="15.75" customHeight="1">
      <c r="D761" s="11" t="s">
        <v>1762</v>
      </c>
      <c r="E761" s="11" t="s">
        <v>1762</v>
      </c>
      <c r="F761" s="11" t="s">
        <v>1762</v>
      </c>
    </row>
    <row r="762" ht="15.75" customHeight="1">
      <c r="D762" s="11" t="s">
        <v>1762</v>
      </c>
      <c r="E762" s="11" t="s">
        <v>1762</v>
      </c>
      <c r="F762" s="11" t="s">
        <v>1762</v>
      </c>
    </row>
    <row r="763" ht="15.75" customHeight="1">
      <c r="D763" s="11" t="s">
        <v>1762</v>
      </c>
      <c r="E763" s="11" t="s">
        <v>1762</v>
      </c>
      <c r="F763" s="11" t="s">
        <v>1762</v>
      </c>
    </row>
    <row r="764" ht="15.75" customHeight="1">
      <c r="D764" s="11" t="s">
        <v>1762</v>
      </c>
      <c r="E764" s="11" t="s">
        <v>1762</v>
      </c>
      <c r="F764" s="11" t="s">
        <v>1762</v>
      </c>
    </row>
    <row r="765" ht="15.75" customHeight="1">
      <c r="D765" s="11" t="s">
        <v>1762</v>
      </c>
      <c r="E765" s="11" t="s">
        <v>1762</v>
      </c>
      <c r="F765" s="11" t="s">
        <v>1762</v>
      </c>
    </row>
    <row r="766" ht="15.75" customHeight="1">
      <c r="D766" s="11" t="s">
        <v>1762</v>
      </c>
      <c r="E766" s="11" t="s">
        <v>1762</v>
      </c>
      <c r="F766" s="11" t="s">
        <v>1762</v>
      </c>
    </row>
    <row r="767" ht="15.75" customHeight="1">
      <c r="D767" s="11" t="s">
        <v>1762</v>
      </c>
      <c r="E767" s="11" t="s">
        <v>1762</v>
      </c>
      <c r="F767" s="11" t="s">
        <v>1762</v>
      </c>
    </row>
    <row r="768" ht="15.75" customHeight="1">
      <c r="D768" s="11" t="s">
        <v>1762</v>
      </c>
      <c r="E768" s="11" t="s">
        <v>1762</v>
      </c>
      <c r="F768" s="11" t="s">
        <v>1762</v>
      </c>
    </row>
    <row r="769" ht="15.75" customHeight="1">
      <c r="D769" s="11" t="s">
        <v>1762</v>
      </c>
      <c r="E769" s="11" t="s">
        <v>1762</v>
      </c>
      <c r="F769" s="11" t="s">
        <v>1762</v>
      </c>
    </row>
    <row r="770" ht="15.75" customHeight="1">
      <c r="D770" s="11" t="s">
        <v>1762</v>
      </c>
      <c r="E770" s="11" t="s">
        <v>1762</v>
      </c>
      <c r="F770" s="11" t="s">
        <v>1762</v>
      </c>
    </row>
    <row r="771" ht="15.75" customHeight="1">
      <c r="D771" s="11" t="s">
        <v>1762</v>
      </c>
      <c r="E771" s="11" t="s">
        <v>1762</v>
      </c>
      <c r="F771" s="11" t="s">
        <v>1762</v>
      </c>
    </row>
    <row r="772" ht="15.75" customHeight="1">
      <c r="D772" s="11" t="s">
        <v>1762</v>
      </c>
      <c r="E772" s="11" t="s">
        <v>1762</v>
      </c>
      <c r="F772" s="11" t="s">
        <v>1762</v>
      </c>
    </row>
    <row r="773" ht="15.75" customHeight="1">
      <c r="D773" s="11" t="s">
        <v>1762</v>
      </c>
      <c r="E773" s="11" t="s">
        <v>1762</v>
      </c>
      <c r="F773" s="11" t="s">
        <v>1762</v>
      </c>
    </row>
    <row r="774" ht="15.75" customHeight="1">
      <c r="D774" s="11" t="s">
        <v>1762</v>
      </c>
      <c r="E774" s="11" t="s">
        <v>1762</v>
      </c>
      <c r="F774" s="11" t="s">
        <v>1762</v>
      </c>
    </row>
    <row r="775" ht="15.75" customHeight="1">
      <c r="D775" s="11" t="s">
        <v>1762</v>
      </c>
      <c r="E775" s="11" t="s">
        <v>1762</v>
      </c>
      <c r="F775" s="11" t="s">
        <v>1762</v>
      </c>
    </row>
    <row r="776" ht="15.75" customHeight="1">
      <c r="D776" s="11" t="s">
        <v>1762</v>
      </c>
      <c r="E776" s="11" t="s">
        <v>1762</v>
      </c>
      <c r="F776" s="11" t="s">
        <v>1762</v>
      </c>
    </row>
    <row r="777" ht="15.75" customHeight="1">
      <c r="D777" s="11" t="s">
        <v>1762</v>
      </c>
      <c r="E777" s="11" t="s">
        <v>1762</v>
      </c>
      <c r="F777" s="11" t="s">
        <v>1762</v>
      </c>
    </row>
    <row r="778" ht="15.75" customHeight="1">
      <c r="D778" s="11" t="s">
        <v>1762</v>
      </c>
      <c r="E778" s="11" t="s">
        <v>1762</v>
      </c>
      <c r="F778" s="11" t="s">
        <v>1762</v>
      </c>
    </row>
    <row r="779" ht="15.75" customHeight="1">
      <c r="D779" s="11" t="s">
        <v>1762</v>
      </c>
      <c r="E779" s="11" t="s">
        <v>1762</v>
      </c>
      <c r="F779" s="11" t="s">
        <v>1762</v>
      </c>
    </row>
    <row r="780" ht="15.75" customHeight="1">
      <c r="D780" s="11" t="s">
        <v>1762</v>
      </c>
      <c r="E780" s="11" t="s">
        <v>1762</v>
      </c>
      <c r="F780" s="11" t="s">
        <v>1762</v>
      </c>
    </row>
    <row r="781" ht="15.75" customHeight="1">
      <c r="D781" s="11" t="s">
        <v>1762</v>
      </c>
      <c r="E781" s="11" t="s">
        <v>1762</v>
      </c>
      <c r="F781" s="11" t="s">
        <v>1762</v>
      </c>
    </row>
    <row r="782" ht="15.75" customHeight="1">
      <c r="D782" s="11" t="s">
        <v>1762</v>
      </c>
      <c r="E782" s="11" t="s">
        <v>1762</v>
      </c>
      <c r="F782" s="11" t="s">
        <v>1762</v>
      </c>
    </row>
    <row r="783" ht="15.75" customHeight="1">
      <c r="D783" s="11" t="s">
        <v>1762</v>
      </c>
      <c r="E783" s="11" t="s">
        <v>1762</v>
      </c>
      <c r="F783" s="11" t="s">
        <v>1762</v>
      </c>
    </row>
    <row r="784" ht="15.75" customHeight="1">
      <c r="D784" s="11" t="s">
        <v>1762</v>
      </c>
      <c r="E784" s="11" t="s">
        <v>1762</v>
      </c>
      <c r="F784" s="11" t="s">
        <v>1762</v>
      </c>
    </row>
    <row r="785" ht="15.75" customHeight="1">
      <c r="D785" s="11" t="s">
        <v>1762</v>
      </c>
      <c r="E785" s="11" t="s">
        <v>1762</v>
      </c>
      <c r="F785" s="11" t="s">
        <v>1762</v>
      </c>
    </row>
    <row r="786" ht="15.75" customHeight="1">
      <c r="D786" s="11" t="s">
        <v>1762</v>
      </c>
      <c r="E786" s="11" t="s">
        <v>1762</v>
      </c>
      <c r="F786" s="11" t="s">
        <v>1762</v>
      </c>
    </row>
    <row r="787" ht="15.75" customHeight="1">
      <c r="D787" s="11" t="s">
        <v>1762</v>
      </c>
      <c r="E787" s="11" t="s">
        <v>1762</v>
      </c>
      <c r="F787" s="11" t="s">
        <v>1762</v>
      </c>
    </row>
    <row r="788" ht="15.75" customHeight="1">
      <c r="D788" s="11" t="s">
        <v>1762</v>
      </c>
      <c r="E788" s="11" t="s">
        <v>1762</v>
      </c>
      <c r="F788" s="11" t="s">
        <v>1762</v>
      </c>
    </row>
    <row r="789" ht="15.75" customHeight="1">
      <c r="D789" s="11" t="s">
        <v>1762</v>
      </c>
      <c r="E789" s="11" t="s">
        <v>1762</v>
      </c>
      <c r="F789" s="11" t="s">
        <v>1762</v>
      </c>
    </row>
    <row r="790" ht="15.75" customHeight="1">
      <c r="D790" s="11" t="s">
        <v>1762</v>
      </c>
      <c r="E790" s="11" t="s">
        <v>1762</v>
      </c>
      <c r="F790" s="11" t="s">
        <v>1762</v>
      </c>
    </row>
    <row r="791" ht="15.75" customHeight="1">
      <c r="D791" s="11" t="s">
        <v>1762</v>
      </c>
      <c r="E791" s="11" t="s">
        <v>1762</v>
      </c>
      <c r="F791" s="11" t="s">
        <v>1762</v>
      </c>
    </row>
    <row r="792" ht="15.75" customHeight="1">
      <c r="D792" s="11" t="s">
        <v>1762</v>
      </c>
      <c r="E792" s="11" t="s">
        <v>1762</v>
      </c>
      <c r="F792" s="11" t="s">
        <v>1762</v>
      </c>
    </row>
    <row r="793" ht="15.75" customHeight="1">
      <c r="D793" s="11" t="s">
        <v>1762</v>
      </c>
      <c r="E793" s="11" t="s">
        <v>1762</v>
      </c>
      <c r="F793" s="11" t="s">
        <v>1762</v>
      </c>
    </row>
    <row r="794" ht="15.75" customHeight="1">
      <c r="D794" s="11" t="s">
        <v>1762</v>
      </c>
      <c r="E794" s="11" t="s">
        <v>1762</v>
      </c>
      <c r="F794" s="11" t="s">
        <v>1762</v>
      </c>
    </row>
    <row r="795" ht="15.75" customHeight="1">
      <c r="D795" s="11" t="s">
        <v>1762</v>
      </c>
      <c r="E795" s="11" t="s">
        <v>1762</v>
      </c>
      <c r="F795" s="11" t="s">
        <v>1762</v>
      </c>
    </row>
    <row r="796" ht="15.75" customHeight="1">
      <c r="D796" s="11" t="s">
        <v>1762</v>
      </c>
      <c r="E796" s="11" t="s">
        <v>1762</v>
      </c>
      <c r="F796" s="11" t="s">
        <v>1762</v>
      </c>
    </row>
    <row r="797" ht="15.75" customHeight="1">
      <c r="D797" s="11" t="s">
        <v>1762</v>
      </c>
      <c r="E797" s="11" t="s">
        <v>1762</v>
      </c>
      <c r="F797" s="11" t="s">
        <v>1762</v>
      </c>
    </row>
    <row r="798" ht="15.75" customHeight="1">
      <c r="D798" s="11" t="s">
        <v>1762</v>
      </c>
      <c r="E798" s="11" t="s">
        <v>1762</v>
      </c>
      <c r="F798" s="11" t="s">
        <v>1762</v>
      </c>
    </row>
    <row r="799" ht="15.75" customHeight="1">
      <c r="D799" s="11" t="s">
        <v>1762</v>
      </c>
      <c r="E799" s="11" t="s">
        <v>1762</v>
      </c>
      <c r="F799" s="11" t="s">
        <v>1762</v>
      </c>
    </row>
    <row r="800" ht="15.75" customHeight="1">
      <c r="D800" s="11" t="s">
        <v>1762</v>
      </c>
      <c r="E800" s="11" t="s">
        <v>1762</v>
      </c>
      <c r="F800" s="11" t="s">
        <v>1762</v>
      </c>
    </row>
    <row r="801" ht="15.75" customHeight="1">
      <c r="D801" s="11" t="s">
        <v>1762</v>
      </c>
      <c r="E801" s="11" t="s">
        <v>1762</v>
      </c>
      <c r="F801" s="11" t="s">
        <v>1762</v>
      </c>
    </row>
    <row r="802" ht="15.75" customHeight="1">
      <c r="D802" s="11" t="s">
        <v>1762</v>
      </c>
      <c r="E802" s="11" t="s">
        <v>1762</v>
      </c>
      <c r="F802" s="11" t="s">
        <v>1762</v>
      </c>
    </row>
    <row r="803" ht="15.75" customHeight="1">
      <c r="D803" s="11" t="s">
        <v>1762</v>
      </c>
      <c r="E803" s="11" t="s">
        <v>1762</v>
      </c>
      <c r="F803" s="11" t="s">
        <v>1762</v>
      </c>
    </row>
    <row r="804" ht="15.75" customHeight="1">
      <c r="D804" s="11" t="s">
        <v>1762</v>
      </c>
      <c r="E804" s="11" t="s">
        <v>1762</v>
      </c>
      <c r="F804" s="11" t="s">
        <v>1762</v>
      </c>
    </row>
    <row r="805" ht="15.75" customHeight="1">
      <c r="D805" s="11" t="s">
        <v>1762</v>
      </c>
      <c r="E805" s="11" t="s">
        <v>1762</v>
      </c>
      <c r="F805" s="11" t="s">
        <v>1762</v>
      </c>
    </row>
    <row r="806" ht="15.75" customHeight="1">
      <c r="D806" s="11" t="s">
        <v>1762</v>
      </c>
      <c r="E806" s="11" t="s">
        <v>1762</v>
      </c>
      <c r="F806" s="11" t="s">
        <v>1762</v>
      </c>
    </row>
    <row r="807" ht="15.75" customHeight="1">
      <c r="D807" s="11" t="s">
        <v>1762</v>
      </c>
      <c r="E807" s="11" t="s">
        <v>1762</v>
      </c>
      <c r="F807" s="11" t="s">
        <v>1762</v>
      </c>
    </row>
    <row r="808" ht="15.75" customHeight="1">
      <c r="D808" s="11" t="s">
        <v>1762</v>
      </c>
      <c r="E808" s="11" t="s">
        <v>1762</v>
      </c>
      <c r="F808" s="11" t="s">
        <v>1762</v>
      </c>
    </row>
    <row r="809" ht="15.75" customHeight="1">
      <c r="D809" s="11" t="s">
        <v>1762</v>
      </c>
      <c r="E809" s="11" t="s">
        <v>1762</v>
      </c>
      <c r="F809" s="11" t="s">
        <v>1762</v>
      </c>
    </row>
    <row r="810" ht="15.75" customHeight="1">
      <c r="D810" s="11" t="s">
        <v>1762</v>
      </c>
      <c r="E810" s="11" t="s">
        <v>1762</v>
      </c>
      <c r="F810" s="11" t="s">
        <v>1762</v>
      </c>
    </row>
    <row r="811" ht="15.75" customHeight="1">
      <c r="D811" s="11" t="s">
        <v>1762</v>
      </c>
      <c r="E811" s="11" t="s">
        <v>1762</v>
      </c>
      <c r="F811" s="11" t="s">
        <v>1762</v>
      </c>
    </row>
    <row r="812" ht="15.75" customHeight="1">
      <c r="D812" s="11" t="s">
        <v>1762</v>
      </c>
      <c r="E812" s="11" t="s">
        <v>1762</v>
      </c>
      <c r="F812" s="11" t="s">
        <v>1762</v>
      </c>
    </row>
    <row r="813" ht="15.75" customHeight="1">
      <c r="D813" s="11" t="s">
        <v>1762</v>
      </c>
      <c r="E813" s="11" t="s">
        <v>1762</v>
      </c>
      <c r="F813" s="11" t="s">
        <v>1762</v>
      </c>
    </row>
    <row r="814" ht="15.75" customHeight="1">
      <c r="D814" s="11" t="s">
        <v>1762</v>
      </c>
      <c r="E814" s="11" t="s">
        <v>1762</v>
      </c>
      <c r="F814" s="11" t="s">
        <v>1762</v>
      </c>
    </row>
    <row r="815" ht="15.75" customHeight="1">
      <c r="D815" s="11" t="s">
        <v>1762</v>
      </c>
      <c r="E815" s="11" t="s">
        <v>1762</v>
      </c>
      <c r="F815" s="11" t="s">
        <v>1762</v>
      </c>
    </row>
    <row r="816" ht="15.75" customHeight="1">
      <c r="D816" s="11" t="s">
        <v>1762</v>
      </c>
      <c r="E816" s="11" t="s">
        <v>1762</v>
      </c>
      <c r="F816" s="11" t="s">
        <v>1762</v>
      </c>
    </row>
    <row r="817" ht="15.75" customHeight="1">
      <c r="D817" s="11" t="s">
        <v>1762</v>
      </c>
      <c r="E817" s="11" t="s">
        <v>1762</v>
      </c>
      <c r="F817" s="11" t="s">
        <v>1762</v>
      </c>
    </row>
    <row r="818" ht="15.75" customHeight="1">
      <c r="D818" s="11" t="s">
        <v>1762</v>
      </c>
      <c r="E818" s="11" t="s">
        <v>1762</v>
      </c>
      <c r="F818" s="11" t="s">
        <v>1762</v>
      </c>
    </row>
    <row r="819" ht="15.75" customHeight="1">
      <c r="D819" s="11" t="s">
        <v>1762</v>
      </c>
      <c r="E819" s="11" t="s">
        <v>1762</v>
      </c>
      <c r="F819" s="11" t="s">
        <v>1762</v>
      </c>
    </row>
    <row r="820" ht="15.75" customHeight="1">
      <c r="D820" s="11" t="s">
        <v>1762</v>
      </c>
      <c r="E820" s="11" t="s">
        <v>1762</v>
      </c>
      <c r="F820" s="11" t="s">
        <v>1762</v>
      </c>
    </row>
    <row r="821" ht="15.75" customHeight="1">
      <c r="D821" s="11" t="s">
        <v>1762</v>
      </c>
      <c r="E821" s="11" t="s">
        <v>1762</v>
      </c>
      <c r="F821" s="11" t="s">
        <v>1762</v>
      </c>
    </row>
    <row r="822" ht="15.75" customHeight="1">
      <c r="D822" s="11" t="s">
        <v>1762</v>
      </c>
      <c r="E822" s="11" t="s">
        <v>1762</v>
      </c>
      <c r="F822" s="11" t="s">
        <v>1762</v>
      </c>
    </row>
    <row r="823" ht="15.75" customHeight="1">
      <c r="D823" s="11" t="s">
        <v>1762</v>
      </c>
      <c r="E823" s="11" t="s">
        <v>1762</v>
      </c>
      <c r="F823" s="11" t="s">
        <v>1762</v>
      </c>
    </row>
    <row r="824" ht="15.75" customHeight="1">
      <c r="D824" s="11" t="s">
        <v>1762</v>
      </c>
      <c r="E824" s="11" t="s">
        <v>1762</v>
      </c>
      <c r="F824" s="11" t="s">
        <v>1762</v>
      </c>
    </row>
    <row r="825" ht="15.75" customHeight="1">
      <c r="D825" s="11" t="s">
        <v>1762</v>
      </c>
      <c r="E825" s="11" t="s">
        <v>1762</v>
      </c>
      <c r="F825" s="11" t="s">
        <v>1762</v>
      </c>
    </row>
    <row r="826" ht="15.75" customHeight="1">
      <c r="D826" s="11" t="s">
        <v>1762</v>
      </c>
      <c r="E826" s="11" t="s">
        <v>1762</v>
      </c>
      <c r="F826" s="11" t="s">
        <v>1762</v>
      </c>
    </row>
    <row r="827" ht="15.75" customHeight="1">
      <c r="D827" s="11" t="s">
        <v>1762</v>
      </c>
      <c r="E827" s="11" t="s">
        <v>1762</v>
      </c>
      <c r="F827" s="11" t="s">
        <v>1762</v>
      </c>
    </row>
    <row r="828" ht="15.75" customHeight="1">
      <c r="D828" s="11" t="s">
        <v>1762</v>
      </c>
      <c r="E828" s="11" t="s">
        <v>1762</v>
      </c>
      <c r="F828" s="11" t="s">
        <v>1762</v>
      </c>
    </row>
    <row r="829" ht="15.75" customHeight="1">
      <c r="D829" s="11" t="s">
        <v>1762</v>
      </c>
      <c r="E829" s="11" t="s">
        <v>1762</v>
      </c>
      <c r="F829" s="11" t="s">
        <v>1762</v>
      </c>
    </row>
    <row r="830" ht="15.75" customHeight="1">
      <c r="D830" s="11" t="s">
        <v>1762</v>
      </c>
      <c r="E830" s="11" t="s">
        <v>1762</v>
      </c>
      <c r="F830" s="11" t="s">
        <v>1762</v>
      </c>
    </row>
    <row r="831" ht="15.75" customHeight="1">
      <c r="D831" s="11" t="s">
        <v>1762</v>
      </c>
      <c r="E831" s="11" t="s">
        <v>1762</v>
      </c>
      <c r="F831" s="11" t="s">
        <v>1762</v>
      </c>
    </row>
    <row r="832" ht="15.75" customHeight="1">
      <c r="D832" s="11" t="s">
        <v>1762</v>
      </c>
      <c r="E832" s="11" t="s">
        <v>1762</v>
      </c>
      <c r="F832" s="11" t="s">
        <v>1762</v>
      </c>
    </row>
    <row r="833" ht="15.75" customHeight="1">
      <c r="D833" s="11" t="s">
        <v>1762</v>
      </c>
      <c r="E833" s="11" t="s">
        <v>1762</v>
      </c>
      <c r="F833" s="11" t="s">
        <v>1762</v>
      </c>
    </row>
    <row r="834" ht="15.75" customHeight="1">
      <c r="D834" s="11" t="s">
        <v>1762</v>
      </c>
      <c r="E834" s="11" t="s">
        <v>1762</v>
      </c>
      <c r="F834" s="11" t="s">
        <v>1762</v>
      </c>
    </row>
    <row r="835" ht="15.75" customHeight="1">
      <c r="D835" s="11" t="s">
        <v>1762</v>
      </c>
      <c r="E835" s="11" t="s">
        <v>1762</v>
      </c>
      <c r="F835" s="11" t="s">
        <v>1762</v>
      </c>
    </row>
    <row r="836" ht="15.75" customHeight="1">
      <c r="D836" s="11" t="s">
        <v>1762</v>
      </c>
      <c r="E836" s="11" t="s">
        <v>1762</v>
      </c>
      <c r="F836" s="11" t="s">
        <v>1762</v>
      </c>
    </row>
    <row r="837" ht="15.75" customHeight="1">
      <c r="D837" s="11" t="s">
        <v>1762</v>
      </c>
      <c r="E837" s="11" t="s">
        <v>1762</v>
      </c>
      <c r="F837" s="11" t="s">
        <v>1762</v>
      </c>
    </row>
    <row r="838" ht="15.75" customHeight="1">
      <c r="D838" s="11" t="s">
        <v>1762</v>
      </c>
      <c r="E838" s="11" t="s">
        <v>1762</v>
      </c>
      <c r="F838" s="11" t="s">
        <v>1762</v>
      </c>
    </row>
    <row r="839" ht="15.75" customHeight="1">
      <c r="D839" s="11" t="s">
        <v>1762</v>
      </c>
      <c r="E839" s="11" t="s">
        <v>1762</v>
      </c>
      <c r="F839" s="11" t="s">
        <v>1762</v>
      </c>
    </row>
    <row r="840" ht="15.75" customHeight="1">
      <c r="D840" s="11" t="s">
        <v>1762</v>
      </c>
      <c r="E840" s="11" t="s">
        <v>1762</v>
      </c>
      <c r="F840" s="11" t="s">
        <v>1762</v>
      </c>
    </row>
    <row r="841" ht="15.75" customHeight="1">
      <c r="D841" s="11" t="s">
        <v>1762</v>
      </c>
      <c r="E841" s="11" t="s">
        <v>1762</v>
      </c>
      <c r="F841" s="11" t="s">
        <v>1762</v>
      </c>
    </row>
    <row r="842" ht="15.75" customHeight="1">
      <c r="D842" s="11" t="s">
        <v>1762</v>
      </c>
      <c r="E842" s="11" t="s">
        <v>1762</v>
      </c>
      <c r="F842" s="11" t="s">
        <v>1762</v>
      </c>
    </row>
    <row r="843" ht="15.75" customHeight="1">
      <c r="D843" s="11" t="s">
        <v>1762</v>
      </c>
      <c r="E843" s="11" t="s">
        <v>1762</v>
      </c>
      <c r="F843" s="11" t="s">
        <v>1762</v>
      </c>
    </row>
    <row r="844" ht="15.75" customHeight="1">
      <c r="D844" s="11" t="s">
        <v>1762</v>
      </c>
      <c r="E844" s="11" t="s">
        <v>1762</v>
      </c>
      <c r="F844" s="11" t="s">
        <v>1762</v>
      </c>
    </row>
    <row r="845" ht="15.75" customHeight="1">
      <c r="D845" s="11" t="s">
        <v>1762</v>
      </c>
      <c r="E845" s="11" t="s">
        <v>1762</v>
      </c>
      <c r="F845" s="11" t="s">
        <v>1762</v>
      </c>
    </row>
    <row r="846" ht="15.75" customHeight="1">
      <c r="D846" s="11" t="s">
        <v>1762</v>
      </c>
      <c r="E846" s="11" t="s">
        <v>1762</v>
      </c>
      <c r="F846" s="11" t="s">
        <v>1762</v>
      </c>
    </row>
    <row r="847" ht="15.75" customHeight="1">
      <c r="D847" s="11" t="s">
        <v>1762</v>
      </c>
      <c r="E847" s="11" t="s">
        <v>1762</v>
      </c>
      <c r="F847" s="11" t="s">
        <v>1762</v>
      </c>
    </row>
    <row r="848" ht="15.75" customHeight="1">
      <c r="D848" s="11" t="s">
        <v>1762</v>
      </c>
      <c r="E848" s="11" t="s">
        <v>1762</v>
      </c>
      <c r="F848" s="11" t="s">
        <v>1762</v>
      </c>
    </row>
    <row r="849" ht="15.75" customHeight="1">
      <c r="D849" s="11" t="s">
        <v>1762</v>
      </c>
      <c r="E849" s="11" t="s">
        <v>1762</v>
      </c>
      <c r="F849" s="11" t="s">
        <v>1762</v>
      </c>
    </row>
    <row r="850" ht="15.75" customHeight="1">
      <c r="D850" s="11" t="s">
        <v>1762</v>
      </c>
      <c r="E850" s="11" t="s">
        <v>1762</v>
      </c>
      <c r="F850" s="11" t="s">
        <v>1762</v>
      </c>
    </row>
    <row r="851" ht="15.75" customHeight="1">
      <c r="D851" s="11" t="s">
        <v>1762</v>
      </c>
      <c r="E851" s="11" t="s">
        <v>1762</v>
      </c>
      <c r="F851" s="11" t="s">
        <v>1762</v>
      </c>
    </row>
    <row r="852" ht="15.75" customHeight="1">
      <c r="D852" s="11" t="s">
        <v>1762</v>
      </c>
      <c r="E852" s="11" t="s">
        <v>1762</v>
      </c>
      <c r="F852" s="11" t="s">
        <v>1762</v>
      </c>
    </row>
    <row r="853" ht="15.75" customHeight="1">
      <c r="D853" s="11" t="s">
        <v>1762</v>
      </c>
      <c r="E853" s="11" t="s">
        <v>1762</v>
      </c>
      <c r="F853" s="11" t="s">
        <v>1762</v>
      </c>
    </row>
    <row r="854" ht="15.75" customHeight="1">
      <c r="D854" s="11" t="s">
        <v>1762</v>
      </c>
      <c r="E854" s="11" t="s">
        <v>1762</v>
      </c>
      <c r="F854" s="11" t="s">
        <v>1762</v>
      </c>
    </row>
    <row r="855" ht="15.75" customHeight="1">
      <c r="D855" s="11" t="s">
        <v>1762</v>
      </c>
      <c r="E855" s="11" t="s">
        <v>1762</v>
      </c>
      <c r="F855" s="11" t="s">
        <v>1762</v>
      </c>
    </row>
    <row r="856" ht="15.75" customHeight="1">
      <c r="D856" s="11" t="s">
        <v>1762</v>
      </c>
      <c r="E856" s="11" t="s">
        <v>1762</v>
      </c>
      <c r="F856" s="11" t="s">
        <v>1762</v>
      </c>
    </row>
    <row r="857" ht="15.75" customHeight="1">
      <c r="D857" s="11" t="s">
        <v>1762</v>
      </c>
      <c r="E857" s="11" t="s">
        <v>1762</v>
      </c>
      <c r="F857" s="11" t="s">
        <v>1762</v>
      </c>
    </row>
    <row r="858" ht="15.75" customHeight="1">
      <c r="D858" s="11" t="s">
        <v>1762</v>
      </c>
      <c r="E858" s="11" t="s">
        <v>1762</v>
      </c>
      <c r="F858" s="11" t="s">
        <v>1762</v>
      </c>
    </row>
    <row r="859" ht="15.75" customHeight="1">
      <c r="D859" s="11" t="s">
        <v>1762</v>
      </c>
      <c r="E859" s="11" t="s">
        <v>1762</v>
      </c>
      <c r="F859" s="11" t="s">
        <v>1762</v>
      </c>
    </row>
    <row r="860" ht="15.75" customHeight="1">
      <c r="D860" s="11" t="s">
        <v>1762</v>
      </c>
      <c r="E860" s="11" t="s">
        <v>1762</v>
      </c>
      <c r="F860" s="11" t="s">
        <v>1762</v>
      </c>
    </row>
    <row r="861" ht="15.75" customHeight="1">
      <c r="D861" s="11" t="s">
        <v>1762</v>
      </c>
      <c r="E861" s="11" t="s">
        <v>1762</v>
      </c>
      <c r="F861" s="11" t="s">
        <v>1762</v>
      </c>
    </row>
    <row r="862" ht="15.75" customHeight="1">
      <c r="D862" s="11" t="s">
        <v>1762</v>
      </c>
      <c r="E862" s="11" t="s">
        <v>1762</v>
      </c>
      <c r="F862" s="11" t="s">
        <v>1762</v>
      </c>
    </row>
    <row r="863" ht="15.75" customHeight="1">
      <c r="D863" s="11" t="s">
        <v>1762</v>
      </c>
      <c r="E863" s="11" t="s">
        <v>1762</v>
      </c>
      <c r="F863" s="11" t="s">
        <v>1762</v>
      </c>
    </row>
    <row r="864" ht="15.75" customHeight="1">
      <c r="D864" s="11" t="s">
        <v>1762</v>
      </c>
      <c r="E864" s="11" t="s">
        <v>1762</v>
      </c>
      <c r="F864" s="11" t="s">
        <v>1762</v>
      </c>
    </row>
    <row r="865" ht="15.75" customHeight="1">
      <c r="D865" s="11" t="s">
        <v>1762</v>
      </c>
      <c r="E865" s="11" t="s">
        <v>1762</v>
      </c>
      <c r="F865" s="11" t="s">
        <v>1762</v>
      </c>
    </row>
    <row r="866" ht="15.75" customHeight="1">
      <c r="D866" s="11" t="s">
        <v>1762</v>
      </c>
      <c r="E866" s="11" t="s">
        <v>1762</v>
      </c>
      <c r="F866" s="11" t="s">
        <v>1762</v>
      </c>
    </row>
    <row r="867" ht="15.75" customHeight="1">
      <c r="D867" s="11" t="s">
        <v>1762</v>
      </c>
      <c r="E867" s="11" t="s">
        <v>1762</v>
      </c>
      <c r="F867" s="11" t="s">
        <v>1762</v>
      </c>
    </row>
    <row r="868" ht="15.75" customHeight="1">
      <c r="D868" s="11" t="s">
        <v>1762</v>
      </c>
      <c r="E868" s="11" t="s">
        <v>1762</v>
      </c>
      <c r="F868" s="11" t="s">
        <v>1762</v>
      </c>
    </row>
    <row r="869" ht="15.75" customHeight="1">
      <c r="D869" s="11" t="s">
        <v>1762</v>
      </c>
      <c r="E869" s="11" t="s">
        <v>1762</v>
      </c>
      <c r="F869" s="11" t="s">
        <v>1762</v>
      </c>
    </row>
    <row r="870" ht="15.75" customHeight="1">
      <c r="D870" s="11" t="s">
        <v>1762</v>
      </c>
      <c r="E870" s="11" t="s">
        <v>1762</v>
      </c>
      <c r="F870" s="11" t="s">
        <v>1762</v>
      </c>
    </row>
    <row r="871" ht="15.75" customHeight="1">
      <c r="D871" s="11" t="s">
        <v>1762</v>
      </c>
      <c r="E871" s="11" t="s">
        <v>1762</v>
      </c>
      <c r="F871" s="11" t="s">
        <v>1762</v>
      </c>
    </row>
    <row r="872" ht="15.75" customHeight="1">
      <c r="D872" s="11" t="s">
        <v>1762</v>
      </c>
      <c r="E872" s="11" t="s">
        <v>1762</v>
      </c>
      <c r="F872" s="11" t="s">
        <v>1762</v>
      </c>
    </row>
    <row r="873" ht="15.75" customHeight="1">
      <c r="D873" s="11" t="s">
        <v>1762</v>
      </c>
      <c r="E873" s="11" t="s">
        <v>1762</v>
      </c>
      <c r="F873" s="11" t="s">
        <v>1762</v>
      </c>
    </row>
    <row r="874" ht="15.75" customHeight="1">
      <c r="D874" s="11" t="s">
        <v>1762</v>
      </c>
      <c r="E874" s="11" t="s">
        <v>1762</v>
      </c>
      <c r="F874" s="11" t="s">
        <v>1762</v>
      </c>
    </row>
    <row r="875" ht="15.75" customHeight="1">
      <c r="D875" s="11" t="s">
        <v>1762</v>
      </c>
      <c r="E875" s="11" t="s">
        <v>1762</v>
      </c>
      <c r="F875" s="11" t="s">
        <v>1762</v>
      </c>
    </row>
    <row r="876" ht="15.75" customHeight="1">
      <c r="D876" s="11" t="s">
        <v>1762</v>
      </c>
      <c r="E876" s="11" t="s">
        <v>1762</v>
      </c>
      <c r="F876" s="11" t="s">
        <v>1762</v>
      </c>
    </row>
    <row r="877" ht="15.75" customHeight="1">
      <c r="D877" s="11" t="s">
        <v>1762</v>
      </c>
      <c r="E877" s="11" t="s">
        <v>1762</v>
      </c>
      <c r="F877" s="11" t="s">
        <v>1762</v>
      </c>
    </row>
    <row r="878" ht="15.75" customHeight="1">
      <c r="D878" s="11" t="s">
        <v>1762</v>
      </c>
      <c r="E878" s="11" t="s">
        <v>1762</v>
      </c>
      <c r="F878" s="11" t="s">
        <v>1762</v>
      </c>
    </row>
    <row r="879" ht="15.75" customHeight="1">
      <c r="D879" s="11" t="s">
        <v>1762</v>
      </c>
      <c r="E879" s="11" t="s">
        <v>1762</v>
      </c>
      <c r="F879" s="11" t="s">
        <v>1762</v>
      </c>
    </row>
    <row r="880" ht="15.75" customHeight="1">
      <c r="D880" s="11" t="s">
        <v>1762</v>
      </c>
      <c r="E880" s="11" t="s">
        <v>1762</v>
      </c>
      <c r="F880" s="11" t="s">
        <v>1762</v>
      </c>
    </row>
    <row r="881" ht="15.75" customHeight="1">
      <c r="D881" s="11" t="s">
        <v>1762</v>
      </c>
      <c r="E881" s="11" t="s">
        <v>1762</v>
      </c>
      <c r="F881" s="11" t="s">
        <v>1762</v>
      </c>
    </row>
    <row r="882" ht="15.75" customHeight="1">
      <c r="D882" s="11" t="s">
        <v>1762</v>
      </c>
      <c r="E882" s="11" t="s">
        <v>1762</v>
      </c>
      <c r="F882" s="11" t="s">
        <v>1762</v>
      </c>
    </row>
    <row r="883" ht="15.75" customHeight="1">
      <c r="D883" s="11" t="s">
        <v>1762</v>
      </c>
      <c r="E883" s="11" t="s">
        <v>1762</v>
      </c>
      <c r="F883" s="11" t="s">
        <v>1762</v>
      </c>
    </row>
    <row r="884" ht="15.75" customHeight="1">
      <c r="D884" s="11" t="s">
        <v>1762</v>
      </c>
      <c r="E884" s="11" t="s">
        <v>1762</v>
      </c>
      <c r="F884" s="11" t="s">
        <v>1762</v>
      </c>
    </row>
    <row r="885" ht="15.75" customHeight="1">
      <c r="D885" s="11" t="s">
        <v>1762</v>
      </c>
      <c r="E885" s="11" t="s">
        <v>1762</v>
      </c>
      <c r="F885" s="11" t="s">
        <v>1762</v>
      </c>
    </row>
    <row r="886" ht="15.75" customHeight="1">
      <c r="D886" s="11" t="s">
        <v>1762</v>
      </c>
      <c r="E886" s="11" t="s">
        <v>1762</v>
      </c>
      <c r="F886" s="11" t="s">
        <v>1762</v>
      </c>
    </row>
    <row r="887" ht="15.75" customHeight="1">
      <c r="D887" s="11" t="s">
        <v>1762</v>
      </c>
      <c r="E887" s="11" t="s">
        <v>1762</v>
      </c>
      <c r="F887" s="11" t="s">
        <v>1762</v>
      </c>
    </row>
    <row r="888" ht="15.75" customHeight="1">
      <c r="D888" s="11" t="s">
        <v>1762</v>
      </c>
      <c r="E888" s="11" t="s">
        <v>1762</v>
      </c>
      <c r="F888" s="11" t="s">
        <v>1762</v>
      </c>
    </row>
    <row r="889" ht="15.75" customHeight="1">
      <c r="D889" s="11" t="s">
        <v>1762</v>
      </c>
      <c r="E889" s="11" t="s">
        <v>1762</v>
      </c>
      <c r="F889" s="11" t="s">
        <v>1762</v>
      </c>
    </row>
    <row r="890" ht="15.75" customHeight="1">
      <c r="D890" s="11" t="s">
        <v>1762</v>
      </c>
      <c r="E890" s="11" t="s">
        <v>1762</v>
      </c>
      <c r="F890" s="11" t="s">
        <v>1762</v>
      </c>
    </row>
    <row r="891" ht="15.75" customHeight="1">
      <c r="D891" s="11" t="s">
        <v>1762</v>
      </c>
      <c r="E891" s="11" t="s">
        <v>1762</v>
      </c>
      <c r="F891" s="11" t="s">
        <v>1762</v>
      </c>
    </row>
    <row r="892" ht="15.75" customHeight="1">
      <c r="D892" s="11" t="s">
        <v>1762</v>
      </c>
      <c r="E892" s="11" t="s">
        <v>1762</v>
      </c>
      <c r="F892" s="11" t="s">
        <v>1762</v>
      </c>
    </row>
    <row r="893" ht="15.75" customHeight="1">
      <c r="D893" s="11" t="s">
        <v>1762</v>
      </c>
      <c r="E893" s="11" t="s">
        <v>1762</v>
      </c>
      <c r="F893" s="11" t="s">
        <v>1762</v>
      </c>
    </row>
    <row r="894" ht="15.75" customHeight="1">
      <c r="D894" s="11" t="s">
        <v>1762</v>
      </c>
      <c r="E894" s="11" t="s">
        <v>1762</v>
      </c>
      <c r="F894" s="11" t="s">
        <v>1762</v>
      </c>
    </row>
    <row r="895" ht="15.75" customHeight="1">
      <c r="D895" s="11" t="s">
        <v>1762</v>
      </c>
      <c r="E895" s="11" t="s">
        <v>1762</v>
      </c>
      <c r="F895" s="11" t="s">
        <v>1762</v>
      </c>
    </row>
    <row r="896" ht="15.75" customHeight="1">
      <c r="D896" s="11" t="s">
        <v>1762</v>
      </c>
      <c r="E896" s="11" t="s">
        <v>1762</v>
      </c>
      <c r="F896" s="11" t="s">
        <v>1762</v>
      </c>
    </row>
    <row r="897" ht="15.75" customHeight="1">
      <c r="D897" s="11" t="s">
        <v>1762</v>
      </c>
      <c r="E897" s="11" t="s">
        <v>1762</v>
      </c>
      <c r="F897" s="11" t="s">
        <v>1762</v>
      </c>
    </row>
    <row r="898" ht="15.75" customHeight="1">
      <c r="D898" s="11" t="s">
        <v>1762</v>
      </c>
      <c r="E898" s="11" t="s">
        <v>1762</v>
      </c>
      <c r="F898" s="11" t="s">
        <v>1762</v>
      </c>
    </row>
    <row r="899" ht="15.75" customHeight="1">
      <c r="D899" s="11" t="s">
        <v>1762</v>
      </c>
      <c r="E899" s="11" t="s">
        <v>1762</v>
      </c>
      <c r="F899" s="11" t="s">
        <v>1762</v>
      </c>
    </row>
    <row r="900" ht="15.75" customHeight="1">
      <c r="D900" s="11" t="s">
        <v>1762</v>
      </c>
      <c r="E900" s="11" t="s">
        <v>1762</v>
      </c>
      <c r="F900" s="11" t="s">
        <v>1762</v>
      </c>
    </row>
    <row r="901" ht="15.75" customHeight="1">
      <c r="D901" s="11" t="s">
        <v>1762</v>
      </c>
      <c r="E901" s="11" t="s">
        <v>1762</v>
      </c>
      <c r="F901" s="11" t="s">
        <v>1762</v>
      </c>
    </row>
    <row r="902" ht="15.75" customHeight="1">
      <c r="D902" s="11" t="s">
        <v>1762</v>
      </c>
      <c r="E902" s="11" t="s">
        <v>1762</v>
      </c>
      <c r="F902" s="11" t="s">
        <v>1762</v>
      </c>
    </row>
    <row r="903" ht="15.75" customHeight="1">
      <c r="D903" s="11" t="s">
        <v>1762</v>
      </c>
      <c r="E903" s="11" t="s">
        <v>1762</v>
      </c>
      <c r="F903" s="11" t="s">
        <v>1762</v>
      </c>
    </row>
    <row r="904" ht="15.75" customHeight="1">
      <c r="D904" s="11" t="s">
        <v>1762</v>
      </c>
      <c r="E904" s="11" t="s">
        <v>1762</v>
      </c>
      <c r="F904" s="11" t="s">
        <v>1762</v>
      </c>
    </row>
    <row r="905" ht="15.75" customHeight="1">
      <c r="D905" s="11" t="s">
        <v>1762</v>
      </c>
      <c r="E905" s="11" t="s">
        <v>1762</v>
      </c>
      <c r="F905" s="11" t="s">
        <v>1762</v>
      </c>
    </row>
    <row r="906" ht="15.75" customHeight="1">
      <c r="D906" s="11" t="s">
        <v>1762</v>
      </c>
      <c r="E906" s="11" t="s">
        <v>1762</v>
      </c>
      <c r="F906" s="11" t="s">
        <v>1762</v>
      </c>
    </row>
    <row r="907" ht="15.75" customHeight="1">
      <c r="D907" s="11" t="s">
        <v>1762</v>
      </c>
      <c r="E907" s="11" t="s">
        <v>1762</v>
      </c>
      <c r="F907" s="11" t="s">
        <v>1762</v>
      </c>
    </row>
    <row r="908" ht="15.75" customHeight="1">
      <c r="D908" s="11" t="s">
        <v>1762</v>
      </c>
      <c r="E908" s="11" t="s">
        <v>1762</v>
      </c>
      <c r="F908" s="11" t="s">
        <v>1762</v>
      </c>
    </row>
    <row r="909" ht="15.75" customHeight="1">
      <c r="D909" s="11" t="s">
        <v>1762</v>
      </c>
      <c r="E909" s="11" t="s">
        <v>1762</v>
      </c>
      <c r="F909" s="11" t="s">
        <v>1762</v>
      </c>
    </row>
    <row r="910" ht="15.75" customHeight="1">
      <c r="D910" s="11" t="s">
        <v>1762</v>
      </c>
      <c r="E910" s="11" t="s">
        <v>1762</v>
      </c>
      <c r="F910" s="11" t="s">
        <v>1762</v>
      </c>
    </row>
    <row r="911" ht="15.75" customHeight="1">
      <c r="D911" s="11" t="s">
        <v>1762</v>
      </c>
      <c r="E911" s="11" t="s">
        <v>1762</v>
      </c>
      <c r="F911" s="11" t="s">
        <v>1762</v>
      </c>
    </row>
    <row r="912" ht="15.75" customHeight="1">
      <c r="D912" s="11" t="s">
        <v>1762</v>
      </c>
      <c r="E912" s="11" t="s">
        <v>1762</v>
      </c>
      <c r="F912" s="11" t="s">
        <v>1762</v>
      </c>
    </row>
    <row r="913" ht="15.75" customHeight="1">
      <c r="D913" s="11" t="s">
        <v>1762</v>
      </c>
      <c r="E913" s="11" t="s">
        <v>1762</v>
      </c>
      <c r="F913" s="11" t="s">
        <v>1762</v>
      </c>
    </row>
    <row r="914" ht="15.75" customHeight="1">
      <c r="D914" s="11" t="s">
        <v>1762</v>
      </c>
      <c r="E914" s="11" t="s">
        <v>1762</v>
      </c>
      <c r="F914" s="11" t="s">
        <v>1762</v>
      </c>
    </row>
    <row r="915" ht="15.75" customHeight="1">
      <c r="D915" s="11" t="s">
        <v>1762</v>
      </c>
      <c r="E915" s="11" t="s">
        <v>1762</v>
      </c>
      <c r="F915" s="11" t="s">
        <v>1762</v>
      </c>
    </row>
    <row r="916" ht="15.75" customHeight="1">
      <c r="D916" s="11" t="s">
        <v>1762</v>
      </c>
      <c r="E916" s="11" t="s">
        <v>1762</v>
      </c>
      <c r="F916" s="11" t="s">
        <v>1762</v>
      </c>
    </row>
    <row r="917" ht="15.75" customHeight="1">
      <c r="D917" s="11" t="s">
        <v>1762</v>
      </c>
      <c r="E917" s="11" t="s">
        <v>1762</v>
      </c>
      <c r="F917" s="11" t="s">
        <v>1762</v>
      </c>
    </row>
    <row r="918" ht="15.75" customHeight="1">
      <c r="D918" s="11" t="s">
        <v>1762</v>
      </c>
      <c r="E918" s="11" t="s">
        <v>1762</v>
      </c>
      <c r="F918" s="11" t="s">
        <v>1762</v>
      </c>
    </row>
    <row r="919" ht="15.75" customHeight="1">
      <c r="D919" s="11" t="s">
        <v>1762</v>
      </c>
      <c r="E919" s="11" t="s">
        <v>1762</v>
      </c>
      <c r="F919" s="11" t="s">
        <v>1762</v>
      </c>
    </row>
    <row r="920" ht="15.75" customHeight="1">
      <c r="D920" s="11" t="s">
        <v>1762</v>
      </c>
      <c r="E920" s="11" t="s">
        <v>1762</v>
      </c>
      <c r="F920" s="11" t="s">
        <v>1762</v>
      </c>
    </row>
    <row r="921" ht="15.75" customHeight="1">
      <c r="D921" s="11" t="s">
        <v>1762</v>
      </c>
      <c r="E921" s="11" t="s">
        <v>1762</v>
      </c>
      <c r="F921" s="11" t="s">
        <v>1762</v>
      </c>
    </row>
    <row r="922" ht="15.75" customHeight="1">
      <c r="D922" s="11" t="s">
        <v>1762</v>
      </c>
      <c r="E922" s="11" t="s">
        <v>1762</v>
      </c>
      <c r="F922" s="11" t="s">
        <v>1762</v>
      </c>
    </row>
    <row r="923" ht="15.75" customHeight="1">
      <c r="D923" s="11" t="s">
        <v>1762</v>
      </c>
      <c r="E923" s="11" t="s">
        <v>1762</v>
      </c>
      <c r="F923" s="11" t="s">
        <v>1762</v>
      </c>
    </row>
    <row r="924" ht="15.75" customHeight="1">
      <c r="D924" s="11" t="s">
        <v>1762</v>
      </c>
      <c r="E924" s="11" t="s">
        <v>1762</v>
      </c>
      <c r="F924" s="11" t="s">
        <v>1762</v>
      </c>
    </row>
    <row r="925" ht="15.75" customHeight="1">
      <c r="D925" s="11" t="s">
        <v>1762</v>
      </c>
      <c r="E925" s="11" t="s">
        <v>1762</v>
      </c>
      <c r="F925" s="11" t="s">
        <v>1762</v>
      </c>
    </row>
    <row r="926" ht="15.75" customHeight="1">
      <c r="D926" s="11" t="s">
        <v>1762</v>
      </c>
      <c r="E926" s="11" t="s">
        <v>1762</v>
      </c>
      <c r="F926" s="11" t="s">
        <v>1762</v>
      </c>
    </row>
    <row r="927" ht="15.75" customHeight="1">
      <c r="D927" s="11" t="s">
        <v>1762</v>
      </c>
      <c r="E927" s="11" t="s">
        <v>1762</v>
      </c>
      <c r="F927" s="11" t="s">
        <v>1762</v>
      </c>
    </row>
    <row r="928" ht="15.75" customHeight="1">
      <c r="D928" s="11" t="s">
        <v>1762</v>
      </c>
      <c r="E928" s="11" t="s">
        <v>1762</v>
      </c>
      <c r="F928" s="11" t="s">
        <v>1762</v>
      </c>
    </row>
    <row r="929" ht="15.75" customHeight="1">
      <c r="D929" s="11" t="s">
        <v>1762</v>
      </c>
      <c r="E929" s="11" t="s">
        <v>1762</v>
      </c>
      <c r="F929" s="11" t="s">
        <v>1762</v>
      </c>
    </row>
    <row r="930" ht="15.75" customHeight="1">
      <c r="D930" s="11" t="s">
        <v>1762</v>
      </c>
      <c r="E930" s="11" t="s">
        <v>1762</v>
      </c>
      <c r="F930" s="11" t="s">
        <v>1762</v>
      </c>
    </row>
    <row r="931" ht="15.75" customHeight="1">
      <c r="D931" s="11" t="s">
        <v>1762</v>
      </c>
      <c r="E931" s="11" t="s">
        <v>1762</v>
      </c>
      <c r="F931" s="11" t="s">
        <v>1762</v>
      </c>
    </row>
    <row r="932" ht="15.75" customHeight="1">
      <c r="D932" s="11" t="s">
        <v>1762</v>
      </c>
      <c r="E932" s="11" t="s">
        <v>1762</v>
      </c>
      <c r="F932" s="11" t="s">
        <v>1762</v>
      </c>
    </row>
    <row r="933" ht="15.75" customHeight="1">
      <c r="D933" s="11" t="s">
        <v>1762</v>
      </c>
      <c r="E933" s="11" t="s">
        <v>1762</v>
      </c>
      <c r="F933" s="11" t="s">
        <v>1762</v>
      </c>
    </row>
    <row r="934" ht="15.75" customHeight="1">
      <c r="D934" s="11" t="s">
        <v>1762</v>
      </c>
      <c r="E934" s="11" t="s">
        <v>1762</v>
      </c>
      <c r="F934" s="11" t="s">
        <v>1762</v>
      </c>
    </row>
    <row r="935" ht="15.75" customHeight="1">
      <c r="D935" s="11" t="s">
        <v>1762</v>
      </c>
      <c r="E935" s="11" t="s">
        <v>1762</v>
      </c>
      <c r="F935" s="11" t="s">
        <v>1762</v>
      </c>
    </row>
    <row r="936" ht="15.75" customHeight="1">
      <c r="D936" s="11" t="s">
        <v>1762</v>
      </c>
      <c r="E936" s="11" t="s">
        <v>1762</v>
      </c>
      <c r="F936" s="11" t="s">
        <v>1762</v>
      </c>
    </row>
    <row r="937" ht="15.75" customHeight="1">
      <c r="D937" s="11" t="s">
        <v>1762</v>
      </c>
      <c r="E937" s="11" t="s">
        <v>1762</v>
      </c>
      <c r="F937" s="11" t="s">
        <v>1762</v>
      </c>
    </row>
    <row r="938" ht="15.75" customHeight="1">
      <c r="D938" s="11" t="s">
        <v>1762</v>
      </c>
      <c r="E938" s="11" t="s">
        <v>1762</v>
      </c>
      <c r="F938" s="11" t="s">
        <v>1762</v>
      </c>
    </row>
    <row r="939" ht="15.75" customHeight="1">
      <c r="D939" s="11" t="s">
        <v>1762</v>
      </c>
      <c r="E939" s="11" t="s">
        <v>1762</v>
      </c>
      <c r="F939" s="11" t="s">
        <v>1762</v>
      </c>
    </row>
    <row r="940" ht="15.75" customHeight="1">
      <c r="D940" s="11" t="s">
        <v>1762</v>
      </c>
      <c r="E940" s="11" t="s">
        <v>1762</v>
      </c>
      <c r="F940" s="11" t="s">
        <v>1762</v>
      </c>
    </row>
    <row r="941" ht="15.75" customHeight="1">
      <c r="D941" s="11" t="s">
        <v>1762</v>
      </c>
      <c r="E941" s="11" t="s">
        <v>1762</v>
      </c>
      <c r="F941" s="11" t="s">
        <v>1762</v>
      </c>
    </row>
    <row r="942" ht="15.75" customHeight="1">
      <c r="D942" s="11" t="s">
        <v>1762</v>
      </c>
      <c r="E942" s="11" t="s">
        <v>1762</v>
      </c>
      <c r="F942" s="11" t="s">
        <v>1762</v>
      </c>
    </row>
    <row r="943" ht="15.75" customHeight="1">
      <c r="D943" s="11" t="s">
        <v>1762</v>
      </c>
      <c r="E943" s="11" t="s">
        <v>1762</v>
      </c>
      <c r="F943" s="11" t="s">
        <v>1762</v>
      </c>
    </row>
    <row r="944" ht="15.75" customHeight="1">
      <c r="D944" s="11" t="s">
        <v>1762</v>
      </c>
      <c r="E944" s="11" t="s">
        <v>1762</v>
      </c>
      <c r="F944" s="11" t="s">
        <v>1762</v>
      </c>
    </row>
    <row r="945" ht="15.75" customHeight="1">
      <c r="D945" s="11" t="s">
        <v>1762</v>
      </c>
      <c r="E945" s="11" t="s">
        <v>1762</v>
      </c>
      <c r="F945" s="11" t="s">
        <v>1762</v>
      </c>
    </row>
    <row r="946" ht="15.75" customHeight="1">
      <c r="D946" s="11" t="s">
        <v>1762</v>
      </c>
      <c r="E946" s="11" t="s">
        <v>1762</v>
      </c>
      <c r="F946" s="11" t="s">
        <v>1762</v>
      </c>
    </row>
    <row r="947" ht="15.75" customHeight="1">
      <c r="D947" s="11" t="s">
        <v>1762</v>
      </c>
      <c r="E947" s="11" t="s">
        <v>1762</v>
      </c>
      <c r="F947" s="11" t="s">
        <v>1762</v>
      </c>
    </row>
    <row r="948" ht="15.75" customHeight="1">
      <c r="D948" s="11" t="s">
        <v>1762</v>
      </c>
      <c r="E948" s="11" t="s">
        <v>1762</v>
      </c>
      <c r="F948" s="11" t="s">
        <v>1762</v>
      </c>
    </row>
    <row r="949" ht="15.75" customHeight="1">
      <c r="D949" s="11" t="s">
        <v>1762</v>
      </c>
      <c r="E949" s="11" t="s">
        <v>1762</v>
      </c>
      <c r="F949" s="11" t="s">
        <v>1762</v>
      </c>
    </row>
    <row r="950" ht="15.75" customHeight="1">
      <c r="D950" s="11" t="s">
        <v>1762</v>
      </c>
      <c r="E950" s="11" t="s">
        <v>1762</v>
      </c>
      <c r="F950" s="11" t="s">
        <v>1762</v>
      </c>
    </row>
    <row r="951" ht="15.75" customHeight="1">
      <c r="D951" s="11" t="s">
        <v>1762</v>
      </c>
      <c r="E951" s="11" t="s">
        <v>1762</v>
      </c>
      <c r="F951" s="11" t="s">
        <v>1762</v>
      </c>
    </row>
    <row r="952" ht="15.75" customHeight="1">
      <c r="D952" s="11" t="s">
        <v>1762</v>
      </c>
      <c r="E952" s="11" t="s">
        <v>1762</v>
      </c>
      <c r="F952" s="11" t="s">
        <v>1762</v>
      </c>
    </row>
    <row r="953" ht="15.75" customHeight="1">
      <c r="D953" s="11" t="s">
        <v>1762</v>
      </c>
      <c r="E953" s="11" t="s">
        <v>1762</v>
      </c>
      <c r="F953" s="11" t="s">
        <v>1762</v>
      </c>
    </row>
    <row r="954" ht="15.75" customHeight="1">
      <c r="D954" s="11" t="s">
        <v>1762</v>
      </c>
      <c r="E954" s="11" t="s">
        <v>1762</v>
      </c>
      <c r="F954" s="11" t="s">
        <v>1762</v>
      </c>
    </row>
    <row r="955" ht="15.75" customHeight="1">
      <c r="D955" s="11" t="s">
        <v>1762</v>
      </c>
      <c r="E955" s="11" t="s">
        <v>1762</v>
      </c>
      <c r="F955" s="11" t="s">
        <v>1762</v>
      </c>
    </row>
    <row r="956" ht="15.75" customHeight="1">
      <c r="D956" s="11" t="s">
        <v>1762</v>
      </c>
      <c r="E956" s="11" t="s">
        <v>1762</v>
      </c>
      <c r="F956" s="11" t="s">
        <v>1762</v>
      </c>
    </row>
    <row r="957" ht="15.75" customHeight="1">
      <c r="D957" s="11" t="s">
        <v>1762</v>
      </c>
      <c r="E957" s="11" t="s">
        <v>1762</v>
      </c>
      <c r="F957" s="11" t="s">
        <v>1762</v>
      </c>
    </row>
    <row r="958" ht="15.75" customHeight="1">
      <c r="D958" s="11" t="s">
        <v>1762</v>
      </c>
      <c r="E958" s="11" t="s">
        <v>1762</v>
      </c>
      <c r="F958" s="11" t="s">
        <v>1762</v>
      </c>
    </row>
    <row r="959" ht="15.75" customHeight="1">
      <c r="D959" s="11" t="s">
        <v>1762</v>
      </c>
      <c r="E959" s="11" t="s">
        <v>1762</v>
      </c>
      <c r="F959" s="11" t="s">
        <v>1762</v>
      </c>
    </row>
    <row r="960" ht="15.75" customHeight="1">
      <c r="D960" s="11" t="s">
        <v>1762</v>
      </c>
      <c r="E960" s="11" t="s">
        <v>1762</v>
      </c>
      <c r="F960" s="11" t="s">
        <v>1762</v>
      </c>
    </row>
    <row r="961" ht="15.75" customHeight="1">
      <c r="D961" s="11" t="s">
        <v>1762</v>
      </c>
      <c r="E961" s="11" t="s">
        <v>1762</v>
      </c>
      <c r="F961" s="11" t="s">
        <v>1762</v>
      </c>
    </row>
    <row r="962" ht="15.75" customHeight="1">
      <c r="D962" s="11" t="s">
        <v>1762</v>
      </c>
      <c r="E962" s="11" t="s">
        <v>1762</v>
      </c>
      <c r="F962" s="11" t="s">
        <v>1762</v>
      </c>
    </row>
    <row r="963" ht="15.75" customHeight="1">
      <c r="D963" s="11" t="s">
        <v>1762</v>
      </c>
      <c r="E963" s="11" t="s">
        <v>1762</v>
      </c>
      <c r="F963" s="11" t="s">
        <v>1762</v>
      </c>
    </row>
    <row r="964" ht="15.75" customHeight="1">
      <c r="D964" s="11" t="s">
        <v>1762</v>
      </c>
      <c r="E964" s="11" t="s">
        <v>1762</v>
      </c>
      <c r="F964" s="11" t="s">
        <v>1762</v>
      </c>
    </row>
    <row r="965" ht="15.75" customHeight="1">
      <c r="D965" s="11" t="s">
        <v>1762</v>
      </c>
      <c r="E965" s="11" t="s">
        <v>1762</v>
      </c>
      <c r="F965" s="11" t="s">
        <v>1762</v>
      </c>
    </row>
    <row r="966" ht="15.75" customHeight="1">
      <c r="D966" s="11" t="s">
        <v>1762</v>
      </c>
      <c r="E966" s="11" t="s">
        <v>1762</v>
      </c>
      <c r="F966" s="11" t="s">
        <v>1762</v>
      </c>
    </row>
    <row r="967" ht="15.75" customHeight="1">
      <c r="D967" s="11" t="s">
        <v>1762</v>
      </c>
      <c r="E967" s="11" t="s">
        <v>1762</v>
      </c>
      <c r="F967" s="11" t="s">
        <v>1762</v>
      </c>
    </row>
    <row r="968" ht="15.75" customHeight="1">
      <c r="D968" s="11" t="s">
        <v>1762</v>
      </c>
      <c r="E968" s="11" t="s">
        <v>1762</v>
      </c>
      <c r="F968" s="11" t="s">
        <v>1762</v>
      </c>
    </row>
    <row r="969" ht="15.75" customHeight="1">
      <c r="D969" s="11" t="s">
        <v>1762</v>
      </c>
      <c r="E969" s="11" t="s">
        <v>1762</v>
      </c>
      <c r="F969" s="11" t="s">
        <v>1762</v>
      </c>
    </row>
    <row r="970" ht="15.75" customHeight="1">
      <c r="D970" s="11" t="s">
        <v>1762</v>
      </c>
      <c r="E970" s="11" t="s">
        <v>1762</v>
      </c>
      <c r="F970" s="11" t="s">
        <v>1762</v>
      </c>
    </row>
    <row r="971" ht="15.75" customHeight="1">
      <c r="D971" s="11" t="s">
        <v>1762</v>
      </c>
      <c r="E971" s="11" t="s">
        <v>1762</v>
      </c>
      <c r="F971" s="11" t="s">
        <v>1762</v>
      </c>
    </row>
    <row r="972" ht="15.75" customHeight="1">
      <c r="D972" s="11" t="s">
        <v>1762</v>
      </c>
      <c r="E972" s="11" t="s">
        <v>1762</v>
      </c>
      <c r="F972" s="11" t="s">
        <v>1762</v>
      </c>
    </row>
    <row r="973" ht="15.75" customHeight="1">
      <c r="D973" s="11" t="s">
        <v>1762</v>
      </c>
      <c r="E973" s="11" t="s">
        <v>1762</v>
      </c>
      <c r="F973" s="11" t="s">
        <v>1762</v>
      </c>
    </row>
    <row r="974" ht="15.75" customHeight="1">
      <c r="D974" s="11" t="s">
        <v>1762</v>
      </c>
      <c r="E974" s="11" t="s">
        <v>1762</v>
      </c>
      <c r="F974" s="11" t="s">
        <v>1762</v>
      </c>
    </row>
    <row r="975" ht="15.75" customHeight="1">
      <c r="D975" s="11" t="s">
        <v>1762</v>
      </c>
      <c r="E975" s="11" t="s">
        <v>1762</v>
      </c>
      <c r="F975" s="11" t="s">
        <v>1762</v>
      </c>
    </row>
    <row r="976" ht="15.75" customHeight="1">
      <c r="D976" s="11" t="s">
        <v>1762</v>
      </c>
      <c r="E976" s="11" t="s">
        <v>1762</v>
      </c>
      <c r="F976" s="11" t="s">
        <v>1762</v>
      </c>
    </row>
    <row r="977" ht="15.75" customHeight="1">
      <c r="D977" s="11" t="s">
        <v>1762</v>
      </c>
      <c r="E977" s="11" t="s">
        <v>1762</v>
      </c>
      <c r="F977" s="11" t="s">
        <v>1762</v>
      </c>
    </row>
    <row r="978" ht="15.75" customHeight="1">
      <c r="D978" s="11" t="s">
        <v>1762</v>
      </c>
      <c r="E978" s="11" t="s">
        <v>1762</v>
      </c>
      <c r="F978" s="11" t="s">
        <v>1762</v>
      </c>
    </row>
    <row r="979" ht="15.75" customHeight="1">
      <c r="D979" s="11" t="s">
        <v>1762</v>
      </c>
      <c r="E979" s="11" t="s">
        <v>1762</v>
      </c>
      <c r="F979" s="11" t="s">
        <v>1762</v>
      </c>
    </row>
    <row r="980" ht="15.75" customHeight="1">
      <c r="D980" s="11" t="s">
        <v>1762</v>
      </c>
      <c r="E980" s="11" t="s">
        <v>1762</v>
      </c>
      <c r="F980" s="11" t="s">
        <v>1762</v>
      </c>
    </row>
    <row r="981" ht="15.75" customHeight="1">
      <c r="D981" s="11" t="s">
        <v>1762</v>
      </c>
      <c r="E981" s="11" t="s">
        <v>1762</v>
      </c>
      <c r="F981" s="11" t="s">
        <v>1762</v>
      </c>
    </row>
    <row r="982" ht="15.75" customHeight="1">
      <c r="D982" s="11" t="s">
        <v>1762</v>
      </c>
      <c r="E982" s="11" t="s">
        <v>1762</v>
      </c>
      <c r="F982" s="11" t="s">
        <v>1762</v>
      </c>
    </row>
    <row r="983" ht="15.75" customHeight="1">
      <c r="D983" s="11" t="s">
        <v>1762</v>
      </c>
      <c r="E983" s="11" t="s">
        <v>1762</v>
      </c>
      <c r="F983" s="11" t="s">
        <v>1762</v>
      </c>
    </row>
    <row r="984" ht="15.75" customHeight="1">
      <c r="D984" s="11" t="s">
        <v>1762</v>
      </c>
      <c r="E984" s="11" t="s">
        <v>1762</v>
      </c>
      <c r="F984" s="11" t="s">
        <v>1762</v>
      </c>
    </row>
    <row r="985" ht="15.75" customHeight="1">
      <c r="D985" s="11" t="s">
        <v>1762</v>
      </c>
      <c r="E985" s="11" t="s">
        <v>1762</v>
      </c>
      <c r="F985" s="11" t="s">
        <v>1762</v>
      </c>
    </row>
    <row r="986" ht="15.75" customHeight="1">
      <c r="D986" s="11" t="s">
        <v>1762</v>
      </c>
      <c r="E986" s="11" t="s">
        <v>1762</v>
      </c>
      <c r="F986" s="11" t="s">
        <v>1762</v>
      </c>
    </row>
    <row r="987" ht="15.75" customHeight="1">
      <c r="D987" s="11" t="s">
        <v>1762</v>
      </c>
      <c r="E987" s="11" t="s">
        <v>1762</v>
      </c>
      <c r="F987" s="11" t="s">
        <v>1762</v>
      </c>
    </row>
    <row r="988" ht="15.75" customHeight="1">
      <c r="D988" s="11" t="s">
        <v>1762</v>
      </c>
      <c r="E988" s="11" t="s">
        <v>1762</v>
      </c>
      <c r="F988" s="11" t="s">
        <v>1762</v>
      </c>
    </row>
    <row r="989" ht="15.75" customHeight="1">
      <c r="D989" s="11" t="s">
        <v>1762</v>
      </c>
      <c r="E989" s="11" t="s">
        <v>1762</v>
      </c>
      <c r="F989" s="11" t="s">
        <v>1762</v>
      </c>
    </row>
    <row r="990" ht="15.75" customHeight="1">
      <c r="D990" s="11" t="s">
        <v>1762</v>
      </c>
      <c r="E990" s="11" t="s">
        <v>1762</v>
      </c>
      <c r="F990" s="11" t="s">
        <v>1762</v>
      </c>
    </row>
    <row r="991" ht="15.75" customHeight="1">
      <c r="D991" s="11" t="s">
        <v>1762</v>
      </c>
      <c r="E991" s="11" t="s">
        <v>1762</v>
      </c>
      <c r="F991" s="11" t="s">
        <v>1762</v>
      </c>
    </row>
    <row r="992" ht="15.75" customHeight="1">
      <c r="D992" s="11" t="s">
        <v>1762</v>
      </c>
      <c r="E992" s="11" t="s">
        <v>1762</v>
      </c>
      <c r="F992" s="11" t="s">
        <v>1762</v>
      </c>
    </row>
    <row r="993" ht="15.75" customHeight="1">
      <c r="D993" s="11" t="s">
        <v>1762</v>
      </c>
      <c r="E993" s="11" t="s">
        <v>1762</v>
      </c>
      <c r="F993" s="11" t="s">
        <v>1762</v>
      </c>
    </row>
    <row r="994" ht="15.75" customHeight="1">
      <c r="D994" s="11" t="s">
        <v>1762</v>
      </c>
      <c r="E994" s="11" t="s">
        <v>1762</v>
      </c>
      <c r="F994" s="11" t="s">
        <v>1762</v>
      </c>
    </row>
    <row r="995" ht="15.75" customHeight="1">
      <c r="D995" s="11" t="s">
        <v>1762</v>
      </c>
      <c r="E995" s="11" t="s">
        <v>1762</v>
      </c>
      <c r="F995" s="11" t="s">
        <v>1762</v>
      </c>
    </row>
    <row r="996" ht="15.75" customHeight="1">
      <c r="D996" s="11" t="s">
        <v>1762</v>
      </c>
      <c r="E996" s="11" t="s">
        <v>1762</v>
      </c>
      <c r="F996" s="11" t="s">
        <v>1762</v>
      </c>
    </row>
    <row r="997" ht="15.75" customHeight="1">
      <c r="D997" s="11" t="s">
        <v>1762</v>
      </c>
      <c r="E997" s="11" t="s">
        <v>1762</v>
      </c>
      <c r="F997" s="11" t="s">
        <v>1762</v>
      </c>
    </row>
    <row r="998" ht="15.75" customHeight="1">
      <c r="D998" s="11" t="s">
        <v>1762</v>
      </c>
      <c r="E998" s="11" t="s">
        <v>1762</v>
      </c>
      <c r="F998" s="11" t="s">
        <v>1762</v>
      </c>
    </row>
    <row r="999" ht="15.75" customHeight="1">
      <c r="D999" s="11" t="s">
        <v>1762</v>
      </c>
      <c r="E999" s="11" t="s">
        <v>1762</v>
      </c>
      <c r="F999" s="11" t="s">
        <v>1762</v>
      </c>
    </row>
    <row r="1000" ht="15.75" customHeight="1">
      <c r="D1000" s="11" t="s">
        <v>1762</v>
      </c>
      <c r="E1000" s="11" t="s">
        <v>1762</v>
      </c>
      <c r="F1000" s="11" t="s">
        <v>1762</v>
      </c>
    </row>
    <row r="1001" ht="15.75" customHeight="1">
      <c r="D1001" s="11" t="s">
        <v>1762</v>
      </c>
      <c r="E1001" s="11" t="s">
        <v>1762</v>
      </c>
      <c r="F1001" s="11" t="s">
        <v>1762</v>
      </c>
    </row>
  </sheetData>
  <autoFilter ref="$A$1:$W$139"/>
  <mergeCells count="1">
    <mergeCell ref="A2:C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88"/>
    <col customWidth="1" min="3" max="3" width="12.63"/>
    <col customWidth="1" min="4" max="6" width="14.38"/>
  </cols>
  <sheetData>
    <row r="1" ht="15.75" customHeight="1">
      <c r="A1" s="31" t="s">
        <v>1</v>
      </c>
      <c r="B1" s="3" t="s">
        <v>4</v>
      </c>
      <c r="C1" s="3" t="s">
        <v>11</v>
      </c>
      <c r="D1" s="11" t="str">
        <f>MATCHING_SHEETS("2C7")</f>
        <v>#NAME?</v>
      </c>
      <c r="E1" s="11" t="s">
        <v>2113</v>
      </c>
      <c r="F1" s="11" t="s">
        <v>2115</v>
      </c>
      <c r="G1" s="11" t="s">
        <v>2116</v>
      </c>
      <c r="H1" s="11" t="s">
        <v>2117</v>
      </c>
    </row>
    <row r="2" ht="15.75" customHeight="1">
      <c r="A2" s="32" t="s">
        <v>2119</v>
      </c>
      <c r="B2" s="15"/>
      <c r="C2" s="16"/>
      <c r="D2" s="11" t="str">
        <f t="array" ref="D2:Z2">BYCOL(D1:Z1, LAMBDA(col_header, 
  IF(ISBLANK(col_header),, 
    COUNTA(OFFSET(col_header, 2, 0, 158)) &amp; "/" &amp; COUNTA(INDIRECT("'" &amp; col_header &amp; "'!$C$2:$C"))
  )
))</f>
        <v>1/1</v>
      </c>
      <c r="E2" s="11" t="s">
        <v>2188</v>
      </c>
      <c r="F2" s="11" t="s">
        <v>2189</v>
      </c>
      <c r="G2" s="11" t="s">
        <v>2188</v>
      </c>
      <c r="H2" s="11" t="s">
        <v>2188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33" t="s">
        <v>2199</v>
      </c>
      <c r="B3" s="27" t="s">
        <v>213</v>
      </c>
      <c r="C3" s="27" t="s">
        <v>219</v>
      </c>
      <c r="D3" s="11" t="str">
        <f>IFERROR(__xludf.DUMMYFUNCTION("LET(
  list,INDIRECT(""'""&amp;D$1&amp;""'!$C$2:$C$160""),
  FILTER(list,BYROW(list,LAMBDA(x,COUNTIF($A$3:$A$160,x)=0)))
)"),"#NAME?")</f>
        <v>#NAME?</v>
      </c>
      <c r="E3" s="11" t="str">
        <f>IFERROR(__xludf.DUMMYFUNCTION("LET(
  list,INDIRECT(""'""&amp;E$1&amp;""'!$C$2:$C$160""),
  FILTER(list,BYROW(list,LAMBDA(x,COUNTIF($A$3:$A$160,x)=0)))
)"),"#REF!")</f>
        <v>#REF!</v>
      </c>
      <c r="F3" s="11" t="str">
        <f>IFERROR(__xludf.DUMMYFUNCTION("LET(
  list,INDIRECT(""'""&amp;F$1&amp;""'!$C$2:$C$160""),
  FILTER(list,BYROW(list,LAMBDA(x,COUNTIF($A$3:$A$160,x)=0)))
)"),"")</f>
        <v/>
      </c>
      <c r="G3" s="11" t="str">
        <f>IFERROR(__xludf.DUMMYFUNCTION("LET(
  list,INDIRECT(""'""&amp;G$1&amp;""'!$C$2:$C$160""),
  FILTER(list,BYROW(list,LAMBDA(x,COUNTIF($A$3:$A$160,x)=0)))
)"),"#REF!")</f>
        <v>#REF!</v>
      </c>
      <c r="H3" s="11" t="str">
        <f>IFERROR(__xludf.DUMMYFUNCTION("LET(
  list,INDIRECT(""'""&amp;H$1&amp;""'!$C$2:$C$160""),
  FILTER(list,BYROW(list,LAMBDA(x,COUNTIF($A$3:$A$160,x)=0)))
)"),"#REF!")</f>
        <v>#REF!</v>
      </c>
    </row>
    <row r="4" ht="15.75" customHeight="1">
      <c r="A4" s="33" t="s">
        <v>2219</v>
      </c>
      <c r="B4" s="27" t="s">
        <v>582</v>
      </c>
      <c r="C4" s="27" t="s">
        <v>219</v>
      </c>
      <c r="D4" s="11"/>
      <c r="E4" s="11"/>
      <c r="F4" s="11">
        <f>IFERROR(__xludf.DUMMYFUNCTION("""COMPUTED_VALUE"""),1.025030966E9)</f>
        <v>1025030966</v>
      </c>
      <c r="G4" s="11"/>
      <c r="H4" s="11"/>
    </row>
    <row r="5" ht="15.75" customHeight="1">
      <c r="A5" s="33" t="s">
        <v>2226</v>
      </c>
      <c r="B5" s="27" t="s">
        <v>593</v>
      </c>
      <c r="C5" s="27" t="s">
        <v>219</v>
      </c>
      <c r="D5" s="11"/>
      <c r="E5" s="11"/>
      <c r="F5" s="11"/>
      <c r="G5" s="11"/>
      <c r="H5" s="11"/>
    </row>
    <row r="6" ht="15.75" customHeight="1">
      <c r="A6" s="33" t="s">
        <v>2232</v>
      </c>
      <c r="B6" s="27" t="s">
        <v>602</v>
      </c>
      <c r="C6" s="27" t="s">
        <v>219</v>
      </c>
      <c r="D6" s="11"/>
      <c r="E6" s="11"/>
      <c r="F6" s="11"/>
      <c r="G6" s="11"/>
      <c r="H6" s="11"/>
    </row>
    <row r="7" ht="15.75" customHeight="1">
      <c r="A7" s="33" t="s">
        <v>233</v>
      </c>
      <c r="B7" s="27" t="s">
        <v>611</v>
      </c>
      <c r="C7" s="27" t="s">
        <v>219</v>
      </c>
      <c r="D7" s="11"/>
      <c r="E7" s="11"/>
      <c r="F7" s="11"/>
      <c r="G7" s="11"/>
      <c r="H7" s="11"/>
    </row>
    <row r="8" ht="15.75" customHeight="1">
      <c r="A8" s="33" t="s">
        <v>610</v>
      </c>
      <c r="B8" s="27" t="s">
        <v>622</v>
      </c>
      <c r="C8" s="27" t="s">
        <v>219</v>
      </c>
      <c r="D8" s="11"/>
      <c r="E8" s="11"/>
      <c r="F8" s="11"/>
      <c r="G8" s="11"/>
      <c r="H8" s="11"/>
    </row>
    <row r="9" ht="15.75" customHeight="1">
      <c r="A9" s="33" t="s">
        <v>2250</v>
      </c>
      <c r="B9" s="27" t="s">
        <v>631</v>
      </c>
      <c r="C9" s="27" t="s">
        <v>219</v>
      </c>
      <c r="D9" s="11"/>
      <c r="E9" s="11"/>
      <c r="F9" s="11"/>
      <c r="G9" s="11"/>
      <c r="H9" s="11"/>
    </row>
    <row r="10" ht="15.75" customHeight="1">
      <c r="A10" s="33" t="s">
        <v>2256</v>
      </c>
      <c r="B10" s="27" t="s">
        <v>640</v>
      </c>
      <c r="C10" s="27" t="s">
        <v>219</v>
      </c>
      <c r="D10" s="11"/>
      <c r="E10" s="11"/>
      <c r="F10" s="11"/>
      <c r="G10" s="11"/>
      <c r="H10" s="11"/>
    </row>
    <row r="11" ht="15.75" customHeight="1">
      <c r="A11" s="33" t="s">
        <v>2262</v>
      </c>
      <c r="B11" s="27" t="s">
        <v>651</v>
      </c>
      <c r="C11" s="27" t="s">
        <v>219</v>
      </c>
      <c r="D11" s="11"/>
      <c r="E11" s="11"/>
      <c r="F11" s="11"/>
      <c r="G11" s="11"/>
      <c r="H11" s="11"/>
    </row>
    <row r="12" ht="15.75" customHeight="1">
      <c r="A12" s="33" t="s">
        <v>2267</v>
      </c>
      <c r="B12" s="27" t="s">
        <v>659</v>
      </c>
      <c r="C12" s="27" t="s">
        <v>219</v>
      </c>
      <c r="D12" s="11"/>
      <c r="E12" s="11"/>
      <c r="F12" s="11"/>
      <c r="G12" s="11"/>
      <c r="H12" s="11"/>
    </row>
    <row r="13" ht="15.75" customHeight="1">
      <c r="A13" s="33" t="s">
        <v>2272</v>
      </c>
      <c r="B13" s="27" t="s">
        <v>665</v>
      </c>
      <c r="C13" s="27" t="s">
        <v>219</v>
      </c>
      <c r="D13" s="11"/>
      <c r="E13" s="11"/>
      <c r="F13" s="11"/>
      <c r="G13" s="11"/>
      <c r="H13" s="11"/>
    </row>
    <row r="14" ht="15.75" customHeight="1">
      <c r="A14" s="33" t="s">
        <v>2276</v>
      </c>
      <c r="B14" s="27" t="s">
        <v>677</v>
      </c>
      <c r="C14" s="27" t="s">
        <v>219</v>
      </c>
      <c r="D14" s="11"/>
      <c r="E14" s="11"/>
      <c r="F14" s="11"/>
      <c r="G14" s="11"/>
      <c r="H14" s="11"/>
    </row>
    <row r="15" ht="15.75" customHeight="1">
      <c r="A15" s="33" t="s">
        <v>2282</v>
      </c>
      <c r="B15" s="27" t="s">
        <v>687</v>
      </c>
      <c r="C15" s="27" t="s">
        <v>219</v>
      </c>
      <c r="D15" s="11"/>
      <c r="E15" s="11"/>
      <c r="F15" s="11"/>
      <c r="G15" s="11"/>
      <c r="H15" s="11"/>
    </row>
    <row r="16" ht="15.75" customHeight="1">
      <c r="A16" s="33" t="s">
        <v>2287</v>
      </c>
      <c r="B16" s="27" t="s">
        <v>697</v>
      </c>
      <c r="C16" s="27" t="s">
        <v>219</v>
      </c>
      <c r="D16" s="11"/>
      <c r="E16" s="11"/>
      <c r="F16" s="11"/>
      <c r="G16" s="11"/>
      <c r="H16" s="11"/>
    </row>
    <row r="17" ht="15.75" customHeight="1">
      <c r="A17" s="33" t="s">
        <v>2293</v>
      </c>
      <c r="B17" s="27" t="s">
        <v>708</v>
      </c>
      <c r="C17" s="27" t="s">
        <v>219</v>
      </c>
      <c r="D17" s="11"/>
      <c r="E17" s="11"/>
      <c r="F17" s="11"/>
      <c r="G17" s="11"/>
      <c r="H17" s="11"/>
    </row>
    <row r="18" ht="15.75" customHeight="1">
      <c r="A18" s="33" t="s">
        <v>2300</v>
      </c>
      <c r="B18" s="27" t="s">
        <v>718</v>
      </c>
      <c r="C18" s="27" t="s">
        <v>219</v>
      </c>
      <c r="D18" s="11"/>
      <c r="E18" s="11"/>
      <c r="F18" s="11"/>
      <c r="G18" s="11"/>
      <c r="H18" s="11"/>
    </row>
    <row r="19" ht="15.75" customHeight="1">
      <c r="A19" s="33" t="s">
        <v>2305</v>
      </c>
      <c r="B19" s="27" t="s">
        <v>735</v>
      </c>
      <c r="C19" s="27" t="s">
        <v>219</v>
      </c>
      <c r="D19" s="11"/>
      <c r="E19" s="11"/>
      <c r="F19" s="11"/>
      <c r="G19" s="11"/>
      <c r="H19" s="11"/>
    </row>
    <row r="20" ht="15.75" customHeight="1">
      <c r="A20" s="33" t="s">
        <v>2313</v>
      </c>
      <c r="B20" s="27" t="s">
        <v>748</v>
      </c>
      <c r="C20" s="27" t="s">
        <v>219</v>
      </c>
      <c r="D20" s="11"/>
      <c r="E20" s="11"/>
      <c r="F20" s="11"/>
      <c r="G20" s="11"/>
      <c r="H20" s="11"/>
    </row>
    <row r="21" ht="15.75" customHeight="1">
      <c r="A21" s="33" t="s">
        <v>2319</v>
      </c>
      <c r="B21" s="27" t="s">
        <v>759</v>
      </c>
      <c r="C21" s="27" t="s">
        <v>219</v>
      </c>
      <c r="D21" s="11"/>
      <c r="E21" s="11"/>
      <c r="F21" s="11"/>
      <c r="G21" s="11"/>
      <c r="H21" s="11"/>
    </row>
    <row r="22" ht="15.75" customHeight="1">
      <c r="A22" s="33" t="s">
        <v>2325</v>
      </c>
      <c r="B22" s="27" t="s">
        <v>768</v>
      </c>
      <c r="C22" s="27" t="s">
        <v>219</v>
      </c>
      <c r="D22" s="11"/>
      <c r="E22" s="11"/>
      <c r="F22" s="11"/>
      <c r="G22" s="11"/>
      <c r="H22" s="11"/>
    </row>
    <row r="23" ht="15.75" customHeight="1">
      <c r="A23" s="33" t="s">
        <v>2330</v>
      </c>
      <c r="B23" s="27" t="s">
        <v>775</v>
      </c>
      <c r="C23" s="27" t="s">
        <v>219</v>
      </c>
      <c r="D23" s="11"/>
      <c r="E23" s="11"/>
      <c r="F23" s="11"/>
      <c r="G23" s="11"/>
      <c r="H23" s="11"/>
    </row>
    <row r="24" ht="15.75" customHeight="1">
      <c r="A24" s="33" t="s">
        <v>2334</v>
      </c>
      <c r="B24" s="27" t="s">
        <v>791</v>
      </c>
      <c r="C24" s="27" t="s">
        <v>219</v>
      </c>
      <c r="D24" s="11"/>
      <c r="E24" s="11"/>
      <c r="F24" s="11"/>
      <c r="G24" s="11"/>
      <c r="H24" s="11"/>
    </row>
    <row r="25" ht="15.75" customHeight="1">
      <c r="A25" s="33" t="s">
        <v>2339</v>
      </c>
      <c r="B25" s="27" t="s">
        <v>799</v>
      </c>
      <c r="C25" s="27" t="s">
        <v>219</v>
      </c>
      <c r="D25" s="11"/>
      <c r="E25" s="11"/>
      <c r="F25" s="11"/>
      <c r="G25" s="11"/>
      <c r="H25" s="11"/>
    </row>
    <row r="26" ht="15.75" customHeight="1">
      <c r="A26" s="33" t="s">
        <v>2347</v>
      </c>
      <c r="B26" s="27" t="s">
        <v>812</v>
      </c>
      <c r="C26" s="27" t="s">
        <v>219</v>
      </c>
      <c r="D26" s="11"/>
      <c r="E26" s="11"/>
      <c r="F26" s="11"/>
      <c r="G26" s="11"/>
      <c r="H26" s="11"/>
    </row>
    <row r="27" ht="15.75" customHeight="1">
      <c r="A27" s="33" t="s">
        <v>2351</v>
      </c>
      <c r="B27" s="27" t="s">
        <v>818</v>
      </c>
      <c r="C27" s="27" t="s">
        <v>184</v>
      </c>
      <c r="D27" s="11"/>
      <c r="E27" s="11"/>
      <c r="F27" s="11"/>
      <c r="G27" s="11"/>
      <c r="H27" s="11"/>
    </row>
    <row r="28" ht="15.75" customHeight="1">
      <c r="A28" s="33" t="s">
        <v>2355</v>
      </c>
      <c r="B28" s="27" t="s">
        <v>824</v>
      </c>
      <c r="C28" s="27" t="s">
        <v>184</v>
      </c>
      <c r="D28" s="11"/>
      <c r="E28" s="11"/>
      <c r="F28" s="11"/>
      <c r="G28" s="11"/>
      <c r="H28" s="11"/>
    </row>
    <row r="29" ht="15.75" customHeight="1">
      <c r="A29" s="33" t="s">
        <v>2360</v>
      </c>
      <c r="B29" s="27" t="s">
        <v>834</v>
      </c>
      <c r="C29" s="27" t="s">
        <v>184</v>
      </c>
      <c r="D29" s="11"/>
      <c r="E29" s="11"/>
      <c r="F29" s="11"/>
      <c r="G29" s="11"/>
      <c r="H29" s="11"/>
    </row>
    <row r="30" ht="15.75" customHeight="1">
      <c r="A30" s="33" t="s">
        <v>2366</v>
      </c>
      <c r="B30" s="27" t="s">
        <v>845</v>
      </c>
      <c r="C30" s="27" t="s">
        <v>184</v>
      </c>
      <c r="D30" s="11"/>
      <c r="E30" s="11"/>
      <c r="F30" s="11"/>
      <c r="G30" s="11"/>
      <c r="H30" s="11"/>
    </row>
    <row r="31" ht="15.75" customHeight="1">
      <c r="A31" s="33" t="s">
        <v>2373</v>
      </c>
      <c r="B31" s="27" t="s">
        <v>853</v>
      </c>
      <c r="C31" s="27" t="s">
        <v>184</v>
      </c>
      <c r="D31" s="11"/>
      <c r="E31" s="11"/>
      <c r="F31" s="11"/>
      <c r="G31" s="11"/>
      <c r="H31" s="11"/>
    </row>
    <row r="32" ht="15.75" customHeight="1">
      <c r="A32" s="33" t="s">
        <v>2379</v>
      </c>
      <c r="B32" s="27" t="s">
        <v>866</v>
      </c>
      <c r="C32" s="27" t="s">
        <v>184</v>
      </c>
      <c r="D32" s="11"/>
      <c r="E32" s="11"/>
      <c r="F32" s="11"/>
      <c r="G32" s="11"/>
      <c r="H32" s="11"/>
    </row>
    <row r="33" ht="15.75" customHeight="1">
      <c r="A33" s="33" t="s">
        <v>2385</v>
      </c>
      <c r="B33" s="27" t="s">
        <v>875</v>
      </c>
      <c r="C33" s="27" t="s">
        <v>184</v>
      </c>
      <c r="D33" s="11"/>
      <c r="E33" s="11"/>
      <c r="F33" s="11"/>
      <c r="G33" s="11"/>
      <c r="H33" s="11"/>
    </row>
    <row r="34" ht="15.75" customHeight="1">
      <c r="A34" s="33" t="s">
        <v>2393</v>
      </c>
      <c r="B34" s="27" t="s">
        <v>888</v>
      </c>
      <c r="C34" s="27" t="s">
        <v>184</v>
      </c>
      <c r="D34" s="11"/>
      <c r="E34" s="11"/>
      <c r="F34" s="11"/>
      <c r="G34" s="11"/>
      <c r="H34" s="11"/>
    </row>
    <row r="35" ht="15.75" customHeight="1">
      <c r="A35" s="33" t="s">
        <v>2397</v>
      </c>
      <c r="B35" s="27" t="s">
        <v>900</v>
      </c>
      <c r="C35" s="27" t="s">
        <v>184</v>
      </c>
      <c r="D35" s="11"/>
      <c r="E35" s="11"/>
      <c r="F35" s="11"/>
      <c r="G35" s="11"/>
      <c r="H35" s="11"/>
    </row>
    <row r="36" ht="15.75" customHeight="1">
      <c r="A36" s="33" t="s">
        <v>2403</v>
      </c>
      <c r="B36" s="27" t="s">
        <v>914</v>
      </c>
      <c r="C36" s="27" t="s">
        <v>184</v>
      </c>
      <c r="D36" s="11"/>
      <c r="E36" s="11"/>
      <c r="F36" s="11"/>
      <c r="G36" s="11"/>
      <c r="H36" s="11"/>
    </row>
    <row r="37" ht="15.75" customHeight="1">
      <c r="A37" s="33" t="s">
        <v>2409</v>
      </c>
      <c r="B37" s="27" t="s">
        <v>921</v>
      </c>
      <c r="C37" s="27" t="s">
        <v>184</v>
      </c>
      <c r="D37" s="11"/>
      <c r="E37" s="11"/>
      <c r="F37" s="11"/>
      <c r="G37" s="11"/>
      <c r="H37" s="11"/>
    </row>
    <row r="38" ht="15.75" customHeight="1">
      <c r="A38" s="33" t="s">
        <v>2413</v>
      </c>
      <c r="B38" s="27" t="s">
        <v>929</v>
      </c>
      <c r="C38" s="27" t="s">
        <v>184</v>
      </c>
      <c r="D38" s="11"/>
      <c r="E38" s="11"/>
      <c r="F38" s="11"/>
      <c r="G38" s="11"/>
      <c r="H38" s="11"/>
    </row>
    <row r="39" ht="15.75" customHeight="1">
      <c r="A39" s="33" t="s">
        <v>178</v>
      </c>
      <c r="B39" s="27" t="s">
        <v>939</v>
      </c>
      <c r="C39" s="27" t="s">
        <v>184</v>
      </c>
      <c r="D39" s="11"/>
      <c r="E39" s="11"/>
      <c r="F39" s="11"/>
      <c r="G39" s="11"/>
      <c r="H39" s="11"/>
    </row>
    <row r="40" ht="15.75" customHeight="1">
      <c r="A40" s="33" t="s">
        <v>2420</v>
      </c>
      <c r="B40" s="27" t="s">
        <v>950</v>
      </c>
      <c r="C40" s="27" t="s">
        <v>184</v>
      </c>
      <c r="D40" s="11"/>
      <c r="E40" s="11"/>
      <c r="F40" s="11"/>
      <c r="G40" s="11"/>
      <c r="H40" s="11"/>
    </row>
    <row r="41" ht="15.75" customHeight="1">
      <c r="A41" s="33" t="s">
        <v>2424</v>
      </c>
      <c r="B41" s="27" t="s">
        <v>959</v>
      </c>
      <c r="C41" s="27" t="s">
        <v>184</v>
      </c>
      <c r="D41" s="11"/>
      <c r="E41" s="11"/>
      <c r="F41" s="11"/>
      <c r="G41" s="11"/>
      <c r="H41" s="11"/>
    </row>
    <row r="42" ht="15.75" customHeight="1">
      <c r="A42" s="33" t="s">
        <v>2431</v>
      </c>
      <c r="B42" s="27" t="s">
        <v>969</v>
      </c>
      <c r="C42" s="27" t="s">
        <v>184</v>
      </c>
      <c r="D42" s="11"/>
      <c r="E42" s="11"/>
      <c r="F42" s="11"/>
      <c r="G42" s="11"/>
      <c r="H42" s="11"/>
    </row>
    <row r="43" ht="15.75" customHeight="1">
      <c r="A43" s="33" t="s">
        <v>2436</v>
      </c>
      <c r="B43" s="27" t="s">
        <v>980</v>
      </c>
      <c r="C43" s="27" t="s">
        <v>184</v>
      </c>
      <c r="D43" s="11"/>
      <c r="E43" s="11"/>
      <c r="F43" s="11"/>
      <c r="G43" s="11"/>
      <c r="H43" s="11"/>
    </row>
    <row r="44" ht="15.75" customHeight="1">
      <c r="A44" s="33" t="s">
        <v>2442</v>
      </c>
      <c r="B44" s="27" t="s">
        <v>987</v>
      </c>
      <c r="C44" s="27" t="s">
        <v>184</v>
      </c>
      <c r="D44" s="11"/>
      <c r="E44" s="11"/>
      <c r="F44" s="11"/>
      <c r="G44" s="11"/>
      <c r="H44" s="11"/>
    </row>
    <row r="45" ht="15.75" customHeight="1">
      <c r="A45" s="33" t="s">
        <v>2450</v>
      </c>
      <c r="B45" s="27" t="s">
        <v>995</v>
      </c>
      <c r="C45" s="27" t="s">
        <v>184</v>
      </c>
      <c r="D45" s="11"/>
      <c r="E45" s="11"/>
      <c r="F45" s="11"/>
      <c r="G45" s="11"/>
      <c r="H45" s="11"/>
    </row>
    <row r="46" ht="15.75" customHeight="1">
      <c r="A46" s="33" t="s">
        <v>2453</v>
      </c>
      <c r="B46" s="27" t="s">
        <v>1006</v>
      </c>
      <c r="C46" s="27" t="s">
        <v>184</v>
      </c>
      <c r="D46" s="11"/>
      <c r="E46" s="11"/>
      <c r="F46" s="11"/>
      <c r="G46" s="11"/>
      <c r="H46" s="11"/>
    </row>
    <row r="47" ht="15.75" customHeight="1">
      <c r="A47" s="33" t="s">
        <v>2457</v>
      </c>
      <c r="B47" s="27" t="s">
        <v>1016</v>
      </c>
      <c r="C47" s="27" t="s">
        <v>184</v>
      </c>
      <c r="D47" s="11"/>
      <c r="E47" s="11"/>
      <c r="F47" s="11"/>
      <c r="G47" s="11"/>
      <c r="H47" s="11"/>
    </row>
    <row r="48" ht="15.75" customHeight="1">
      <c r="A48" s="33" t="s">
        <v>2463</v>
      </c>
      <c r="B48" s="27" t="s">
        <v>1024</v>
      </c>
      <c r="C48" s="27" t="s">
        <v>184</v>
      </c>
      <c r="D48" s="11"/>
      <c r="E48" s="11"/>
      <c r="F48" s="11"/>
      <c r="G48" s="11"/>
      <c r="H48" s="11"/>
    </row>
    <row r="49" ht="15.75" customHeight="1">
      <c r="A49" s="33" t="s">
        <v>2468</v>
      </c>
      <c r="B49" s="27" t="s">
        <v>1032</v>
      </c>
      <c r="C49" s="27" t="s">
        <v>184</v>
      </c>
      <c r="D49" s="11"/>
      <c r="E49" s="11"/>
      <c r="F49" s="11"/>
      <c r="G49" s="11"/>
      <c r="H49" s="11"/>
    </row>
    <row r="50" ht="15.75" customHeight="1">
      <c r="A50" s="33" t="s">
        <v>2476</v>
      </c>
      <c r="B50" s="27" t="s">
        <v>1042</v>
      </c>
      <c r="C50" s="27" t="s">
        <v>184</v>
      </c>
      <c r="D50" s="11"/>
      <c r="E50" s="11"/>
      <c r="F50" s="11"/>
      <c r="G50" s="11"/>
      <c r="H50" s="11"/>
    </row>
    <row r="51" ht="15.75" customHeight="1">
      <c r="A51" s="33" t="s">
        <v>2482</v>
      </c>
      <c r="B51" s="27" t="s">
        <v>1048</v>
      </c>
      <c r="C51" s="27" t="s">
        <v>184</v>
      </c>
      <c r="D51" s="11"/>
      <c r="E51" s="11"/>
      <c r="F51" s="11"/>
      <c r="G51" s="11"/>
      <c r="H51" s="11"/>
    </row>
    <row r="52" ht="15.75" customHeight="1">
      <c r="A52" s="33" t="s">
        <v>2487</v>
      </c>
      <c r="B52" s="27" t="s">
        <v>1059</v>
      </c>
      <c r="C52" s="27" t="s">
        <v>184</v>
      </c>
      <c r="D52" s="11"/>
      <c r="E52" s="11"/>
      <c r="F52" s="11"/>
      <c r="G52" s="11"/>
      <c r="H52" s="11"/>
    </row>
    <row r="53" ht="15.75" customHeight="1">
      <c r="A53" s="33" t="s">
        <v>2493</v>
      </c>
      <c r="B53" s="27" t="s">
        <v>1070</v>
      </c>
      <c r="C53" s="27" t="s">
        <v>1071</v>
      </c>
      <c r="D53" s="11"/>
      <c r="E53" s="11"/>
      <c r="F53" s="11"/>
      <c r="G53" s="11"/>
      <c r="H53" s="11"/>
    </row>
    <row r="54" ht="15.75" customHeight="1">
      <c r="A54" s="33" t="s">
        <v>2499</v>
      </c>
      <c r="B54" s="27" t="s">
        <v>1079</v>
      </c>
      <c r="C54" s="27" t="s">
        <v>1071</v>
      </c>
      <c r="D54" s="11"/>
      <c r="E54" s="11"/>
      <c r="F54" s="11"/>
      <c r="G54" s="11"/>
      <c r="H54" s="11"/>
    </row>
    <row r="55" ht="15.75" customHeight="1">
      <c r="A55" s="33" t="s">
        <v>2505</v>
      </c>
      <c r="B55" s="27" t="s">
        <v>1091</v>
      </c>
      <c r="C55" s="27" t="s">
        <v>1071</v>
      </c>
      <c r="D55" s="11"/>
      <c r="E55" s="11"/>
      <c r="F55" s="11"/>
      <c r="G55" s="11"/>
      <c r="H55" s="11"/>
    </row>
    <row r="56" ht="15.75" customHeight="1">
      <c r="A56" s="33" t="s">
        <v>2329</v>
      </c>
      <c r="B56" s="27" t="s">
        <v>1106</v>
      </c>
      <c r="C56" s="27" t="s">
        <v>1071</v>
      </c>
      <c r="D56" s="11"/>
      <c r="E56" s="11"/>
      <c r="F56" s="11"/>
      <c r="G56" s="11"/>
      <c r="H56" s="11"/>
    </row>
    <row r="57" ht="15.75" customHeight="1">
      <c r="A57" s="33" t="s">
        <v>2521</v>
      </c>
      <c r="B57" s="27" t="s">
        <v>1116</v>
      </c>
      <c r="C57" s="27" t="s">
        <v>1071</v>
      </c>
      <c r="D57" s="11"/>
      <c r="E57" s="11"/>
      <c r="F57" s="11"/>
      <c r="G57" s="11"/>
      <c r="H57" s="11"/>
    </row>
    <row r="58" ht="15.75" customHeight="1">
      <c r="A58" s="33" t="s">
        <v>2527</v>
      </c>
      <c r="B58" s="27" t="s">
        <v>1129</v>
      </c>
      <c r="C58" s="27" t="s">
        <v>1071</v>
      </c>
      <c r="D58" s="11"/>
      <c r="E58" s="11"/>
      <c r="F58" s="11"/>
      <c r="G58" s="11"/>
      <c r="H58" s="11"/>
    </row>
    <row r="59" ht="15.75" customHeight="1">
      <c r="A59" s="33" t="s">
        <v>2534</v>
      </c>
      <c r="B59" s="27" t="s">
        <v>1141</v>
      </c>
      <c r="C59" s="27" t="s">
        <v>1071</v>
      </c>
      <c r="D59" s="11"/>
      <c r="E59" s="11"/>
      <c r="F59" s="11"/>
      <c r="G59" s="11"/>
      <c r="H59" s="11"/>
    </row>
    <row r="60" ht="15.75" customHeight="1">
      <c r="A60" s="33" t="s">
        <v>2545</v>
      </c>
      <c r="B60" s="27" t="s">
        <v>1151</v>
      </c>
      <c r="C60" s="27" t="s">
        <v>1071</v>
      </c>
      <c r="D60" s="11"/>
      <c r="E60" s="11"/>
      <c r="F60" s="11"/>
      <c r="G60" s="11"/>
      <c r="H60" s="11"/>
    </row>
    <row r="61" ht="15.75" customHeight="1">
      <c r="A61" s="33" t="s">
        <v>2550</v>
      </c>
      <c r="B61" s="27" t="s">
        <v>1160</v>
      </c>
      <c r="C61" s="27" t="s">
        <v>1071</v>
      </c>
      <c r="D61" s="11"/>
      <c r="E61" s="11"/>
      <c r="F61" s="11"/>
      <c r="G61" s="11"/>
      <c r="H61" s="11"/>
    </row>
    <row r="62" ht="15.75" customHeight="1">
      <c r="A62" s="33" t="s">
        <v>2555</v>
      </c>
      <c r="B62" s="27" t="s">
        <v>1171</v>
      </c>
      <c r="C62" s="27" t="s">
        <v>1071</v>
      </c>
      <c r="D62" s="11"/>
      <c r="E62" s="11"/>
      <c r="F62" s="11"/>
      <c r="G62" s="11"/>
      <c r="H62" s="11"/>
    </row>
    <row r="63" ht="15.75" customHeight="1">
      <c r="A63" s="33" t="s">
        <v>2565</v>
      </c>
      <c r="B63" s="27" t="s">
        <v>1182</v>
      </c>
      <c r="C63" s="27" t="s">
        <v>1071</v>
      </c>
      <c r="D63" s="11"/>
      <c r="E63" s="11"/>
      <c r="F63" s="11"/>
      <c r="G63" s="11"/>
      <c r="H63" s="11"/>
    </row>
    <row r="64" ht="15.75" customHeight="1">
      <c r="A64" s="33" t="s">
        <v>2571</v>
      </c>
      <c r="B64" s="27" t="s">
        <v>1192</v>
      </c>
      <c r="C64" s="27" t="s">
        <v>1071</v>
      </c>
      <c r="D64" s="11"/>
      <c r="E64" s="11"/>
      <c r="F64" s="11"/>
      <c r="G64" s="11"/>
      <c r="H64" s="11"/>
    </row>
    <row r="65" ht="15.75" customHeight="1">
      <c r="A65" s="33" t="s">
        <v>2579</v>
      </c>
      <c r="B65" s="27" t="s">
        <v>1203</v>
      </c>
      <c r="C65" s="27" t="s">
        <v>1071</v>
      </c>
      <c r="D65" s="11"/>
      <c r="E65" s="11"/>
      <c r="F65" s="11"/>
      <c r="G65" s="11"/>
      <c r="H65" s="11"/>
    </row>
    <row r="66" ht="15.75" customHeight="1">
      <c r="A66" s="33" t="s">
        <v>2475</v>
      </c>
      <c r="B66" s="27" t="s">
        <v>1211</v>
      </c>
      <c r="C66" s="27" t="s">
        <v>1071</v>
      </c>
      <c r="D66" s="11"/>
      <c r="E66" s="11"/>
      <c r="F66" s="11"/>
      <c r="G66" s="11"/>
      <c r="H66" s="11"/>
    </row>
    <row r="67" ht="15.75" customHeight="1">
      <c r="A67" s="33" t="s">
        <v>2595</v>
      </c>
      <c r="B67" s="27" t="s">
        <v>1220</v>
      </c>
      <c r="C67" s="27" t="s">
        <v>1071</v>
      </c>
      <c r="D67" s="11"/>
      <c r="E67" s="11"/>
      <c r="F67" s="11"/>
      <c r="G67" s="11"/>
      <c r="H67" s="11"/>
    </row>
    <row r="68" ht="15.75" customHeight="1">
      <c r="A68" s="33" t="s">
        <v>2604</v>
      </c>
      <c r="B68" s="27" t="s">
        <v>1237</v>
      </c>
      <c r="C68" s="27" t="s">
        <v>1071</v>
      </c>
      <c r="D68" s="11"/>
      <c r="E68" s="11"/>
      <c r="F68" s="11"/>
      <c r="G68" s="11"/>
      <c r="H68" s="11"/>
    </row>
    <row r="69" ht="15.75" customHeight="1">
      <c r="A69" s="33" t="s">
        <v>2612</v>
      </c>
      <c r="B69" s="27" t="s">
        <v>1249</v>
      </c>
      <c r="C69" s="27" t="s">
        <v>1071</v>
      </c>
      <c r="D69" s="11"/>
      <c r="E69" s="11"/>
      <c r="F69" s="11"/>
      <c r="G69" s="11"/>
      <c r="H69" s="11"/>
    </row>
    <row r="70" ht="15.75" customHeight="1">
      <c r="A70" s="33" t="s">
        <v>2623</v>
      </c>
      <c r="B70" s="27" t="s">
        <v>1257</v>
      </c>
      <c r="C70" s="27" t="s">
        <v>1071</v>
      </c>
      <c r="D70" s="11"/>
      <c r="E70" s="11"/>
      <c r="F70" s="11"/>
      <c r="G70" s="11"/>
      <c r="H70" s="11"/>
    </row>
    <row r="71" ht="15.75" customHeight="1">
      <c r="A71" s="33" t="s">
        <v>2629</v>
      </c>
      <c r="B71" s="27" t="s">
        <v>1267</v>
      </c>
      <c r="C71" s="27" t="s">
        <v>1071</v>
      </c>
      <c r="D71" s="11"/>
      <c r="E71" s="11"/>
      <c r="F71" s="11"/>
      <c r="G71" s="11"/>
      <c r="H71" s="11"/>
    </row>
    <row r="72" ht="15.75" customHeight="1">
      <c r="A72" s="33" t="s">
        <v>2635</v>
      </c>
      <c r="B72" s="27" t="s">
        <v>1276</v>
      </c>
      <c r="C72" s="27" t="s">
        <v>1071</v>
      </c>
      <c r="D72" s="11"/>
      <c r="E72" s="11"/>
      <c r="F72" s="11"/>
      <c r="G72" s="11"/>
      <c r="H72" s="11"/>
    </row>
    <row r="73" ht="15.75" customHeight="1">
      <c r="A73" s="33" t="s">
        <v>2643</v>
      </c>
      <c r="B73" s="27" t="s">
        <v>1283</v>
      </c>
      <c r="C73" s="27" t="s">
        <v>1071</v>
      </c>
      <c r="D73" s="11"/>
      <c r="E73" s="11"/>
      <c r="F73" s="11"/>
      <c r="G73" s="11"/>
      <c r="H73" s="11"/>
    </row>
    <row r="74" ht="15.75" customHeight="1">
      <c r="A74" s="33" t="s">
        <v>2650</v>
      </c>
      <c r="B74" s="27" t="s">
        <v>1295</v>
      </c>
      <c r="C74" s="27" t="s">
        <v>1071</v>
      </c>
      <c r="D74" s="11"/>
      <c r="E74" s="11"/>
      <c r="F74" s="11"/>
      <c r="G74" s="11"/>
      <c r="H74" s="11"/>
    </row>
    <row r="75" ht="15.75" customHeight="1">
      <c r="A75" s="33" t="s">
        <v>2657</v>
      </c>
      <c r="B75" s="27" t="s">
        <v>1305</v>
      </c>
      <c r="C75" s="27" t="s">
        <v>1071</v>
      </c>
      <c r="D75" s="11"/>
      <c r="E75" s="11"/>
      <c r="F75" s="11"/>
      <c r="G75" s="11"/>
      <c r="H75" s="11"/>
    </row>
    <row r="76" ht="15.75" customHeight="1">
      <c r="A76" s="33" t="s">
        <v>2663</v>
      </c>
      <c r="B76" s="27" t="s">
        <v>1316</v>
      </c>
      <c r="C76" s="27" t="s">
        <v>1071</v>
      </c>
      <c r="D76" s="11"/>
      <c r="E76" s="11"/>
      <c r="F76" s="11"/>
      <c r="G76" s="11"/>
      <c r="H76" s="11"/>
    </row>
    <row r="77" ht="15.75" customHeight="1">
      <c r="A77" s="33" t="s">
        <v>2210</v>
      </c>
      <c r="B77" s="27" t="s">
        <v>1325</v>
      </c>
      <c r="C77" s="27" t="s">
        <v>1071</v>
      </c>
      <c r="D77" s="11"/>
      <c r="E77" s="11"/>
      <c r="F77" s="11"/>
      <c r="G77" s="11"/>
      <c r="H77" s="11"/>
    </row>
    <row r="78" ht="15.75" customHeight="1">
      <c r="A78" s="33" t="s">
        <v>2677</v>
      </c>
      <c r="B78" s="27" t="s">
        <v>1333</v>
      </c>
      <c r="C78" s="27" t="s">
        <v>1071</v>
      </c>
      <c r="D78" s="11"/>
      <c r="E78" s="11"/>
      <c r="F78" s="11"/>
      <c r="G78" s="11"/>
      <c r="H78" s="11"/>
    </row>
    <row r="79" ht="15.75" customHeight="1">
      <c r="A79" s="33" t="s">
        <v>2683</v>
      </c>
      <c r="B79" s="27" t="s">
        <v>1344</v>
      </c>
      <c r="C79" s="27" t="s">
        <v>1071</v>
      </c>
      <c r="D79" s="11"/>
      <c r="E79" s="11"/>
      <c r="F79" s="11"/>
      <c r="G79" s="11"/>
      <c r="H79" s="11"/>
    </row>
    <row r="80" ht="15.75" customHeight="1">
      <c r="A80" s="33" t="s">
        <v>2695</v>
      </c>
      <c r="B80" s="27" t="s">
        <v>1352</v>
      </c>
      <c r="C80" s="27" t="s">
        <v>1071</v>
      </c>
      <c r="D80" s="11"/>
      <c r="E80" s="11"/>
      <c r="F80" s="11"/>
      <c r="G80" s="11"/>
      <c r="H80" s="11"/>
    </row>
    <row r="81" ht="15.75" customHeight="1">
      <c r="A81" s="33" t="s">
        <v>2701</v>
      </c>
      <c r="B81" s="27" t="s">
        <v>1359</v>
      </c>
      <c r="C81" s="27" t="s">
        <v>1071</v>
      </c>
      <c r="D81" s="11"/>
      <c r="E81" s="11"/>
      <c r="F81" s="11"/>
      <c r="G81" s="11"/>
      <c r="H81" s="11"/>
    </row>
    <row r="82" ht="15.75" customHeight="1">
      <c r="A82" s="33" t="s">
        <v>2712</v>
      </c>
      <c r="B82" s="27" t="s">
        <v>1372</v>
      </c>
      <c r="C82" s="27" t="s">
        <v>1071</v>
      </c>
      <c r="D82" s="11"/>
      <c r="E82" s="11"/>
      <c r="F82" s="11"/>
      <c r="G82" s="11"/>
      <c r="H82" s="11"/>
    </row>
    <row r="83" ht="15.75" customHeight="1">
      <c r="A83" s="33" t="s">
        <v>2721</v>
      </c>
      <c r="B83" s="27" t="s">
        <v>1378</v>
      </c>
      <c r="C83" s="27" t="s">
        <v>1379</v>
      </c>
      <c r="D83" s="11"/>
      <c r="E83" s="11"/>
      <c r="F83" s="11"/>
      <c r="G83" s="11"/>
      <c r="H83" s="11"/>
    </row>
    <row r="84" ht="15.75" customHeight="1">
      <c r="A84" s="33" t="s">
        <v>2731</v>
      </c>
      <c r="B84" s="27" t="s">
        <v>1390</v>
      </c>
      <c r="C84" s="27" t="s">
        <v>1379</v>
      </c>
      <c r="D84" s="11"/>
      <c r="E84" s="11"/>
      <c r="F84" s="11"/>
      <c r="G84" s="11"/>
      <c r="H84" s="11"/>
    </row>
    <row r="85" ht="15.75" customHeight="1">
      <c r="A85" s="33" t="s">
        <v>2743</v>
      </c>
      <c r="B85" s="27" t="s">
        <v>1400</v>
      </c>
      <c r="C85" s="27" t="s">
        <v>1379</v>
      </c>
      <c r="D85" s="11"/>
      <c r="E85" s="11"/>
      <c r="F85" s="11"/>
      <c r="G85" s="11"/>
      <c r="H85" s="11"/>
    </row>
    <row r="86" ht="15.75" customHeight="1">
      <c r="A86" s="33" t="s">
        <v>2751</v>
      </c>
      <c r="B86" s="27" t="s">
        <v>1409</v>
      </c>
      <c r="C86" s="27" t="s">
        <v>1379</v>
      </c>
      <c r="D86" s="11"/>
      <c r="E86" s="11"/>
      <c r="F86" s="11"/>
      <c r="G86" s="11"/>
      <c r="H86" s="11"/>
    </row>
    <row r="87" ht="15.75" customHeight="1">
      <c r="A87" s="33" t="s">
        <v>2761</v>
      </c>
      <c r="B87" s="27" t="s">
        <v>1420</v>
      </c>
      <c r="C87" s="27" t="s">
        <v>1379</v>
      </c>
      <c r="D87" s="11"/>
      <c r="E87" s="11"/>
      <c r="F87" s="11"/>
      <c r="G87" s="11"/>
      <c r="H87" s="11"/>
    </row>
    <row r="88" ht="15.75" customHeight="1">
      <c r="A88" s="33" t="s">
        <v>2766</v>
      </c>
      <c r="B88" s="27" t="s">
        <v>1429</v>
      </c>
      <c r="C88" s="27" t="s">
        <v>1379</v>
      </c>
      <c r="D88" s="11"/>
      <c r="E88" s="11"/>
      <c r="F88" s="11"/>
      <c r="G88" s="11"/>
      <c r="H88" s="11"/>
    </row>
    <row r="89" ht="15.75" customHeight="1">
      <c r="A89" s="33" t="s">
        <v>2775</v>
      </c>
      <c r="B89" s="27" t="s">
        <v>1447</v>
      </c>
      <c r="C89" s="27" t="s">
        <v>1379</v>
      </c>
      <c r="D89" s="11"/>
      <c r="E89" s="11"/>
      <c r="F89" s="11"/>
      <c r="G89" s="11"/>
      <c r="H89" s="11"/>
    </row>
    <row r="90" ht="15.75" customHeight="1">
      <c r="A90" s="33" t="s">
        <v>2782</v>
      </c>
      <c r="B90" s="27" t="s">
        <v>1461</v>
      </c>
      <c r="C90" s="27" t="s">
        <v>1379</v>
      </c>
      <c r="D90" s="11"/>
      <c r="E90" s="11"/>
      <c r="F90" s="11"/>
      <c r="G90" s="11"/>
      <c r="H90" s="11"/>
    </row>
    <row r="91" ht="15.75" customHeight="1">
      <c r="A91" s="33" t="s">
        <v>2792</v>
      </c>
      <c r="B91" s="27" t="s">
        <v>1472</v>
      </c>
      <c r="C91" s="27" t="s">
        <v>1379</v>
      </c>
      <c r="D91" s="11"/>
      <c r="E91" s="11"/>
      <c r="F91" s="11"/>
      <c r="G91" s="11"/>
      <c r="H91" s="11"/>
    </row>
    <row r="92" ht="15.75" customHeight="1">
      <c r="A92" s="33" t="s">
        <v>2800</v>
      </c>
      <c r="B92" s="27" t="s">
        <v>1481</v>
      </c>
      <c r="C92" s="27" t="s">
        <v>1379</v>
      </c>
      <c r="D92" s="11"/>
      <c r="E92" s="11"/>
      <c r="F92" s="11"/>
      <c r="G92" s="11"/>
      <c r="H92" s="11"/>
    </row>
    <row r="93" ht="15.75" customHeight="1">
      <c r="A93" s="33" t="s">
        <v>2810</v>
      </c>
      <c r="B93" s="27" t="s">
        <v>1490</v>
      </c>
      <c r="C93" s="27" t="s">
        <v>1379</v>
      </c>
      <c r="D93" s="11"/>
      <c r="E93" s="11"/>
      <c r="F93" s="11"/>
      <c r="G93" s="11"/>
      <c r="H93" s="11"/>
    </row>
    <row r="94" ht="15.75" customHeight="1">
      <c r="A94" s="33" t="s">
        <v>2821</v>
      </c>
      <c r="B94" s="27" t="s">
        <v>1500</v>
      </c>
      <c r="C94" s="27" t="s">
        <v>1379</v>
      </c>
      <c r="D94" s="11"/>
      <c r="E94" s="11"/>
      <c r="F94" s="11"/>
      <c r="G94" s="11"/>
      <c r="H94" s="11"/>
    </row>
    <row r="95" ht="15.75" customHeight="1">
      <c r="A95" s="33" t="s">
        <v>2829</v>
      </c>
      <c r="B95" s="27" t="s">
        <v>1513</v>
      </c>
      <c r="C95" s="27" t="s">
        <v>1379</v>
      </c>
      <c r="D95" s="11"/>
      <c r="E95" s="11"/>
      <c r="F95" s="11"/>
      <c r="G95" s="11"/>
      <c r="H95" s="11"/>
    </row>
    <row r="96" ht="15.75" customHeight="1">
      <c r="A96" s="33" t="s">
        <v>2836</v>
      </c>
      <c r="B96" s="27" t="s">
        <v>1521</v>
      </c>
      <c r="C96" s="27" t="s">
        <v>1379</v>
      </c>
      <c r="D96" s="11"/>
      <c r="E96" s="11"/>
      <c r="F96" s="11"/>
      <c r="G96" s="11"/>
      <c r="H96" s="11"/>
    </row>
    <row r="97" ht="15.75" customHeight="1">
      <c r="A97" s="33" t="s">
        <v>2846</v>
      </c>
      <c r="B97" s="27" t="s">
        <v>1531</v>
      </c>
      <c r="C97" s="27" t="s">
        <v>1379</v>
      </c>
      <c r="D97" s="11"/>
      <c r="E97" s="11"/>
      <c r="F97" s="11"/>
      <c r="G97" s="11"/>
      <c r="H97" s="11"/>
    </row>
    <row r="98" ht="15.75" customHeight="1">
      <c r="A98" s="33" t="s">
        <v>2850</v>
      </c>
      <c r="B98" s="27" t="s">
        <v>1538</v>
      </c>
      <c r="C98" s="27" t="s">
        <v>1379</v>
      </c>
      <c r="D98" s="11"/>
      <c r="E98" s="11"/>
      <c r="F98" s="11"/>
      <c r="G98" s="11"/>
      <c r="H98" s="11"/>
    </row>
    <row r="99" ht="15.75" customHeight="1">
      <c r="A99" s="33" t="s">
        <v>2856</v>
      </c>
      <c r="B99" s="27" t="s">
        <v>1545</v>
      </c>
      <c r="C99" s="27" t="s">
        <v>1379</v>
      </c>
      <c r="D99" s="11"/>
      <c r="E99" s="11"/>
      <c r="F99" s="11"/>
      <c r="G99" s="11"/>
      <c r="H99" s="11"/>
    </row>
    <row r="100" ht="15.75" customHeight="1">
      <c r="A100" s="33" t="s">
        <v>2816</v>
      </c>
      <c r="B100" s="27" t="s">
        <v>1552</v>
      </c>
      <c r="C100" s="27" t="s">
        <v>1379</v>
      </c>
      <c r="D100" s="11"/>
      <c r="E100" s="11"/>
      <c r="F100" s="11"/>
      <c r="G100" s="11"/>
      <c r="H100" s="11"/>
    </row>
    <row r="101" ht="15.75" customHeight="1">
      <c r="A101" s="33" t="s">
        <v>2868</v>
      </c>
      <c r="B101" s="27" t="s">
        <v>1560</v>
      </c>
      <c r="C101" s="27" t="s">
        <v>1379</v>
      </c>
      <c r="D101" s="11"/>
      <c r="E101" s="11"/>
      <c r="F101" s="11"/>
      <c r="G101" s="11"/>
      <c r="H101" s="11"/>
    </row>
    <row r="102" ht="15.75" customHeight="1">
      <c r="A102" s="33" t="s">
        <v>2876</v>
      </c>
      <c r="B102" s="27" t="s">
        <v>914</v>
      </c>
      <c r="C102" s="27" t="s">
        <v>1379</v>
      </c>
      <c r="D102" s="11"/>
      <c r="E102" s="11"/>
      <c r="F102" s="11"/>
      <c r="G102" s="11"/>
      <c r="H102" s="11"/>
    </row>
    <row r="103" ht="15.75" customHeight="1">
      <c r="A103" s="33" t="s">
        <v>2883</v>
      </c>
      <c r="B103" s="27" t="s">
        <v>1581</v>
      </c>
      <c r="C103" s="27" t="s">
        <v>1379</v>
      </c>
      <c r="D103" s="11"/>
      <c r="E103" s="11"/>
      <c r="F103" s="11"/>
      <c r="G103" s="11"/>
      <c r="H103" s="11"/>
    </row>
    <row r="104" ht="15.75" customHeight="1">
      <c r="A104" s="33" t="s">
        <v>2888</v>
      </c>
      <c r="B104" s="27" t="s">
        <v>1591</v>
      </c>
      <c r="C104" s="27" t="s">
        <v>1379</v>
      </c>
      <c r="D104" s="11"/>
      <c r="E104" s="11"/>
      <c r="F104" s="11"/>
      <c r="G104" s="11"/>
      <c r="H104" s="11"/>
    </row>
    <row r="105" ht="15.75" customHeight="1">
      <c r="A105" s="33" t="s">
        <v>2897</v>
      </c>
      <c r="B105" s="27" t="s">
        <v>1601</v>
      </c>
      <c r="C105" s="27" t="s">
        <v>1379</v>
      </c>
      <c r="D105" s="11"/>
      <c r="E105" s="11"/>
      <c r="F105" s="11"/>
      <c r="G105" s="11"/>
      <c r="H105" s="11"/>
    </row>
    <row r="106" ht="15.75" customHeight="1">
      <c r="A106" s="33" t="s">
        <v>2906</v>
      </c>
      <c r="B106" s="27" t="s">
        <v>1613</v>
      </c>
      <c r="C106" s="27" t="s">
        <v>1379</v>
      </c>
      <c r="D106" s="11"/>
      <c r="E106" s="11"/>
      <c r="F106" s="11"/>
      <c r="G106" s="11"/>
      <c r="H106" s="11"/>
    </row>
    <row r="107" ht="15.75" customHeight="1">
      <c r="A107" s="33" t="s">
        <v>2912</v>
      </c>
      <c r="B107" s="27" t="s">
        <v>1620</v>
      </c>
      <c r="C107" s="27" t="s">
        <v>1622</v>
      </c>
      <c r="D107" s="11"/>
      <c r="E107" s="11"/>
      <c r="F107" s="11"/>
      <c r="G107" s="11"/>
      <c r="H107" s="11"/>
    </row>
    <row r="108" ht="15.75" customHeight="1">
      <c r="A108" s="33" t="s">
        <v>2920</v>
      </c>
      <c r="B108" s="27" t="s">
        <v>1632</v>
      </c>
      <c r="C108" s="27" t="s">
        <v>1622</v>
      </c>
      <c r="D108" s="11"/>
      <c r="E108" s="11"/>
      <c r="F108" s="11"/>
      <c r="G108" s="11"/>
      <c r="H108" s="11"/>
    </row>
    <row r="109" ht="15.75" customHeight="1">
      <c r="A109" s="33" t="s">
        <v>2927</v>
      </c>
      <c r="B109" s="27" t="s">
        <v>1640</v>
      </c>
      <c r="C109" s="27" t="s">
        <v>1622</v>
      </c>
      <c r="D109" s="11"/>
      <c r="E109" s="11"/>
      <c r="F109" s="11"/>
      <c r="G109" s="11"/>
      <c r="H109" s="11"/>
    </row>
    <row r="110" ht="15.75" customHeight="1">
      <c r="A110" s="33" t="s">
        <v>2934</v>
      </c>
      <c r="B110" s="27" t="s">
        <v>1652</v>
      </c>
      <c r="C110" s="27" t="s">
        <v>1622</v>
      </c>
      <c r="D110" s="11"/>
      <c r="E110" s="11"/>
      <c r="F110" s="11"/>
      <c r="G110" s="11"/>
      <c r="H110" s="11"/>
    </row>
    <row r="111" ht="15.75" customHeight="1">
      <c r="A111" s="33" t="s">
        <v>2941</v>
      </c>
      <c r="B111" s="27" t="s">
        <v>1662</v>
      </c>
      <c r="C111" s="27" t="s">
        <v>1622</v>
      </c>
      <c r="D111" s="11"/>
      <c r="E111" s="11"/>
      <c r="F111" s="11"/>
      <c r="G111" s="11"/>
      <c r="H111" s="11"/>
    </row>
    <row r="112" ht="15.75" customHeight="1">
      <c r="A112" s="33" t="s">
        <v>2946</v>
      </c>
      <c r="B112" s="27" t="s">
        <v>1673</v>
      </c>
      <c r="C112" s="27" t="s">
        <v>1622</v>
      </c>
      <c r="D112" s="11"/>
      <c r="E112" s="11"/>
      <c r="F112" s="11"/>
      <c r="G112" s="11"/>
      <c r="H112" s="11"/>
    </row>
    <row r="113" ht="15.75" customHeight="1">
      <c r="A113" s="33" t="s">
        <v>2953</v>
      </c>
      <c r="B113" s="27" t="s">
        <v>1680</v>
      </c>
      <c r="C113" s="27" t="s">
        <v>1622</v>
      </c>
      <c r="D113" s="11"/>
      <c r="E113" s="11"/>
      <c r="F113" s="11"/>
      <c r="G113" s="11"/>
      <c r="H113" s="11"/>
    </row>
    <row r="114" ht="15.75" customHeight="1">
      <c r="A114" s="33" t="s">
        <v>2962</v>
      </c>
      <c r="B114" s="27" t="s">
        <v>1692</v>
      </c>
      <c r="C114" s="27" t="s">
        <v>1622</v>
      </c>
      <c r="D114" s="11"/>
      <c r="E114" s="11"/>
      <c r="F114" s="11"/>
      <c r="G114" s="11"/>
      <c r="H114" s="11"/>
    </row>
    <row r="115" ht="15.75" customHeight="1">
      <c r="A115" s="33" t="s">
        <v>2972</v>
      </c>
      <c r="B115" s="27" t="s">
        <v>1702</v>
      </c>
      <c r="C115" s="27" t="s">
        <v>1622</v>
      </c>
      <c r="D115" s="11"/>
      <c r="E115" s="11"/>
      <c r="F115" s="11"/>
      <c r="G115" s="11"/>
      <c r="H115" s="11"/>
    </row>
    <row r="116" ht="15.75" customHeight="1">
      <c r="A116" s="33" t="s">
        <v>2979</v>
      </c>
      <c r="B116" s="27" t="s">
        <v>1710</v>
      </c>
      <c r="C116" s="27" t="s">
        <v>1622</v>
      </c>
      <c r="D116" s="11"/>
      <c r="E116" s="11"/>
      <c r="F116" s="11"/>
      <c r="G116" s="11"/>
      <c r="H116" s="11"/>
    </row>
    <row r="117" ht="15.75" customHeight="1">
      <c r="A117" s="33" t="s">
        <v>2992</v>
      </c>
      <c r="B117" s="27" t="s">
        <v>1719</v>
      </c>
      <c r="C117" s="27" t="s">
        <v>1622</v>
      </c>
      <c r="D117" s="11"/>
      <c r="E117" s="11"/>
      <c r="F117" s="11"/>
      <c r="G117" s="11"/>
      <c r="H117" s="11"/>
    </row>
    <row r="118" ht="15.75" customHeight="1">
      <c r="A118" s="33" t="s">
        <v>3004</v>
      </c>
      <c r="B118" s="27" t="s">
        <v>1728</v>
      </c>
      <c r="C118" s="27" t="s">
        <v>1622</v>
      </c>
      <c r="D118" s="11"/>
      <c r="E118" s="11"/>
      <c r="F118" s="11"/>
      <c r="G118" s="11"/>
      <c r="H118" s="11"/>
    </row>
    <row r="119" ht="15.75" customHeight="1">
      <c r="A119" s="33" t="s">
        <v>3010</v>
      </c>
      <c r="B119" s="27" t="s">
        <v>1736</v>
      </c>
      <c r="C119" s="27" t="s">
        <v>1622</v>
      </c>
      <c r="D119" s="11"/>
      <c r="E119" s="11"/>
      <c r="F119" s="11"/>
      <c r="G119" s="11"/>
      <c r="H119" s="11"/>
    </row>
    <row r="120" ht="15.75" customHeight="1">
      <c r="A120" s="33" t="s">
        <v>3020</v>
      </c>
      <c r="B120" s="27" t="s">
        <v>1744</v>
      </c>
      <c r="C120" s="27" t="s">
        <v>1622</v>
      </c>
      <c r="D120" s="11"/>
      <c r="E120" s="11"/>
      <c r="F120" s="11"/>
      <c r="G120" s="11"/>
      <c r="H120" s="11"/>
    </row>
    <row r="121" ht="15.75" customHeight="1">
      <c r="A121" s="33" t="s">
        <v>3027</v>
      </c>
      <c r="B121" s="27" t="s">
        <v>1753</v>
      </c>
      <c r="C121" s="27" t="s">
        <v>1622</v>
      </c>
      <c r="D121" s="11"/>
      <c r="G121" s="11"/>
      <c r="H121" s="11"/>
    </row>
    <row r="122" ht="15.75" customHeight="1">
      <c r="A122" s="33" t="s">
        <v>3032</v>
      </c>
      <c r="B122" s="27" t="s">
        <v>1759</v>
      </c>
      <c r="C122" s="27" t="s">
        <v>1622</v>
      </c>
      <c r="D122" s="11"/>
      <c r="G122" s="11"/>
      <c r="H122" s="11"/>
    </row>
    <row r="123" ht="15.75" customHeight="1">
      <c r="A123" s="33" t="s">
        <v>3039</v>
      </c>
      <c r="B123" s="27" t="s">
        <v>1769</v>
      </c>
      <c r="C123" s="27" t="s">
        <v>1622</v>
      </c>
      <c r="D123" s="11"/>
      <c r="H123" s="11"/>
    </row>
    <row r="124" ht="15.75" customHeight="1">
      <c r="A124" s="33" t="s">
        <v>3044</v>
      </c>
      <c r="B124" s="27" t="s">
        <v>1779</v>
      </c>
      <c r="C124" s="27" t="s">
        <v>1622</v>
      </c>
      <c r="D124" s="11"/>
      <c r="H124" s="11"/>
    </row>
    <row r="125" ht="15.75" customHeight="1">
      <c r="A125" s="33" t="s">
        <v>3048</v>
      </c>
      <c r="B125" s="27" t="s">
        <v>1785</v>
      </c>
      <c r="C125" s="27" t="s">
        <v>1622</v>
      </c>
      <c r="D125" s="11"/>
      <c r="H125" s="11"/>
    </row>
    <row r="126" ht="15.75" customHeight="1">
      <c r="A126" s="33" t="s">
        <v>2023</v>
      </c>
      <c r="B126" s="27" t="s">
        <v>1793</v>
      </c>
      <c r="C126" s="27" t="s">
        <v>1622</v>
      </c>
      <c r="H126" s="11"/>
    </row>
    <row r="127" ht="15.75" customHeight="1">
      <c r="A127" s="33" t="s">
        <v>3060</v>
      </c>
      <c r="B127" s="27" t="s">
        <v>1796</v>
      </c>
      <c r="C127" s="27" t="s">
        <v>1622</v>
      </c>
    </row>
    <row r="128" ht="15.75" customHeight="1">
      <c r="A128" s="33" t="s">
        <v>3062</v>
      </c>
      <c r="B128" s="27" t="s">
        <v>1801</v>
      </c>
      <c r="C128" s="27" t="s">
        <v>1622</v>
      </c>
    </row>
    <row r="129" ht="15.75" customHeight="1">
      <c r="A129" s="33" t="s">
        <v>3068</v>
      </c>
      <c r="B129" s="27" t="s">
        <v>1808</v>
      </c>
      <c r="C129" s="27" t="s">
        <v>1622</v>
      </c>
    </row>
    <row r="130" ht="15.75" customHeight="1">
      <c r="A130" s="33" t="s">
        <v>3072</v>
      </c>
      <c r="B130" s="27" t="s">
        <v>1813</v>
      </c>
      <c r="C130" s="27" t="s">
        <v>1622</v>
      </c>
    </row>
    <row r="131" ht="15.75" customHeight="1">
      <c r="A131" s="33" t="s">
        <v>3074</v>
      </c>
      <c r="B131" s="27" t="s">
        <v>1820</v>
      </c>
      <c r="C131" s="27" t="s">
        <v>1622</v>
      </c>
    </row>
    <row r="132" ht="15.75" customHeight="1">
      <c r="A132" s="33" t="s">
        <v>3076</v>
      </c>
      <c r="B132" s="27" t="s">
        <v>1827</v>
      </c>
      <c r="C132" s="27" t="s">
        <v>1622</v>
      </c>
    </row>
    <row r="133" ht="15.75" customHeight="1">
      <c r="A133" s="33" t="s">
        <v>3080</v>
      </c>
      <c r="B133" s="27" t="s">
        <v>1832</v>
      </c>
      <c r="C133" s="27" t="s">
        <v>1622</v>
      </c>
    </row>
    <row r="134" ht="15.75" customHeight="1">
      <c r="A134" s="33" t="s">
        <v>3086</v>
      </c>
      <c r="B134" s="27" t="s">
        <v>1835</v>
      </c>
      <c r="C134" s="27" t="s">
        <v>1622</v>
      </c>
    </row>
    <row r="135" ht="15.75" customHeight="1">
      <c r="A135" s="36"/>
    </row>
    <row r="136" ht="15.75" customHeight="1">
      <c r="A136" s="36"/>
    </row>
    <row r="137" ht="15.75" customHeight="1">
      <c r="A137" s="36"/>
    </row>
    <row r="138" ht="15.75" customHeight="1">
      <c r="A138" s="36"/>
    </row>
    <row r="139" ht="15.75" customHeight="1">
      <c r="A139" s="36"/>
    </row>
    <row r="140" ht="15.75" customHeight="1">
      <c r="A140" s="36"/>
    </row>
    <row r="141" ht="15.75" customHeight="1">
      <c r="A141" s="36"/>
    </row>
    <row r="142" ht="15.75" customHeight="1">
      <c r="A142" s="36"/>
    </row>
    <row r="143" ht="15.75" customHeight="1">
      <c r="A143" s="36"/>
    </row>
    <row r="144" ht="15.75" customHeight="1">
      <c r="A144" s="36"/>
    </row>
    <row r="145" ht="15.75" customHeight="1">
      <c r="A145" s="36"/>
    </row>
    <row r="146" ht="15.75" customHeight="1">
      <c r="A146" s="36"/>
    </row>
    <row r="147" ht="15.75" customHeight="1">
      <c r="A147" s="36"/>
    </row>
    <row r="148" ht="15.75" customHeight="1">
      <c r="A148" s="36"/>
    </row>
    <row r="149" ht="15.75" customHeight="1">
      <c r="A149" s="36"/>
    </row>
    <row r="150" ht="15.75" customHeight="1">
      <c r="A150" s="36"/>
    </row>
    <row r="151" ht="15.75" customHeight="1">
      <c r="A151" s="36"/>
    </row>
    <row r="152" ht="15.75" customHeight="1">
      <c r="A152" s="36"/>
    </row>
    <row r="153" ht="15.75" customHeight="1">
      <c r="A153" s="36"/>
    </row>
    <row r="154" ht="15.75" customHeight="1">
      <c r="A154" s="36"/>
    </row>
    <row r="155" ht="15.75" customHeight="1">
      <c r="A155" s="36"/>
    </row>
    <row r="156" ht="15.75" customHeight="1">
      <c r="A156" s="36"/>
    </row>
    <row r="157" ht="15.75" customHeight="1">
      <c r="A157" s="36"/>
    </row>
    <row r="158" ht="15.75" customHeight="1">
      <c r="A158" s="36"/>
    </row>
    <row r="159" ht="15.75" customHeight="1">
      <c r="A159" s="36"/>
    </row>
    <row r="160" ht="15.75" customHeight="1">
      <c r="A160" s="36"/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C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88"/>
    <col customWidth="1" min="3" max="3" width="12.63"/>
    <col customWidth="1" min="4" max="6" width="14.38"/>
  </cols>
  <sheetData>
    <row r="1" ht="15.75" customHeight="1">
      <c r="A1" s="31" t="s">
        <v>1</v>
      </c>
      <c r="B1" s="3" t="s">
        <v>4</v>
      </c>
      <c r="C1" s="3" t="s">
        <v>11</v>
      </c>
      <c r="D1" s="11" t="str">
        <f>MATCHING_SHEETS("2C4")</f>
        <v>#NAME?</v>
      </c>
      <c r="E1" s="11" t="s">
        <v>395</v>
      </c>
      <c r="F1" s="11" t="s">
        <v>396</v>
      </c>
    </row>
    <row r="2" ht="15.75" customHeight="1">
      <c r="A2" s="32" t="s">
        <v>2119</v>
      </c>
      <c r="B2" s="15"/>
      <c r="C2" s="16"/>
      <c r="D2" s="11" t="str">
        <f t="array" ref="D2:Z2">BYCOL(D1:Z1, LAMBDA(col_header, 
  IF(ISBLANK(col_header),, 
    COUNTA(OFFSET(col_header, 2, 0, 158)) &amp; "/" &amp; COUNTA(INDIRECT("'" &amp; col_header &amp; "'!$C$2:$C"))
  )
))</f>
        <v>1/1</v>
      </c>
      <c r="E2" s="11" t="s">
        <v>3512</v>
      </c>
      <c r="F2" s="11" t="s">
        <v>2188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33" t="s">
        <v>3520</v>
      </c>
      <c r="B3" s="27" t="s">
        <v>544</v>
      </c>
      <c r="C3" s="27" t="s">
        <v>68</v>
      </c>
      <c r="D3" s="11" t="str">
        <f>IFERROR(__xludf.DUMMYFUNCTION("LET(
  list,INDIRECT(""'""&amp;D$1&amp;""'!$C$2:$C$160""),
  FILTER(
    list,
    BYROW(list,LAMBDA(x,
      (COUNTIF($A$3:$A$160,x)=0)+(COUNTIF(list,x)&gt;1)
    ))
  )
)"),"#NAME?")</f>
        <v>#NAME?</v>
      </c>
      <c r="E3" s="11" t="str">
        <f>IFERROR(__xludf.DUMMYFUNCTION("LET(
  list,INDIRECT(""'""&amp;E$1&amp;""'!$C$2:$C$160""),
  FILTER(list,BYROW(list,LAMBDA(x,COUNTIF($A$3:$A$160,x)=0)))
)"),"")</f>
        <v/>
      </c>
      <c r="F3" s="11" t="str">
        <f>IFERROR(__xludf.DUMMYFUNCTION("LET(
  list,INDIRECT(""'""&amp;F$1&amp;""'!$C$2:$C$160""),
  FILTER(list,BYROW(list,LAMBDA(x,COUNTIF($A$3:$A$160,x)=0)))
)"),"#REF!")</f>
        <v>#REF!</v>
      </c>
    </row>
    <row r="4" ht="15.75" customHeight="1">
      <c r="A4" s="33" t="s">
        <v>3539</v>
      </c>
      <c r="B4" s="27" t="s">
        <v>702</v>
      </c>
      <c r="C4" s="27" t="s">
        <v>68</v>
      </c>
      <c r="D4" s="11"/>
      <c r="E4" s="11"/>
      <c r="F4" s="11"/>
    </row>
    <row r="5" ht="15.75" customHeight="1">
      <c r="A5" s="33" t="s">
        <v>3540</v>
      </c>
      <c r="B5" s="27" t="s">
        <v>715</v>
      </c>
      <c r="C5" s="27" t="s">
        <v>68</v>
      </c>
      <c r="D5" s="11"/>
      <c r="E5" s="11"/>
      <c r="F5" s="11"/>
    </row>
    <row r="6" ht="15.75" customHeight="1">
      <c r="A6" s="33" t="s">
        <v>709</v>
      </c>
      <c r="B6" s="27" t="s">
        <v>722</v>
      </c>
      <c r="C6" s="27" t="s">
        <v>68</v>
      </c>
      <c r="D6" s="11"/>
      <c r="E6" s="11"/>
      <c r="F6" s="11"/>
    </row>
    <row r="7" ht="15.75" customHeight="1">
      <c r="A7" s="33" t="s">
        <v>3550</v>
      </c>
      <c r="B7" s="27" t="s">
        <v>729</v>
      </c>
      <c r="C7" s="27" t="s">
        <v>68</v>
      </c>
      <c r="D7" s="11"/>
      <c r="E7" s="11"/>
      <c r="F7" s="11"/>
    </row>
    <row r="8" ht="15.75" customHeight="1">
      <c r="A8" s="33" t="s">
        <v>3553</v>
      </c>
      <c r="B8" s="27" t="s">
        <v>737</v>
      </c>
      <c r="C8" s="27" t="s">
        <v>68</v>
      </c>
      <c r="D8" s="11"/>
      <c r="E8" s="11"/>
      <c r="F8" s="11"/>
    </row>
    <row r="9" ht="15.75" customHeight="1">
      <c r="A9" s="33" t="s">
        <v>3560</v>
      </c>
      <c r="B9" s="27" t="s">
        <v>744</v>
      </c>
      <c r="C9" s="27" t="s">
        <v>68</v>
      </c>
      <c r="D9" s="11"/>
      <c r="E9" s="11"/>
      <c r="F9" s="11"/>
    </row>
    <row r="10" ht="15.75" customHeight="1">
      <c r="A10" s="33" t="s">
        <v>3562</v>
      </c>
      <c r="B10" s="27" t="s">
        <v>753</v>
      </c>
      <c r="C10" s="27" t="s">
        <v>68</v>
      </c>
      <c r="D10" s="11"/>
      <c r="E10" s="11"/>
      <c r="F10" s="11"/>
    </row>
    <row r="11" ht="15.75" customHeight="1">
      <c r="A11" s="33" t="s">
        <v>3563</v>
      </c>
      <c r="B11" s="27" t="s">
        <v>758</v>
      </c>
      <c r="C11" s="27" t="s">
        <v>68</v>
      </c>
      <c r="D11" s="11"/>
      <c r="E11" s="11"/>
      <c r="F11" s="11"/>
    </row>
    <row r="12" ht="15.75" customHeight="1">
      <c r="A12" s="33" t="s">
        <v>67</v>
      </c>
      <c r="B12" s="27" t="s">
        <v>764</v>
      </c>
      <c r="C12" s="27" t="s">
        <v>68</v>
      </c>
      <c r="D12" s="11"/>
      <c r="E12" s="11"/>
      <c r="F12" s="11"/>
    </row>
    <row r="13" ht="15.75" customHeight="1">
      <c r="A13" s="33" t="s">
        <v>480</v>
      </c>
      <c r="B13" s="27" t="s">
        <v>771</v>
      </c>
      <c r="C13" s="27" t="s">
        <v>68</v>
      </c>
      <c r="D13" s="11"/>
      <c r="E13" s="11"/>
      <c r="F13" s="11"/>
    </row>
    <row r="14" ht="15.75" customHeight="1">
      <c r="A14" s="33" t="s">
        <v>3575</v>
      </c>
      <c r="B14" s="27" t="s">
        <v>778</v>
      </c>
      <c r="C14" s="27" t="s">
        <v>68</v>
      </c>
      <c r="D14" s="11"/>
      <c r="E14" s="11"/>
      <c r="F14" s="11"/>
    </row>
    <row r="15" ht="15.75" customHeight="1">
      <c r="A15" s="33" t="s">
        <v>3489</v>
      </c>
      <c r="B15" s="27" t="s">
        <v>788</v>
      </c>
      <c r="C15" s="27" t="s">
        <v>68</v>
      </c>
      <c r="D15" s="11"/>
      <c r="E15" s="11"/>
      <c r="F15" s="11"/>
    </row>
    <row r="16" ht="15.75" customHeight="1">
      <c r="A16" s="33" t="s">
        <v>3493</v>
      </c>
      <c r="B16" s="27" t="s">
        <v>796</v>
      </c>
      <c r="C16" s="27" t="s">
        <v>68</v>
      </c>
      <c r="D16" s="11"/>
      <c r="E16" s="11"/>
      <c r="F16" s="11"/>
    </row>
    <row r="17" ht="15.75" customHeight="1">
      <c r="A17" s="33" t="s">
        <v>3499</v>
      </c>
      <c r="B17" s="27" t="s">
        <v>803</v>
      </c>
      <c r="C17" s="27" t="s">
        <v>68</v>
      </c>
      <c r="D17" s="11"/>
      <c r="E17" s="11"/>
      <c r="F17" s="11"/>
    </row>
    <row r="18" ht="15.75" customHeight="1">
      <c r="A18" s="33" t="s">
        <v>3502</v>
      </c>
      <c r="B18" s="27" t="s">
        <v>811</v>
      </c>
      <c r="C18" s="27" t="s">
        <v>68</v>
      </c>
      <c r="D18" s="11"/>
      <c r="E18" s="11"/>
      <c r="F18" s="11"/>
    </row>
    <row r="19" ht="15.75" customHeight="1">
      <c r="A19" s="33" t="s">
        <v>3506</v>
      </c>
      <c r="B19" s="27" t="s">
        <v>826</v>
      </c>
      <c r="C19" s="27" t="s">
        <v>68</v>
      </c>
      <c r="D19" s="11"/>
      <c r="E19" s="11"/>
      <c r="F19" s="11"/>
    </row>
    <row r="20" ht="15.75" customHeight="1">
      <c r="A20" s="33" t="s">
        <v>3511</v>
      </c>
      <c r="B20" s="27" t="s">
        <v>832</v>
      </c>
      <c r="C20" s="27" t="s">
        <v>68</v>
      </c>
      <c r="D20" s="11"/>
      <c r="E20" s="11"/>
      <c r="F20" s="11"/>
    </row>
    <row r="21" ht="15.75" customHeight="1">
      <c r="A21" s="33" t="s">
        <v>3597</v>
      </c>
      <c r="B21" s="27" t="s">
        <v>841</v>
      </c>
      <c r="C21" s="27" t="s">
        <v>68</v>
      </c>
      <c r="D21" s="11"/>
      <c r="E21" s="11"/>
      <c r="F21" s="11"/>
    </row>
    <row r="22" ht="15.75" customHeight="1">
      <c r="A22" s="33" t="s">
        <v>3519</v>
      </c>
      <c r="B22" s="27" t="s">
        <v>847</v>
      </c>
      <c r="C22" s="27" t="s">
        <v>68</v>
      </c>
      <c r="D22" s="11"/>
      <c r="E22" s="11"/>
      <c r="F22" s="11"/>
    </row>
    <row r="23" ht="15.75" customHeight="1">
      <c r="A23" s="33" t="s">
        <v>3523</v>
      </c>
      <c r="B23" s="27" t="s">
        <v>854</v>
      </c>
      <c r="C23" s="27" t="s">
        <v>68</v>
      </c>
      <c r="D23" s="11"/>
      <c r="E23" s="11"/>
      <c r="F23" s="11"/>
    </row>
    <row r="24" ht="15.75" customHeight="1">
      <c r="A24" s="33" t="s">
        <v>670</v>
      </c>
      <c r="B24" s="27" t="s">
        <v>863</v>
      </c>
      <c r="C24" s="27" t="s">
        <v>68</v>
      </c>
      <c r="D24" s="11"/>
      <c r="E24" s="11"/>
      <c r="F24" s="11"/>
    </row>
    <row r="25" ht="15.75" customHeight="1">
      <c r="A25" s="33" t="s">
        <v>212</v>
      </c>
      <c r="B25" s="27" t="s">
        <v>872</v>
      </c>
      <c r="C25" s="27" t="s">
        <v>68</v>
      </c>
      <c r="D25" s="11"/>
      <c r="E25" s="11"/>
      <c r="F25" s="11"/>
    </row>
    <row r="26" ht="15.75" customHeight="1">
      <c r="A26" s="33" t="s">
        <v>3526</v>
      </c>
      <c r="B26" s="27" t="s">
        <v>880</v>
      </c>
      <c r="C26" s="27" t="s">
        <v>68</v>
      </c>
      <c r="D26" s="11"/>
      <c r="E26" s="11"/>
      <c r="F26" s="11"/>
    </row>
    <row r="27" ht="15.75" customHeight="1">
      <c r="A27" s="33" t="s">
        <v>3530</v>
      </c>
      <c r="B27" s="27" t="s">
        <v>887</v>
      </c>
      <c r="C27" s="27" t="s">
        <v>68</v>
      </c>
      <c r="D27" s="11"/>
      <c r="E27" s="11"/>
      <c r="F27" s="11"/>
    </row>
    <row r="28" ht="15.75" customHeight="1">
      <c r="A28" s="33" t="s">
        <v>3535</v>
      </c>
      <c r="B28" s="27" t="s">
        <v>894</v>
      </c>
      <c r="C28" s="27" t="s">
        <v>68</v>
      </c>
      <c r="D28" s="11"/>
      <c r="E28" s="11"/>
      <c r="F28" s="11"/>
    </row>
    <row r="29" ht="15.75" customHeight="1">
      <c r="A29" s="33" t="s">
        <v>3538</v>
      </c>
      <c r="B29" s="27" t="s">
        <v>903</v>
      </c>
      <c r="C29" s="27" t="s">
        <v>68</v>
      </c>
      <c r="D29" s="11"/>
      <c r="E29" s="11"/>
      <c r="F29" s="11"/>
    </row>
    <row r="30" ht="15.75" customHeight="1">
      <c r="A30" s="33" t="s">
        <v>3543</v>
      </c>
      <c r="B30" s="27" t="s">
        <v>911</v>
      </c>
      <c r="C30" s="27" t="s">
        <v>68</v>
      </c>
      <c r="D30" s="11"/>
      <c r="E30" s="11"/>
      <c r="F30" s="11"/>
    </row>
    <row r="31" ht="15.75" customHeight="1">
      <c r="A31" s="33" t="s">
        <v>3547</v>
      </c>
      <c r="B31" s="27" t="s">
        <v>917</v>
      </c>
      <c r="C31" s="27" t="s">
        <v>68</v>
      </c>
      <c r="D31" s="11"/>
      <c r="E31" s="11"/>
      <c r="F31" s="11"/>
    </row>
    <row r="32" ht="15.75" customHeight="1">
      <c r="A32" s="33" t="s">
        <v>3640</v>
      </c>
      <c r="B32" s="27" t="s">
        <v>927</v>
      </c>
      <c r="C32" s="27" t="s">
        <v>543</v>
      </c>
      <c r="D32" s="11"/>
      <c r="E32" s="11"/>
      <c r="F32" s="11"/>
    </row>
    <row r="33" ht="15.75" customHeight="1">
      <c r="A33" s="33" t="s">
        <v>3587</v>
      </c>
      <c r="B33" s="27" t="s">
        <v>935</v>
      </c>
      <c r="C33" s="27" t="s">
        <v>543</v>
      </c>
      <c r="D33" s="11"/>
      <c r="E33" s="11"/>
      <c r="F33" s="11"/>
    </row>
    <row r="34" ht="15.75" customHeight="1">
      <c r="A34" s="33" t="s">
        <v>3592</v>
      </c>
      <c r="B34" s="27" t="s">
        <v>938</v>
      </c>
      <c r="C34" s="27" t="s">
        <v>543</v>
      </c>
      <c r="D34" s="11"/>
      <c r="E34" s="11"/>
      <c r="F34" s="11"/>
    </row>
    <row r="35" ht="15.75" customHeight="1">
      <c r="A35" s="33" t="s">
        <v>537</v>
      </c>
      <c r="B35" s="27" t="s">
        <v>946</v>
      </c>
      <c r="C35" s="27" t="s">
        <v>543</v>
      </c>
      <c r="D35" s="11"/>
      <c r="E35" s="11"/>
      <c r="F35" s="11"/>
    </row>
    <row r="36" ht="15.75" customHeight="1">
      <c r="A36" s="33" t="s">
        <v>3603</v>
      </c>
      <c r="B36" s="27" t="s">
        <v>954</v>
      </c>
      <c r="C36" s="27" t="s">
        <v>543</v>
      </c>
      <c r="D36" s="11"/>
      <c r="E36" s="11"/>
      <c r="F36" s="11"/>
    </row>
    <row r="37" ht="15.75" customHeight="1">
      <c r="A37" s="33" t="s">
        <v>3655</v>
      </c>
      <c r="B37" s="27" t="s">
        <v>960</v>
      </c>
      <c r="C37" s="27" t="s">
        <v>543</v>
      </c>
      <c r="D37" s="11"/>
      <c r="E37" s="11"/>
      <c r="F37" s="11"/>
    </row>
    <row r="38" ht="15.75" customHeight="1">
      <c r="A38" s="33" t="s">
        <v>746</v>
      </c>
      <c r="B38" s="27" t="s">
        <v>968</v>
      </c>
      <c r="C38" s="27" t="s">
        <v>543</v>
      </c>
      <c r="D38" s="11"/>
      <c r="E38" s="11"/>
      <c r="F38" s="11"/>
    </row>
    <row r="39" ht="15.75" customHeight="1">
      <c r="A39" s="33" t="s">
        <v>3643</v>
      </c>
      <c r="B39" s="27" t="s">
        <v>977</v>
      </c>
      <c r="C39" s="27" t="s">
        <v>543</v>
      </c>
      <c r="D39" s="11"/>
      <c r="E39" s="11"/>
      <c r="F39" s="11"/>
    </row>
    <row r="40" ht="15.75" customHeight="1">
      <c r="A40" s="33" t="s">
        <v>3628</v>
      </c>
      <c r="B40" s="27" t="s">
        <v>981</v>
      </c>
      <c r="C40" s="27" t="s">
        <v>543</v>
      </c>
      <c r="D40" s="11"/>
      <c r="E40" s="11"/>
      <c r="F40" s="11"/>
    </row>
    <row r="41" ht="15.75" customHeight="1">
      <c r="A41" s="33" t="s">
        <v>3622</v>
      </c>
      <c r="B41" s="27" t="s">
        <v>990</v>
      </c>
      <c r="C41" s="27" t="s">
        <v>543</v>
      </c>
      <c r="D41" s="11"/>
      <c r="E41" s="11"/>
      <c r="F41" s="11"/>
    </row>
    <row r="42" ht="15.75" customHeight="1">
      <c r="A42" s="33" t="s">
        <v>3610</v>
      </c>
      <c r="B42" s="27" t="s">
        <v>999</v>
      </c>
      <c r="C42" s="27" t="s">
        <v>543</v>
      </c>
      <c r="D42" s="11"/>
      <c r="E42" s="11"/>
      <c r="F42" s="11"/>
    </row>
    <row r="43" ht="15.75" customHeight="1">
      <c r="A43" s="33" t="s">
        <v>3652</v>
      </c>
      <c r="B43" s="27" t="s">
        <v>1008</v>
      </c>
      <c r="C43" s="27" t="s">
        <v>543</v>
      </c>
      <c r="D43" s="11"/>
      <c r="E43" s="11"/>
      <c r="F43" s="11"/>
    </row>
    <row r="44" ht="15.75" customHeight="1">
      <c r="A44" s="33" t="s">
        <v>3648</v>
      </c>
      <c r="B44" s="27" t="s">
        <v>1015</v>
      </c>
      <c r="C44" s="27" t="s">
        <v>543</v>
      </c>
      <c r="D44" s="11"/>
      <c r="E44" s="11"/>
      <c r="F44" s="11"/>
    </row>
    <row r="45" ht="15.75" customHeight="1">
      <c r="A45" s="33" t="s">
        <v>3637</v>
      </c>
      <c r="B45" s="27" t="s">
        <v>1023</v>
      </c>
      <c r="C45" s="27" t="s">
        <v>543</v>
      </c>
      <c r="D45" s="11"/>
      <c r="E45" s="11"/>
      <c r="F45" s="11"/>
    </row>
    <row r="46" ht="15.75" customHeight="1">
      <c r="A46" s="33" t="s">
        <v>3632</v>
      </c>
      <c r="B46" s="27" t="s">
        <v>1029</v>
      </c>
      <c r="C46" s="27" t="s">
        <v>543</v>
      </c>
      <c r="D46" s="11"/>
      <c r="E46" s="11"/>
      <c r="F46" s="11"/>
    </row>
    <row r="47" ht="15.75" customHeight="1">
      <c r="A47" s="33" t="s">
        <v>3625</v>
      </c>
      <c r="B47" s="27" t="s">
        <v>1038</v>
      </c>
      <c r="C47" s="27" t="s">
        <v>543</v>
      </c>
      <c r="D47" s="11"/>
      <c r="E47" s="11"/>
      <c r="F47" s="11"/>
    </row>
    <row r="48" ht="15.75" customHeight="1">
      <c r="A48" s="33" t="s">
        <v>3618</v>
      </c>
      <c r="B48" s="27" t="s">
        <v>1044</v>
      </c>
      <c r="C48" s="27" t="s">
        <v>543</v>
      </c>
      <c r="D48" s="11"/>
      <c r="E48" s="11"/>
      <c r="F48" s="11"/>
    </row>
    <row r="49" ht="15.75" customHeight="1">
      <c r="A49" s="33" t="s">
        <v>3613</v>
      </c>
      <c r="B49" s="27" t="s">
        <v>1052</v>
      </c>
      <c r="C49" s="27" t="s">
        <v>543</v>
      </c>
      <c r="D49" s="11"/>
      <c r="E49" s="11"/>
      <c r="F49" s="11"/>
    </row>
    <row r="50" ht="15.75" customHeight="1">
      <c r="A50" s="33" t="s">
        <v>740</v>
      </c>
      <c r="B50" s="27" t="s">
        <v>1061</v>
      </c>
      <c r="C50" s="27" t="s">
        <v>543</v>
      </c>
      <c r="D50" s="11"/>
      <c r="E50" s="11"/>
      <c r="F50" s="11"/>
    </row>
    <row r="51" ht="15.75" customHeight="1">
      <c r="A51" s="33" t="s">
        <v>3709</v>
      </c>
      <c r="B51" s="27" t="s">
        <v>1068</v>
      </c>
      <c r="C51" s="27" t="s">
        <v>543</v>
      </c>
      <c r="D51" s="11"/>
      <c r="E51" s="11"/>
      <c r="F51" s="11"/>
    </row>
    <row r="52" ht="15.75" customHeight="1">
      <c r="A52" s="33" t="s">
        <v>3600</v>
      </c>
      <c r="B52" s="27" t="s">
        <v>1076</v>
      </c>
      <c r="C52" s="27" t="s">
        <v>543</v>
      </c>
      <c r="D52" s="11"/>
      <c r="E52" s="11"/>
      <c r="F52" s="11"/>
    </row>
    <row r="53" ht="15.75" customHeight="1">
      <c r="A53" s="33" t="s">
        <v>3596</v>
      </c>
      <c r="B53" s="27" t="s">
        <v>1085</v>
      </c>
      <c r="C53" s="27" t="s">
        <v>543</v>
      </c>
      <c r="D53" s="11"/>
      <c r="E53" s="11"/>
      <c r="F53" s="11"/>
    </row>
    <row r="54" ht="15.75" customHeight="1">
      <c r="A54" s="33" t="s">
        <v>3665</v>
      </c>
      <c r="B54" s="27" t="s">
        <v>1092</v>
      </c>
      <c r="C54" s="27" t="s">
        <v>543</v>
      </c>
      <c r="D54" s="11"/>
      <c r="E54" s="11"/>
      <c r="F54" s="11"/>
    </row>
    <row r="55" ht="15.75" customHeight="1">
      <c r="A55" s="33" t="s">
        <v>1102</v>
      </c>
      <c r="B55" s="27" t="s">
        <v>1095</v>
      </c>
      <c r="C55" s="27" t="s">
        <v>543</v>
      </c>
      <c r="D55" s="11"/>
      <c r="E55" s="11"/>
      <c r="F55" s="11"/>
    </row>
    <row r="56" ht="15.75" customHeight="1">
      <c r="A56" s="33" t="s">
        <v>3728</v>
      </c>
      <c r="B56" s="27" t="s">
        <v>1108</v>
      </c>
      <c r="C56" s="27" t="s">
        <v>227</v>
      </c>
      <c r="D56" s="11"/>
      <c r="E56" s="11"/>
      <c r="F56" s="11"/>
    </row>
    <row r="57" ht="15.75" customHeight="1">
      <c r="A57" s="33" t="s">
        <v>3678</v>
      </c>
      <c r="B57" s="27" t="s">
        <v>1114</v>
      </c>
      <c r="C57" s="27" t="s">
        <v>227</v>
      </c>
      <c r="D57" s="11"/>
      <c r="E57" s="11"/>
      <c r="F57" s="11"/>
    </row>
    <row r="58" ht="15.75" customHeight="1">
      <c r="A58" s="33" t="s">
        <v>3735</v>
      </c>
      <c r="B58" s="27" t="s">
        <v>1122</v>
      </c>
      <c r="C58" s="27" t="s">
        <v>227</v>
      </c>
      <c r="D58" s="11"/>
      <c r="E58" s="11"/>
      <c r="F58" s="11"/>
    </row>
    <row r="59" ht="15.75" customHeight="1">
      <c r="A59" s="33" t="s">
        <v>2539</v>
      </c>
      <c r="B59" s="27" t="s">
        <v>1130</v>
      </c>
      <c r="C59" s="27" t="s">
        <v>227</v>
      </c>
      <c r="D59" s="11"/>
      <c r="E59" s="11"/>
      <c r="F59" s="11"/>
    </row>
    <row r="60" ht="15.75" customHeight="1">
      <c r="A60" s="33" t="s">
        <v>3744</v>
      </c>
      <c r="B60" s="27" t="s">
        <v>1136</v>
      </c>
      <c r="C60" s="27" t="s">
        <v>227</v>
      </c>
      <c r="D60" s="11"/>
      <c r="E60" s="11"/>
      <c r="F60" s="11"/>
    </row>
    <row r="61" ht="15.75" customHeight="1">
      <c r="A61" s="33" t="s">
        <v>3749</v>
      </c>
      <c r="B61" s="27" t="s">
        <v>1145</v>
      </c>
      <c r="C61" s="27" t="s">
        <v>227</v>
      </c>
      <c r="D61" s="11"/>
      <c r="E61" s="11"/>
      <c r="F61" s="11"/>
    </row>
    <row r="62" ht="15.75" customHeight="1">
      <c r="A62" s="33" t="s">
        <v>3745</v>
      </c>
      <c r="B62" s="27" t="s">
        <v>1155</v>
      </c>
      <c r="C62" s="27" t="s">
        <v>227</v>
      </c>
      <c r="D62" s="11"/>
      <c r="E62" s="11"/>
      <c r="F62" s="11"/>
    </row>
    <row r="63" ht="15.75" customHeight="1">
      <c r="A63" s="33" t="s">
        <v>3740</v>
      </c>
      <c r="B63" s="27" t="s">
        <v>1162</v>
      </c>
      <c r="C63" s="27" t="s">
        <v>227</v>
      </c>
      <c r="D63" s="11"/>
      <c r="E63" s="11"/>
      <c r="F63" s="11"/>
    </row>
    <row r="64" ht="15.75" customHeight="1">
      <c r="A64" s="33" t="s">
        <v>3734</v>
      </c>
      <c r="B64" s="27" t="s">
        <v>1169</v>
      </c>
      <c r="C64" s="27" t="s">
        <v>227</v>
      </c>
      <c r="D64" s="11"/>
      <c r="E64" s="11"/>
      <c r="F64" s="11"/>
    </row>
    <row r="65" ht="15.75" customHeight="1">
      <c r="A65" s="33" t="s">
        <v>3731</v>
      </c>
      <c r="B65" s="27" t="s">
        <v>1177</v>
      </c>
      <c r="C65" s="27" t="s">
        <v>227</v>
      </c>
      <c r="D65" s="11"/>
      <c r="E65" s="11"/>
      <c r="F65" s="11"/>
    </row>
    <row r="66" ht="15.75" customHeight="1">
      <c r="A66" s="33" t="s">
        <v>3726</v>
      </c>
      <c r="B66" s="27" t="s">
        <v>1183</v>
      </c>
      <c r="C66" s="27" t="s">
        <v>227</v>
      </c>
      <c r="D66" s="11"/>
      <c r="E66" s="11"/>
      <c r="F66" s="11"/>
    </row>
    <row r="67" ht="15.75" customHeight="1">
      <c r="A67" s="33" t="s">
        <v>3721</v>
      </c>
      <c r="B67" s="27" t="s">
        <v>1190</v>
      </c>
      <c r="C67" s="27" t="s">
        <v>227</v>
      </c>
      <c r="D67" s="11"/>
      <c r="E67" s="11"/>
      <c r="F67" s="11"/>
    </row>
    <row r="68" ht="15.75" customHeight="1">
      <c r="A68" s="33" t="s">
        <v>3717</v>
      </c>
      <c r="B68" s="27" t="s">
        <v>1198</v>
      </c>
      <c r="C68" s="27" t="s">
        <v>227</v>
      </c>
      <c r="D68" s="11"/>
      <c r="E68" s="11"/>
      <c r="F68" s="11"/>
    </row>
    <row r="69" ht="15.75" customHeight="1">
      <c r="A69" s="33" t="s">
        <v>226</v>
      </c>
      <c r="B69" s="27" t="s">
        <v>1205</v>
      </c>
      <c r="C69" s="27" t="s">
        <v>227</v>
      </c>
      <c r="D69" s="11"/>
      <c r="E69" s="11"/>
      <c r="F69" s="11"/>
    </row>
    <row r="70" ht="15.75" customHeight="1">
      <c r="A70" s="33" t="s">
        <v>3714</v>
      </c>
      <c r="B70" s="27" t="s">
        <v>1218</v>
      </c>
      <c r="C70" s="27" t="s">
        <v>227</v>
      </c>
      <c r="D70" s="11"/>
      <c r="E70" s="11"/>
      <c r="F70" s="11"/>
    </row>
    <row r="71" ht="15.75" customHeight="1">
      <c r="A71" s="33" t="s">
        <v>3711</v>
      </c>
      <c r="B71" s="27" t="s">
        <v>1224</v>
      </c>
      <c r="C71" s="27" t="s">
        <v>227</v>
      </c>
      <c r="D71" s="11"/>
      <c r="E71" s="11"/>
      <c r="F71" s="11"/>
    </row>
    <row r="72" ht="15.75" customHeight="1">
      <c r="A72" s="33" t="s">
        <v>3706</v>
      </c>
      <c r="B72" s="27" t="s">
        <v>1231</v>
      </c>
      <c r="C72" s="27" t="s">
        <v>227</v>
      </c>
      <c r="D72" s="11"/>
      <c r="E72" s="11"/>
      <c r="F72" s="11"/>
    </row>
    <row r="73" ht="15.75" customHeight="1">
      <c r="A73" s="33" t="s">
        <v>3700</v>
      </c>
      <c r="B73" s="27" t="s">
        <v>1239</v>
      </c>
      <c r="C73" s="27" t="s">
        <v>227</v>
      </c>
      <c r="D73" s="11"/>
      <c r="E73" s="11"/>
      <c r="F73" s="11"/>
    </row>
    <row r="74" ht="15.75" customHeight="1">
      <c r="A74" s="33" t="s">
        <v>3697</v>
      </c>
      <c r="B74" s="27" t="s">
        <v>1247</v>
      </c>
      <c r="C74" s="27" t="s">
        <v>227</v>
      </c>
      <c r="D74" s="11"/>
      <c r="E74" s="11"/>
      <c r="F74" s="11"/>
    </row>
    <row r="75" ht="15.75" customHeight="1">
      <c r="A75" s="33" t="s">
        <v>3693</v>
      </c>
      <c r="B75" s="27" t="s">
        <v>1255</v>
      </c>
      <c r="C75" s="27" t="s">
        <v>227</v>
      </c>
      <c r="D75" s="11"/>
      <c r="E75" s="11"/>
      <c r="F75" s="11"/>
    </row>
    <row r="76" ht="15.75" customHeight="1">
      <c r="A76" s="33" t="s">
        <v>1503</v>
      </c>
      <c r="B76" s="27" t="s">
        <v>1264</v>
      </c>
      <c r="C76" s="27" t="s">
        <v>227</v>
      </c>
      <c r="D76" s="11"/>
      <c r="E76" s="11"/>
      <c r="F76" s="11"/>
    </row>
    <row r="77" ht="15.75" customHeight="1">
      <c r="A77" s="33" t="s">
        <v>3689</v>
      </c>
      <c r="B77" s="27" t="s">
        <v>1270</v>
      </c>
      <c r="C77" s="27" t="s">
        <v>227</v>
      </c>
      <c r="D77" s="11"/>
      <c r="E77" s="11"/>
      <c r="F77" s="11"/>
    </row>
    <row r="78" ht="15.75" customHeight="1">
      <c r="A78" s="33" t="s">
        <v>542</v>
      </c>
      <c r="B78" s="27" t="s">
        <v>1277</v>
      </c>
      <c r="C78" s="27" t="s">
        <v>227</v>
      </c>
      <c r="D78" s="11"/>
      <c r="E78" s="11"/>
      <c r="F78" s="11"/>
    </row>
    <row r="79" ht="15.75" customHeight="1">
      <c r="A79" s="33" t="s">
        <v>3685</v>
      </c>
      <c r="B79" s="27" t="s">
        <v>1284</v>
      </c>
      <c r="C79" s="27" t="s">
        <v>227</v>
      </c>
      <c r="D79" s="11"/>
      <c r="E79" s="11"/>
      <c r="F79" s="11"/>
    </row>
    <row r="80" ht="15.75" customHeight="1">
      <c r="A80" s="33" t="s">
        <v>3681</v>
      </c>
      <c r="B80" s="27" t="s">
        <v>1290</v>
      </c>
      <c r="C80" s="27" t="s">
        <v>227</v>
      </c>
      <c r="D80" s="11"/>
      <c r="E80" s="11"/>
      <c r="F80" s="11"/>
    </row>
    <row r="81" ht="15.75" customHeight="1">
      <c r="A81" s="33" t="s">
        <v>3670</v>
      </c>
      <c r="B81" s="27" t="s">
        <v>1299</v>
      </c>
      <c r="C81" s="27" t="s">
        <v>227</v>
      </c>
      <c r="D81" s="11"/>
      <c r="E81" s="11"/>
      <c r="F81" s="11"/>
    </row>
    <row r="82" ht="15.75" customHeight="1">
      <c r="A82" s="33" t="s">
        <v>3675</v>
      </c>
      <c r="B82" s="27" t="s">
        <v>1308</v>
      </c>
      <c r="C82" s="27" t="s">
        <v>227</v>
      </c>
      <c r="D82" s="11"/>
      <c r="E82" s="11"/>
      <c r="F82" s="11"/>
    </row>
    <row r="83" ht="15.75" customHeight="1">
      <c r="A83" s="33" t="s">
        <v>3758</v>
      </c>
      <c r="B83" s="27" t="s">
        <v>1315</v>
      </c>
      <c r="C83" s="27" t="s">
        <v>227</v>
      </c>
      <c r="D83" s="11"/>
      <c r="E83" s="11"/>
      <c r="F83" s="11"/>
    </row>
    <row r="84" ht="15.75" customHeight="1">
      <c r="A84" s="33" t="s">
        <v>3764</v>
      </c>
      <c r="B84" s="27" t="s">
        <v>1324</v>
      </c>
      <c r="C84" s="27" t="s">
        <v>221</v>
      </c>
      <c r="E84" s="11"/>
      <c r="F84" s="11"/>
    </row>
    <row r="85" ht="15.75" customHeight="1">
      <c r="A85" s="33" t="s">
        <v>406</v>
      </c>
      <c r="B85" s="27" t="s">
        <v>1331</v>
      </c>
      <c r="C85" s="27" t="s">
        <v>221</v>
      </c>
      <c r="E85" s="11"/>
      <c r="F85" s="11"/>
    </row>
    <row r="86" ht="15.75" customHeight="1">
      <c r="A86" s="33" t="s">
        <v>3772</v>
      </c>
      <c r="B86" s="27" t="s">
        <v>1339</v>
      </c>
      <c r="C86" s="27" t="s">
        <v>221</v>
      </c>
      <c r="E86" s="11"/>
      <c r="F86" s="11"/>
    </row>
    <row r="87" ht="15.75" customHeight="1">
      <c r="A87" s="33" t="s">
        <v>3835</v>
      </c>
      <c r="B87" s="27" t="s">
        <v>1347</v>
      </c>
      <c r="C87" s="27" t="s">
        <v>221</v>
      </c>
      <c r="E87" s="11"/>
      <c r="F87" s="11"/>
    </row>
    <row r="88" ht="15.75" customHeight="1">
      <c r="A88" s="33" t="s">
        <v>3776</v>
      </c>
      <c r="B88" s="27" t="s">
        <v>1354</v>
      </c>
      <c r="C88" s="27" t="s">
        <v>221</v>
      </c>
      <c r="E88" s="11"/>
      <c r="F88" s="11"/>
    </row>
    <row r="89" ht="15.75" customHeight="1">
      <c r="A89" s="33" t="s">
        <v>3780</v>
      </c>
      <c r="B89" s="27" t="s">
        <v>1366</v>
      </c>
      <c r="C89" s="27" t="s">
        <v>221</v>
      </c>
      <c r="E89" s="11"/>
      <c r="F89" s="11"/>
    </row>
    <row r="90" ht="15.75" customHeight="1">
      <c r="A90" s="33" t="s">
        <v>3783</v>
      </c>
      <c r="B90" s="27" t="s">
        <v>1373</v>
      </c>
      <c r="C90" s="27" t="s">
        <v>221</v>
      </c>
      <c r="E90" s="11"/>
      <c r="F90" s="11"/>
    </row>
    <row r="91" ht="15.75" customHeight="1">
      <c r="A91" s="33" t="s">
        <v>3789</v>
      </c>
      <c r="B91" s="27" t="s">
        <v>1381</v>
      </c>
      <c r="C91" s="27" t="s">
        <v>221</v>
      </c>
      <c r="E91" s="11"/>
      <c r="F91" s="11"/>
    </row>
    <row r="92" ht="15.75" customHeight="1">
      <c r="A92" s="33" t="s">
        <v>3793</v>
      </c>
      <c r="B92" s="27" t="s">
        <v>1389</v>
      </c>
      <c r="C92" s="27" t="s">
        <v>221</v>
      </c>
      <c r="E92" s="11"/>
      <c r="F92" s="11"/>
    </row>
    <row r="93" ht="15.75" customHeight="1">
      <c r="A93" s="33" t="s">
        <v>3798</v>
      </c>
      <c r="B93" s="27" t="s">
        <v>1398</v>
      </c>
      <c r="C93" s="27" t="s">
        <v>221</v>
      </c>
      <c r="E93" s="11"/>
      <c r="F93" s="11"/>
    </row>
    <row r="94" ht="15.75" customHeight="1">
      <c r="A94" s="33" t="s">
        <v>3802</v>
      </c>
      <c r="B94" s="27" t="s">
        <v>1405</v>
      </c>
      <c r="C94" s="27" t="s">
        <v>221</v>
      </c>
      <c r="E94" s="11"/>
      <c r="F94" s="11"/>
    </row>
    <row r="95" ht="15.75" customHeight="1">
      <c r="A95" s="33" t="s">
        <v>3807</v>
      </c>
      <c r="B95" s="27" t="s">
        <v>1411</v>
      </c>
      <c r="C95" s="27" t="s">
        <v>221</v>
      </c>
      <c r="E95" s="11"/>
      <c r="F95" s="11"/>
    </row>
    <row r="96" ht="15.75" customHeight="1">
      <c r="A96" s="33" t="s">
        <v>3812</v>
      </c>
      <c r="B96" s="27" t="s">
        <v>1417</v>
      </c>
      <c r="C96" s="27" t="s">
        <v>221</v>
      </c>
      <c r="E96" s="11"/>
      <c r="F96" s="11"/>
    </row>
    <row r="97" ht="15.75" customHeight="1">
      <c r="A97" s="33" t="s">
        <v>3815</v>
      </c>
      <c r="B97" s="27" t="s">
        <v>1430</v>
      </c>
      <c r="C97" s="27" t="s">
        <v>221</v>
      </c>
      <c r="E97" s="11"/>
      <c r="F97" s="11"/>
    </row>
    <row r="98" ht="15.75" customHeight="1">
      <c r="A98" s="33" t="s">
        <v>3823</v>
      </c>
      <c r="B98" s="27" t="s">
        <v>1437</v>
      </c>
      <c r="C98" s="27" t="s">
        <v>221</v>
      </c>
      <c r="E98" s="11"/>
      <c r="F98" s="11"/>
    </row>
    <row r="99" ht="15.75" customHeight="1">
      <c r="A99" s="33" t="s">
        <v>3826</v>
      </c>
      <c r="B99" s="27" t="s">
        <v>1442</v>
      </c>
      <c r="C99" s="27" t="s">
        <v>221</v>
      </c>
      <c r="E99" s="11"/>
      <c r="F99" s="11"/>
    </row>
    <row r="100" ht="15.75" customHeight="1">
      <c r="A100" s="33" t="s">
        <v>3819</v>
      </c>
      <c r="B100" s="27" t="s">
        <v>1450</v>
      </c>
      <c r="C100" s="27" t="s">
        <v>221</v>
      </c>
      <c r="E100" s="11"/>
      <c r="F100" s="11"/>
    </row>
    <row r="101" ht="15.75" customHeight="1">
      <c r="A101" s="33" t="s">
        <v>3880</v>
      </c>
      <c r="B101" s="27" t="s">
        <v>1458</v>
      </c>
      <c r="C101" s="27" t="s">
        <v>221</v>
      </c>
      <c r="E101" s="11"/>
      <c r="F101" s="11"/>
    </row>
    <row r="102" ht="15.75" customHeight="1">
      <c r="A102" s="33" t="s">
        <v>657</v>
      </c>
      <c r="B102" s="27" t="s">
        <v>1467</v>
      </c>
      <c r="C102" s="27" t="s">
        <v>221</v>
      </c>
      <c r="E102" s="11"/>
      <c r="F102" s="11"/>
    </row>
    <row r="103" ht="15.75" customHeight="1">
      <c r="A103" s="33" t="s">
        <v>3832</v>
      </c>
      <c r="B103" s="27" t="s">
        <v>1474</v>
      </c>
      <c r="C103" s="27" t="s">
        <v>221</v>
      </c>
      <c r="E103" s="11"/>
      <c r="F103" s="11"/>
    </row>
    <row r="104" ht="15.75" customHeight="1">
      <c r="A104" s="33" t="s">
        <v>3837</v>
      </c>
      <c r="B104" s="27" t="s">
        <v>1482</v>
      </c>
      <c r="C104" s="27" t="s">
        <v>221</v>
      </c>
      <c r="E104" s="11"/>
      <c r="F104" s="11"/>
    </row>
    <row r="105" ht="15.75" customHeight="1">
      <c r="A105" s="33" t="s">
        <v>3840</v>
      </c>
      <c r="B105" s="27" t="s">
        <v>1489</v>
      </c>
      <c r="C105" s="27" t="s">
        <v>221</v>
      </c>
      <c r="E105" s="11"/>
      <c r="F105" s="11"/>
    </row>
    <row r="106" ht="15.75" customHeight="1">
      <c r="A106" s="33" t="s">
        <v>218</v>
      </c>
      <c r="B106" s="27" t="s">
        <v>1497</v>
      </c>
      <c r="C106" s="27" t="s">
        <v>221</v>
      </c>
      <c r="E106" s="11"/>
      <c r="F106" s="11"/>
    </row>
    <row r="107" ht="15.75" customHeight="1">
      <c r="A107" s="33" t="s">
        <v>3843</v>
      </c>
      <c r="B107" s="27" t="s">
        <v>1506</v>
      </c>
      <c r="C107" s="27" t="s">
        <v>221</v>
      </c>
      <c r="E107" s="11"/>
      <c r="F107" s="11"/>
    </row>
    <row r="108" ht="15.75" customHeight="1">
      <c r="A108" s="33" t="s">
        <v>3847</v>
      </c>
      <c r="B108" s="27" t="s">
        <v>1512</v>
      </c>
      <c r="C108" s="27" t="s">
        <v>221</v>
      </c>
      <c r="E108" s="11"/>
      <c r="F108" s="11"/>
    </row>
    <row r="109" ht="15.75" customHeight="1">
      <c r="A109" s="33" t="s">
        <v>3851</v>
      </c>
      <c r="B109" s="27" t="s">
        <v>1519</v>
      </c>
      <c r="C109" s="27" t="s">
        <v>221</v>
      </c>
      <c r="E109" s="11"/>
      <c r="F109" s="11"/>
    </row>
    <row r="110" ht="15.75" customHeight="1">
      <c r="A110" s="33" t="s">
        <v>3854</v>
      </c>
      <c r="B110" s="27" t="s">
        <v>1527</v>
      </c>
      <c r="C110" s="27" t="s">
        <v>221</v>
      </c>
      <c r="E110" s="11"/>
      <c r="F110" s="11"/>
    </row>
    <row r="111" ht="15.75" customHeight="1">
      <c r="A111" s="33" t="s">
        <v>3768</v>
      </c>
      <c r="B111" s="27" t="s">
        <v>1533</v>
      </c>
      <c r="C111" s="27" t="s">
        <v>221</v>
      </c>
      <c r="E111" s="11"/>
      <c r="F111" s="11"/>
    </row>
    <row r="112" ht="15.75" customHeight="1">
      <c r="A112" s="33" t="s">
        <v>3891</v>
      </c>
      <c r="B112" s="27" t="s">
        <v>1540</v>
      </c>
      <c r="C112" s="27" t="s">
        <v>282</v>
      </c>
      <c r="E112" s="11"/>
      <c r="F112" s="11"/>
    </row>
    <row r="113" ht="15.75" customHeight="1">
      <c r="A113" s="33" t="s">
        <v>3895</v>
      </c>
      <c r="B113" s="27" t="s">
        <v>1549</v>
      </c>
      <c r="C113" s="27" t="s">
        <v>282</v>
      </c>
      <c r="E113" s="11"/>
      <c r="F113" s="11"/>
    </row>
    <row r="114" ht="15.75" customHeight="1">
      <c r="A114" s="33" t="s">
        <v>3898</v>
      </c>
      <c r="B114" s="27" t="s">
        <v>1557</v>
      </c>
      <c r="C114" s="27" t="s">
        <v>282</v>
      </c>
      <c r="E114" s="11"/>
      <c r="F114" s="11"/>
    </row>
    <row r="115" ht="15.75" customHeight="1">
      <c r="A115" s="33" t="s">
        <v>3903</v>
      </c>
      <c r="B115" s="27" t="s">
        <v>1566</v>
      </c>
      <c r="C115" s="27" t="s">
        <v>282</v>
      </c>
      <c r="E115" s="11"/>
      <c r="F115" s="11"/>
    </row>
    <row r="116" ht="15.75" customHeight="1">
      <c r="A116" s="33" t="s">
        <v>3908</v>
      </c>
      <c r="B116" s="27" t="s">
        <v>1571</v>
      </c>
      <c r="C116" s="27" t="s">
        <v>282</v>
      </c>
      <c r="E116" s="11"/>
      <c r="F116" s="11"/>
    </row>
    <row r="117" ht="15.75" customHeight="1">
      <c r="A117" s="33" t="s">
        <v>3911</v>
      </c>
      <c r="B117" s="27" t="s">
        <v>1579</v>
      </c>
      <c r="C117" s="27" t="s">
        <v>282</v>
      </c>
      <c r="E117" s="11"/>
      <c r="F117" s="11"/>
    </row>
    <row r="118" ht="15.75" customHeight="1">
      <c r="A118" s="33" t="s">
        <v>3915</v>
      </c>
      <c r="B118" s="27" t="s">
        <v>1586</v>
      </c>
      <c r="C118" s="27" t="s">
        <v>282</v>
      </c>
      <c r="E118" s="11"/>
      <c r="F118" s="11"/>
    </row>
    <row r="119" ht="15.75" customHeight="1">
      <c r="A119" s="33" t="s">
        <v>3920</v>
      </c>
      <c r="B119" s="27" t="s">
        <v>1593</v>
      </c>
      <c r="C119" s="27" t="s">
        <v>282</v>
      </c>
      <c r="E119" s="11"/>
    </row>
    <row r="120" ht="15.75" customHeight="1">
      <c r="A120" s="33" t="s">
        <v>3924</v>
      </c>
      <c r="B120" s="27" t="s">
        <v>1603</v>
      </c>
      <c r="C120" s="27" t="s">
        <v>282</v>
      </c>
      <c r="E120" s="11"/>
    </row>
    <row r="121" ht="15.75" customHeight="1">
      <c r="A121" s="33" t="s">
        <v>3927</v>
      </c>
      <c r="B121" s="27" t="s">
        <v>1611</v>
      </c>
      <c r="C121" s="27" t="s">
        <v>282</v>
      </c>
      <c r="E121" s="11"/>
    </row>
    <row r="122" ht="15.75" customHeight="1">
      <c r="A122" s="33" t="s">
        <v>3930</v>
      </c>
      <c r="B122" s="27" t="s">
        <v>1619</v>
      </c>
      <c r="C122" s="27" t="s">
        <v>282</v>
      </c>
      <c r="E122" s="11"/>
    </row>
    <row r="123" ht="15.75" customHeight="1">
      <c r="A123" s="33" t="s">
        <v>3934</v>
      </c>
      <c r="B123" s="27" t="s">
        <v>1628</v>
      </c>
      <c r="C123" s="27" t="s">
        <v>282</v>
      </c>
      <c r="E123" s="11"/>
    </row>
    <row r="124" ht="15.75" customHeight="1">
      <c r="A124" s="33" t="s">
        <v>3939</v>
      </c>
      <c r="B124" s="27" t="s">
        <v>1635</v>
      </c>
      <c r="C124" s="27" t="s">
        <v>282</v>
      </c>
      <c r="E124" s="11"/>
    </row>
    <row r="125" ht="15.75" customHeight="1">
      <c r="A125" s="33" t="s">
        <v>3943</v>
      </c>
      <c r="B125" s="27" t="s">
        <v>1641</v>
      </c>
      <c r="C125" s="27" t="s">
        <v>282</v>
      </c>
      <c r="E125" s="11"/>
    </row>
    <row r="126" ht="15.75" customHeight="1">
      <c r="A126" s="33" t="s">
        <v>3947</v>
      </c>
      <c r="B126" s="27" t="s">
        <v>1648</v>
      </c>
      <c r="C126" s="27" t="s">
        <v>282</v>
      </c>
      <c r="E126" s="11"/>
    </row>
    <row r="127" ht="15.75" customHeight="1">
      <c r="A127" s="33" t="s">
        <v>3862</v>
      </c>
      <c r="B127" s="27" t="s">
        <v>1657</v>
      </c>
      <c r="C127" s="27" t="s">
        <v>282</v>
      </c>
      <c r="E127" s="11"/>
    </row>
    <row r="128" ht="15.75" customHeight="1">
      <c r="A128" s="33" t="s">
        <v>3858</v>
      </c>
      <c r="B128" s="27" t="s">
        <v>1661</v>
      </c>
      <c r="C128" s="27" t="s">
        <v>282</v>
      </c>
      <c r="E128" s="11"/>
    </row>
    <row r="129" ht="15.75" customHeight="1">
      <c r="A129" s="33" t="s">
        <v>2895</v>
      </c>
      <c r="B129" s="27" t="s">
        <v>1675</v>
      </c>
      <c r="C129" s="27" t="s">
        <v>282</v>
      </c>
      <c r="E129" s="11"/>
    </row>
    <row r="130" ht="15.75" customHeight="1">
      <c r="A130" s="33" t="s">
        <v>3865</v>
      </c>
      <c r="B130" s="27" t="s">
        <v>1681</v>
      </c>
      <c r="C130" s="27" t="s">
        <v>282</v>
      </c>
      <c r="E130" s="11"/>
    </row>
    <row r="131" ht="15.75" customHeight="1">
      <c r="A131" s="33" t="s">
        <v>628</v>
      </c>
      <c r="B131" s="27" t="s">
        <v>1687</v>
      </c>
      <c r="C131" s="27" t="s">
        <v>282</v>
      </c>
      <c r="E131" s="11"/>
    </row>
    <row r="132" ht="15.75" customHeight="1">
      <c r="A132" s="33" t="s">
        <v>281</v>
      </c>
      <c r="B132" s="27" t="s">
        <v>1695</v>
      </c>
      <c r="C132" s="27" t="s">
        <v>282</v>
      </c>
      <c r="E132" s="11"/>
    </row>
    <row r="133" ht="15.75" customHeight="1">
      <c r="A133" s="33" t="s">
        <v>3868</v>
      </c>
      <c r="B133" s="27" t="s">
        <v>1706</v>
      </c>
      <c r="C133" s="27" t="s">
        <v>282</v>
      </c>
      <c r="E133" s="11"/>
    </row>
    <row r="134" ht="15.75" customHeight="1">
      <c r="A134" s="33" t="s">
        <v>3872</v>
      </c>
      <c r="B134" s="27" t="s">
        <v>1713</v>
      </c>
      <c r="C134" s="27" t="s">
        <v>282</v>
      </c>
      <c r="E134" s="11"/>
    </row>
    <row r="135" ht="15.75" customHeight="1">
      <c r="A135" s="33" t="s">
        <v>3876</v>
      </c>
      <c r="B135" s="27" t="s">
        <v>1718</v>
      </c>
      <c r="C135" s="27" t="s">
        <v>282</v>
      </c>
      <c r="E135" s="11"/>
    </row>
    <row r="136" ht="15.75" customHeight="1">
      <c r="A136" s="33" t="s">
        <v>3879</v>
      </c>
      <c r="B136" s="27" t="s">
        <v>1725</v>
      </c>
      <c r="C136" s="27" t="s">
        <v>282</v>
      </c>
      <c r="E136" s="11"/>
    </row>
    <row r="137" ht="15.75" customHeight="1">
      <c r="A137" s="33" t="s">
        <v>320</v>
      </c>
      <c r="B137" s="27" t="s">
        <v>1734</v>
      </c>
      <c r="C137" s="27" t="s">
        <v>282</v>
      </c>
      <c r="E137" s="11"/>
    </row>
    <row r="138" ht="15.75" customHeight="1">
      <c r="A138" s="33" t="s">
        <v>4000</v>
      </c>
      <c r="B138" s="27" t="s">
        <v>1746</v>
      </c>
      <c r="C138" s="27" t="s">
        <v>282</v>
      </c>
      <c r="E138" s="11"/>
    </row>
    <row r="139" ht="15.75" customHeight="1">
      <c r="A139" s="33" t="s">
        <v>3144</v>
      </c>
      <c r="B139" s="27" t="s">
        <v>1755</v>
      </c>
      <c r="C139" s="27" t="s">
        <v>282</v>
      </c>
      <c r="E139" s="11"/>
    </row>
    <row r="140" ht="15.75" customHeight="1">
      <c r="A140" s="36"/>
      <c r="E140" s="11"/>
    </row>
    <row r="141" ht="15.75" customHeight="1">
      <c r="A141" s="36"/>
      <c r="E141" s="11"/>
    </row>
    <row r="142" ht="15.75" customHeight="1">
      <c r="A142" s="36"/>
      <c r="E142" s="11"/>
    </row>
    <row r="143" ht="15.75" customHeight="1">
      <c r="A143" s="36"/>
    </row>
    <row r="144" ht="15.75" customHeight="1">
      <c r="A144" s="36"/>
    </row>
    <row r="145" ht="15.75" customHeight="1">
      <c r="A145" s="36"/>
    </row>
    <row r="146" ht="15.75" customHeight="1">
      <c r="A146" s="36"/>
    </row>
    <row r="147" ht="15.75" customHeight="1">
      <c r="A147" s="36"/>
    </row>
    <row r="148" ht="15.75" customHeight="1">
      <c r="A148" s="36"/>
    </row>
    <row r="149" ht="15.75" customHeight="1">
      <c r="A149" s="36"/>
    </row>
    <row r="150" ht="15.75" customHeight="1">
      <c r="A150" s="36"/>
    </row>
    <row r="151" ht="15.75" customHeight="1">
      <c r="A151" s="36"/>
    </row>
    <row r="152" ht="15.75" customHeight="1">
      <c r="A152" s="36"/>
    </row>
    <row r="153" ht="15.75" customHeight="1">
      <c r="A153" s="36"/>
    </row>
    <row r="154" ht="15.75" customHeight="1">
      <c r="A154" s="36"/>
    </row>
    <row r="155" ht="15.75" customHeight="1">
      <c r="A155" s="36"/>
    </row>
    <row r="156" ht="15.75" customHeight="1">
      <c r="A156" s="36"/>
    </row>
    <row r="157" ht="15.75" customHeight="1">
      <c r="A157" s="36"/>
    </row>
    <row r="158" ht="15.75" customHeight="1">
      <c r="A158" s="36"/>
    </row>
    <row r="159" ht="15.75" customHeight="1">
      <c r="A159" s="36"/>
    </row>
    <row r="160" ht="15.75" customHeight="1">
      <c r="A160" s="36"/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C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13"/>
    <col customWidth="1" min="2" max="2" width="19.0"/>
    <col customWidth="1" min="3" max="3" width="12.63"/>
    <col customWidth="1" min="4" max="4" width="28.13"/>
    <col customWidth="1" min="5" max="5" width="14.25"/>
    <col customWidth="1" min="6" max="6" width="14.38"/>
    <col customWidth="1" min="7" max="7" width="27.25"/>
    <col customWidth="1" min="8" max="8" width="16.63"/>
  </cols>
  <sheetData>
    <row r="1" ht="22.5" customHeight="1">
      <c r="A1" s="37" t="s">
        <v>2</v>
      </c>
      <c r="B1" s="37" t="s">
        <v>4</v>
      </c>
      <c r="C1" s="37" t="s">
        <v>5</v>
      </c>
      <c r="D1" s="37" t="s">
        <v>6</v>
      </c>
      <c r="E1" s="38" t="s">
        <v>1</v>
      </c>
      <c r="F1" s="37" t="s">
        <v>8</v>
      </c>
      <c r="G1" s="37" t="s">
        <v>74</v>
      </c>
      <c r="H1" s="37" t="s">
        <v>4212</v>
      </c>
      <c r="I1" s="37" t="s">
        <v>4214</v>
      </c>
    </row>
    <row r="2" ht="22.5" customHeight="1">
      <c r="A2" s="39" t="s">
        <v>4218</v>
      </c>
      <c r="B2" s="40" t="s">
        <v>64</v>
      </c>
      <c r="C2" s="40" t="s">
        <v>65</v>
      </c>
      <c r="D2" s="41" t="s">
        <v>66</v>
      </c>
      <c r="E2" s="39" t="s">
        <v>67</v>
      </c>
      <c r="F2" s="40" t="s">
        <v>68</v>
      </c>
      <c r="G2" s="39" t="str">
        <f t="array" ref="G2">XLOOKUP(E2,FullStudentList!C:C,FullStudentList!D:D)</f>
        <v>MLnerdfinalboss@gmail.com</v>
      </c>
      <c r="H2" s="40">
        <f t="array" ref="H2">XLOOKUP(E2,FullStudentList!C:C,FullStudentList!G:G)</f>
        <v>6280811057</v>
      </c>
      <c r="I2" s="40" t="s">
        <v>65</v>
      </c>
    </row>
    <row r="3" ht="22.5" customHeight="1">
      <c r="A3" s="39" t="s">
        <v>4329</v>
      </c>
      <c r="B3" s="40" t="s">
        <v>209</v>
      </c>
      <c r="C3" s="40" t="s">
        <v>210</v>
      </c>
      <c r="D3" s="41" t="s">
        <v>211</v>
      </c>
      <c r="E3" s="39" t="s">
        <v>212</v>
      </c>
      <c r="F3" s="40" t="s">
        <v>68</v>
      </c>
      <c r="G3" s="39" t="str">
        <f t="array" ref="G3">XLOOKUP(E3,FullStudentList!C:C,FullStudentList!D:D)</f>
        <v>ayushsingla206@gmail.com</v>
      </c>
      <c r="H3" s="40">
        <f t="array" ref="H3">XLOOKUP(E3,FullStudentList!C:C,FullStudentList!G:G)</f>
        <v>6239319621</v>
      </c>
      <c r="I3" s="40" t="s">
        <v>210</v>
      </c>
    </row>
    <row r="4" ht="22.5" customHeight="1">
      <c r="A4" s="39" t="s">
        <v>4410</v>
      </c>
      <c r="B4" s="40" t="s">
        <v>215</v>
      </c>
      <c r="C4" s="40" t="s">
        <v>216</v>
      </c>
      <c r="D4" s="41" t="s">
        <v>217</v>
      </c>
      <c r="E4" s="39" t="s">
        <v>218</v>
      </c>
      <c r="F4" s="40" t="s">
        <v>221</v>
      </c>
      <c r="G4" s="39" t="str">
        <f t="array" ref="G4">XLOOKUP(E4,FullStudentList!C:C,FullStudentList!D:D)</f>
        <v>rohangogar2020@gmail.com</v>
      </c>
      <c r="H4" s="40">
        <f t="array" ref="H4">XLOOKUP(E4,FullStudentList!C:C,FullStudentList!G:G)</f>
        <v>8595791148</v>
      </c>
      <c r="I4" s="40" t="s">
        <v>216</v>
      </c>
    </row>
    <row r="5" ht="22.5" customHeight="1">
      <c r="A5" s="39" t="s">
        <v>4507</v>
      </c>
      <c r="B5" s="40" t="s">
        <v>223</v>
      </c>
      <c r="C5" s="40" t="s">
        <v>224</v>
      </c>
      <c r="D5" s="41" t="s">
        <v>225</v>
      </c>
      <c r="E5" s="39" t="s">
        <v>226</v>
      </c>
      <c r="F5" s="40" t="s">
        <v>227</v>
      </c>
      <c r="G5" s="39" t="str">
        <f t="array" ref="G5">XLOOKUP(E5,FullStudentList!C:C,FullStudentList!D:D)</f>
        <v>diya. handa2006@gmail.com</v>
      </c>
      <c r="H5" s="40">
        <f t="array" ref="H5">XLOOKUP(E5,FullStudentList!C:C,FullStudentList!G:G)</f>
        <v>9463050218</v>
      </c>
      <c r="I5" s="40" t="s">
        <v>224</v>
      </c>
    </row>
    <row r="6" ht="22.5" customHeight="1">
      <c r="A6" s="39" t="s">
        <v>4580</v>
      </c>
      <c r="B6" s="40" t="s">
        <v>229</v>
      </c>
      <c r="C6" s="40" t="s">
        <v>230</v>
      </c>
      <c r="D6" s="41" t="s">
        <v>232</v>
      </c>
      <c r="E6" s="39" t="s">
        <v>233</v>
      </c>
      <c r="F6" s="40" t="s">
        <v>219</v>
      </c>
      <c r="G6" s="39" t="str">
        <f t="array" ref="G6">XLOOKUP(E6,FullStudentList!C:C,FullStudentList!D:D)</f>
        <v>nikitxstha@gmail.com</v>
      </c>
      <c r="H6" s="40">
        <f t="array" ref="H6">XLOOKUP(E6,FullStudentList!C:C,FullStudentList!G:G)</f>
        <v>9872423375</v>
      </c>
      <c r="I6" s="40" t="s">
        <v>230</v>
      </c>
    </row>
    <row r="7" ht="22.5" customHeight="1">
      <c r="A7" s="39" t="s">
        <v>4648</v>
      </c>
      <c r="B7" s="40" t="s">
        <v>278</v>
      </c>
      <c r="C7" s="40" t="s">
        <v>279</v>
      </c>
      <c r="D7" s="41" t="s">
        <v>280</v>
      </c>
      <c r="E7" s="39" t="s">
        <v>281</v>
      </c>
      <c r="F7" s="40" t="s">
        <v>282</v>
      </c>
      <c r="G7" s="39" t="str">
        <f t="array" ref="G7">XLOOKUP(E7,FullStudentList!C:C,FullStudentList!D:D)</f>
        <v>akshayom51@gmail.com</v>
      </c>
      <c r="H7" s="40">
        <f t="array" ref="H7">XLOOKUP(E7,FullStudentList!C:C,FullStudentList!G:G)</f>
        <v>9892535043</v>
      </c>
      <c r="I7" s="40" t="s">
        <v>279</v>
      </c>
    </row>
    <row r="8" ht="22.5" customHeight="1">
      <c r="A8" s="39" t="s">
        <v>4704</v>
      </c>
      <c r="B8" s="40" t="s">
        <v>403</v>
      </c>
      <c r="C8" s="40" t="s">
        <v>404</v>
      </c>
      <c r="D8" s="41" t="s">
        <v>405</v>
      </c>
      <c r="E8" s="39" t="s">
        <v>406</v>
      </c>
      <c r="F8" s="40" t="s">
        <v>221</v>
      </c>
      <c r="G8" s="39" t="str">
        <f t="array" ref="G8">XLOOKUP(E8,FullStudentList!C:C,FullStudentList!D:D)</f>
        <v>Aryan.verma5947@thapar.edu</v>
      </c>
      <c r="H8" s="40">
        <f t="array" ref="H8">XLOOKUP(E8,FullStudentList!C:C,FullStudentList!G:G)</f>
        <v>9801484029</v>
      </c>
      <c r="I8" s="40" t="s">
        <v>404</v>
      </c>
    </row>
    <row r="9" ht="22.5" customHeight="1">
      <c r="A9" s="39" t="s">
        <v>4768</v>
      </c>
      <c r="B9" s="40" t="s">
        <v>538</v>
      </c>
      <c r="C9" s="40" t="s">
        <v>539</v>
      </c>
      <c r="D9" s="41" t="s">
        <v>540</v>
      </c>
      <c r="E9" s="39" t="s">
        <v>542</v>
      </c>
      <c r="F9" s="40" t="s">
        <v>227</v>
      </c>
      <c r="G9" s="39" t="str">
        <f t="array" ref="G9">XLOOKUP(E9,FullStudentList!C:C,FullStudentList!D:D)</f>
        <v>chaitanyasharmasdd@gmail.com</v>
      </c>
      <c r="H9" s="40">
        <f t="array" ref="H9">XLOOKUP(E9,FullStudentList!C:C,FullStudentList!G:G)</f>
        <v>9779088605</v>
      </c>
      <c r="I9" s="40" t="s">
        <v>539</v>
      </c>
    </row>
    <row r="10" ht="22.5" customHeight="1">
      <c r="A10" s="39" t="s">
        <v>4821</v>
      </c>
      <c r="B10" s="40" t="s">
        <v>607</v>
      </c>
      <c r="C10" s="40" t="s">
        <v>608</v>
      </c>
      <c r="D10" s="41" t="s">
        <v>609</v>
      </c>
      <c r="E10" s="39" t="s">
        <v>610</v>
      </c>
      <c r="F10" s="40" t="s">
        <v>219</v>
      </c>
      <c r="G10" s="39" t="str">
        <f t="array" ref="G10">XLOOKUP(E10,FullStudentList!C:C,FullStudentList!D:D)</f>
        <v>swikar000@gmail.com</v>
      </c>
      <c r="H10" s="40">
        <f t="array" ref="H10">XLOOKUP(E10,FullStudentList!C:C,FullStudentList!G:G)</f>
        <v>9769192559</v>
      </c>
      <c r="I10" s="40" t="s">
        <v>608</v>
      </c>
    </row>
    <row r="11" ht="22.5" customHeight="1">
      <c r="A11" s="39" t="s">
        <v>4900</v>
      </c>
      <c r="B11" s="40" t="s">
        <v>624</v>
      </c>
      <c r="C11" s="40" t="s">
        <v>625</v>
      </c>
      <c r="D11" s="41" t="s">
        <v>626</v>
      </c>
      <c r="E11" s="39" t="s">
        <v>628</v>
      </c>
      <c r="F11" s="40" t="s">
        <v>282</v>
      </c>
      <c r="G11" s="39" t="str">
        <f t="array" ref="G11">XLOOKUP(E11,FullStudentList!C:C,FullStudentList!D:D)</f>
        <v>ptatat0211@gmail.com</v>
      </c>
      <c r="H11" s="40">
        <f t="array" ref="H11">XLOOKUP(E11,FullStudentList!C:C,FullStudentList!G:G)</f>
        <v>8284099303</v>
      </c>
      <c r="I11" s="40" t="s">
        <v>625</v>
      </c>
    </row>
    <row r="12" ht="22.5" customHeight="1">
      <c r="A12" s="39" t="s">
        <v>4969</v>
      </c>
      <c r="B12" s="40" t="s">
        <v>653</v>
      </c>
      <c r="C12" s="40" t="s">
        <v>654</v>
      </c>
      <c r="D12" s="41" t="s">
        <v>656</v>
      </c>
      <c r="E12" s="39" t="s">
        <v>657</v>
      </c>
      <c r="F12" s="40" t="s">
        <v>221</v>
      </c>
      <c r="G12" s="39" t="str">
        <f t="array" ref="G12">XLOOKUP(E12,FullStudentList!C:C,FullStudentList!D:D)</f>
        <v>samay9g@gmail.com</v>
      </c>
      <c r="H12" s="40">
        <f t="array" ref="H12">XLOOKUP(E12,FullStudentList!C:C,FullStudentList!G:G)</f>
        <v>7986574788</v>
      </c>
      <c r="I12" s="40" t="s">
        <v>654</v>
      </c>
    </row>
    <row r="13" ht="22.5" customHeight="1">
      <c r="A13" s="39" t="s">
        <v>5042</v>
      </c>
      <c r="B13" s="40" t="s">
        <v>667</v>
      </c>
      <c r="C13" s="40" t="s">
        <v>668</v>
      </c>
      <c r="D13" s="41" t="s">
        <v>669</v>
      </c>
      <c r="E13" s="39" t="s">
        <v>670</v>
      </c>
      <c r="F13" s="40" t="s">
        <v>68</v>
      </c>
      <c r="G13" s="39" t="str">
        <f t="array" ref="G13">XLOOKUP(E13,FullStudentList!C:C,FullStudentList!D:D)</f>
        <v>groverhemakshi@gmail.com</v>
      </c>
      <c r="H13" s="40">
        <f t="array" ref="H13">XLOOKUP(E13,FullStudentList!C:C,FullStudentList!G:G)</f>
        <v>9289050223</v>
      </c>
      <c r="I13" s="40" t="s">
        <v>668</v>
      </c>
    </row>
    <row r="14" ht="22.5" customHeight="1">
      <c r="A14" s="39" t="s">
        <v>5111</v>
      </c>
      <c r="B14" s="40" t="s">
        <v>736</v>
      </c>
      <c r="C14" s="40" t="s">
        <v>738</v>
      </c>
      <c r="D14" s="41" t="s">
        <v>739</v>
      </c>
      <c r="E14" s="39" t="s">
        <v>740</v>
      </c>
      <c r="F14" s="40" t="s">
        <v>543</v>
      </c>
      <c r="G14" s="39" t="str">
        <f t="array" ref="G14">XLOOKUP(E14,FullStudentList!C:C,FullStudentList!D:D)</f>
        <v>gulatisaksham07@gmail.com</v>
      </c>
      <c r="H14" s="40">
        <f t="array" ref="H14">XLOOKUP(E14,FullStudentList!C:C,FullStudentList!G:G)</f>
        <v>7901960844</v>
      </c>
      <c r="I14" s="40" t="s">
        <v>738</v>
      </c>
    </row>
    <row r="15" ht="22.5" customHeight="1">
      <c r="A15" s="39" t="s">
        <v>5157</v>
      </c>
      <c r="B15" s="40" t="s">
        <v>742</v>
      </c>
      <c r="C15" s="40" t="s">
        <v>743</v>
      </c>
      <c r="D15" s="41" t="s">
        <v>745</v>
      </c>
      <c r="E15" s="39" t="s">
        <v>746</v>
      </c>
      <c r="F15" s="40" t="s">
        <v>543</v>
      </c>
      <c r="G15" s="39" t="str">
        <f t="array" ref="G15">XLOOKUP(E15,FullStudentList!C:C,FullStudentList!D:D)</f>
        <v>bandhuulsjaura@gmail.com</v>
      </c>
      <c r="H15" s="40">
        <f t="array" ref="H15">XLOOKUP(E15,FullStudentList!C:C,FullStudentList!G:G)</f>
        <v>9779908020</v>
      </c>
      <c r="I15" s="40" t="s">
        <v>743</v>
      </c>
    </row>
    <row r="16" ht="22.5" customHeight="1">
      <c r="A16" s="39" t="s">
        <v>5202</v>
      </c>
      <c r="B16" s="40" t="s">
        <v>1178</v>
      </c>
      <c r="C16" s="40" t="s">
        <v>1179</v>
      </c>
      <c r="D16" s="41" t="s">
        <v>1180</v>
      </c>
      <c r="E16" s="39" t="s">
        <v>1181</v>
      </c>
      <c r="F16" s="40" t="s">
        <v>221</v>
      </c>
      <c r="G16" s="39" t="str">
        <f t="array" ref="G16">XLOOKUP(E16,FullStudentList!C:C,FullStudentList!D:D)</f>
        <v>vaibhavclm10@gmail.com</v>
      </c>
      <c r="H16" s="40">
        <f t="array" ref="H16">XLOOKUP(E16,FullStudentList!C:C,FullStudentList!G:G)</f>
        <v>8437428157</v>
      </c>
      <c r="I16" s="40" t="s">
        <v>1179</v>
      </c>
    </row>
    <row r="17" ht="22.5" customHeight="1">
      <c r="A17" s="39" t="s">
        <v>5248</v>
      </c>
      <c r="B17" s="40" t="s">
        <v>788</v>
      </c>
      <c r="C17" s="40" t="s">
        <v>3487</v>
      </c>
      <c r="D17" s="41" t="s">
        <v>3488</v>
      </c>
      <c r="E17" s="39" t="s">
        <v>3489</v>
      </c>
      <c r="F17" s="40" t="s">
        <v>68</v>
      </c>
      <c r="G17" s="39" t="str">
        <f t="array" ref="G17">XLOOKUP(E17,FullStudentList!C:C,FullStudentList!D:D)</f>
        <v>samarthagurtu18@gmail.com</v>
      </c>
      <c r="H17" s="40">
        <f t="array" ref="H17">XLOOKUP(E17,FullStudentList!C:C,FullStudentList!G:G)</f>
        <v>9998172039</v>
      </c>
      <c r="I17" s="40" t="s">
        <v>3487</v>
      </c>
    </row>
    <row r="18" ht="22.5" customHeight="1">
      <c r="A18" s="39" t="s">
        <v>5302</v>
      </c>
      <c r="B18" s="40" t="s">
        <v>796</v>
      </c>
      <c r="C18" s="40" t="s">
        <v>3491</v>
      </c>
      <c r="D18" s="41" t="s">
        <v>3492</v>
      </c>
      <c r="E18" s="39" t="s">
        <v>3493</v>
      </c>
      <c r="F18" s="40" t="s">
        <v>68</v>
      </c>
      <c r="G18" s="39" t="str">
        <f t="array" ref="G18">XLOOKUP(E18,FullStudentList!C:C,FullStudentList!D:D)</f>
        <v>vaastavkumar07@gmail.com</v>
      </c>
      <c r="H18" s="40">
        <f t="array" ref="H18">XLOOKUP(E18,FullStudentList!C:C,FullStudentList!G:G)</f>
        <v>9690755513</v>
      </c>
      <c r="I18" s="40" t="s">
        <v>3491</v>
      </c>
    </row>
    <row r="19" ht="22.5" customHeight="1">
      <c r="A19" s="39" t="s">
        <v>5338</v>
      </c>
      <c r="B19" s="40" t="s">
        <v>803</v>
      </c>
      <c r="C19" s="40" t="s">
        <v>3496</v>
      </c>
      <c r="D19" s="41" t="s">
        <v>3498</v>
      </c>
      <c r="E19" s="39" t="s">
        <v>3499</v>
      </c>
      <c r="F19" s="40" t="s">
        <v>68</v>
      </c>
      <c r="G19" s="39" t="str">
        <f t="array" ref="G19">XLOOKUP(E19,FullStudentList!C:C,FullStudentList!D:D)</f>
        <v>vanyawalia1234@gmail.com</v>
      </c>
      <c r="H19" s="40">
        <f t="array" ref="H19">XLOOKUP(E19,FullStudentList!C:C,FullStudentList!G:G)</f>
        <v>6284736981</v>
      </c>
      <c r="I19" s="40" t="s">
        <v>3496</v>
      </c>
    </row>
    <row r="20" ht="22.5" customHeight="1">
      <c r="A20" s="39" t="s">
        <v>5376</v>
      </c>
      <c r="B20" s="40" t="s">
        <v>811</v>
      </c>
      <c r="C20" s="40" t="s">
        <v>3500</v>
      </c>
      <c r="D20" s="41" t="s">
        <v>3501</v>
      </c>
      <c r="E20" s="39" t="s">
        <v>3502</v>
      </c>
      <c r="F20" s="40" t="s">
        <v>68</v>
      </c>
      <c r="G20" s="39" t="str">
        <f t="array" ref="G20">XLOOKUP(E20,FullStudentList!C:C,FullStudentList!D:D)</f>
        <v>rastogipurvi29@gmail.com</v>
      </c>
      <c r="H20" s="40">
        <f t="array" ref="H20">XLOOKUP(E20,FullStudentList!C:C,FullStudentList!G:G)</f>
        <v>8953585777</v>
      </c>
      <c r="I20" s="40" t="s">
        <v>3500</v>
      </c>
    </row>
    <row r="21" ht="22.5" customHeight="1">
      <c r="A21" s="39" t="s">
        <v>5411</v>
      </c>
      <c r="B21" s="40" t="s">
        <v>826</v>
      </c>
      <c r="C21" s="40" t="s">
        <v>3503</v>
      </c>
      <c r="D21" s="41" t="s">
        <v>3505</v>
      </c>
      <c r="E21" s="39" t="s">
        <v>3506</v>
      </c>
      <c r="F21" s="40" t="s">
        <v>68</v>
      </c>
      <c r="G21" s="39" t="str">
        <f t="array" ref="G21">XLOOKUP(E21,FullStudentList!C:C,FullStudentList!D:D)</f>
        <v>Manan.kansal2007@gmail.com</v>
      </c>
      <c r="H21" s="40">
        <f t="array" ref="H21">XLOOKUP(E21,FullStudentList!C:C,FullStudentList!G:G)</f>
        <v>7027646003</v>
      </c>
      <c r="I21" s="40" t="s">
        <v>3503</v>
      </c>
    </row>
    <row r="22" ht="22.5" customHeight="1">
      <c r="A22" s="39" t="s">
        <v>5446</v>
      </c>
      <c r="B22" s="40" t="s">
        <v>832</v>
      </c>
      <c r="C22" s="40" t="s">
        <v>3509</v>
      </c>
      <c r="D22" s="41" t="s">
        <v>3510</v>
      </c>
      <c r="E22" s="39" t="s">
        <v>3511</v>
      </c>
      <c r="F22" s="40" t="s">
        <v>68</v>
      </c>
      <c r="G22" s="39" t="str">
        <f t="array" ref="G22">XLOOKUP(E22,FullStudentList!C:C,FullStudentList!D:D)</f>
        <v>ganika067@gmail.com</v>
      </c>
      <c r="H22" s="40">
        <f t="array" ref="H22">XLOOKUP(E22,FullStudentList!C:C,FullStudentList!G:G)</f>
        <v>6280719721</v>
      </c>
      <c r="I22" s="40" t="s">
        <v>3509</v>
      </c>
    </row>
    <row r="23" ht="22.5" customHeight="1">
      <c r="A23" s="39" t="s">
        <v>5512</v>
      </c>
      <c r="B23" s="40" t="s">
        <v>841</v>
      </c>
      <c r="C23" s="40" t="s">
        <v>3514</v>
      </c>
      <c r="D23" s="41" t="s">
        <v>3515</v>
      </c>
      <c r="E23" s="39" t="s">
        <v>3516</v>
      </c>
      <c r="F23" s="40" t="s">
        <v>68</v>
      </c>
      <c r="G23" s="39" t="str">
        <f t="array" ref="G23">XLOOKUP(E23,FullStudentList!C:C,FullStudentList!D:D)</f>
        <v>bansalmansha6@gmail.com</v>
      </c>
      <c r="H23" s="40">
        <f t="array" ref="H23">XLOOKUP(E23,FullStudentList!C:C,FullStudentList!G:G)</f>
        <v>9548475895</v>
      </c>
      <c r="I23" s="40" t="s">
        <v>3514</v>
      </c>
    </row>
    <row r="24" ht="22.5" customHeight="1">
      <c r="A24" s="39" t="s">
        <v>5574</v>
      </c>
      <c r="B24" s="40" t="s">
        <v>847</v>
      </c>
      <c r="C24" s="40" t="s">
        <v>3517</v>
      </c>
      <c r="D24" s="41" t="s">
        <v>3518</v>
      </c>
      <c r="E24" s="39" t="s">
        <v>3519</v>
      </c>
      <c r="F24" s="40" t="s">
        <v>68</v>
      </c>
      <c r="G24" s="39" t="str">
        <f t="array" ref="G24">XLOOKUP(E24,FullStudentList!C:C,FullStudentList!D:D)</f>
        <v>naddashriya@gmail.com</v>
      </c>
      <c r="H24" s="40">
        <f t="array" ref="H24">XLOOKUP(E24,FullStudentList!C:C,FullStudentList!G:G)</f>
        <v>6280842919</v>
      </c>
      <c r="I24" s="40" t="s">
        <v>3517</v>
      </c>
    </row>
    <row r="25" ht="22.5" customHeight="1">
      <c r="A25" s="39" t="s">
        <v>5627</v>
      </c>
      <c r="B25" s="40" t="s">
        <v>854</v>
      </c>
      <c r="C25" s="40" t="s">
        <v>3521</v>
      </c>
      <c r="D25" s="41" t="s">
        <v>3522</v>
      </c>
      <c r="E25" s="39" t="s">
        <v>3523</v>
      </c>
      <c r="F25" s="40" t="s">
        <v>68</v>
      </c>
      <c r="G25" s="39" t="str">
        <f t="array" ref="G25">XLOOKUP(E25,FullStudentList!C:C,FullStudentList!D:D)</f>
        <v>tamannabatra2006@gmail.com</v>
      </c>
      <c r="H25" s="40">
        <f t="array" ref="H25">XLOOKUP(E25,FullStudentList!C:C,FullStudentList!G:G)</f>
        <v>9814001085</v>
      </c>
      <c r="I25" s="40" t="s">
        <v>3521</v>
      </c>
    </row>
    <row r="26" ht="22.5" customHeight="1">
      <c r="A26" s="39" t="s">
        <v>5687</v>
      </c>
      <c r="B26" s="40" t="s">
        <v>880</v>
      </c>
      <c r="C26" s="40" t="s">
        <v>3524</v>
      </c>
      <c r="D26" s="41" t="s">
        <v>3525</v>
      </c>
      <c r="E26" s="39" t="s">
        <v>3526</v>
      </c>
      <c r="F26" s="40" t="s">
        <v>68</v>
      </c>
      <c r="G26" s="39" t="str">
        <f t="array" ref="G26">XLOOKUP(E26,FullStudentList!C:C,FullStudentList!D:D)</f>
        <v>dhairyaarora3543@gmail.com</v>
      </c>
      <c r="H26" s="40">
        <f t="array" ref="H26">XLOOKUP(E26,FullStudentList!C:C,FullStudentList!G:G)</f>
        <v>8968696041</v>
      </c>
      <c r="I26" s="40" t="s">
        <v>3524</v>
      </c>
    </row>
    <row r="27" ht="22.5" customHeight="1">
      <c r="A27" s="39" t="s">
        <v>5746</v>
      </c>
      <c r="B27" s="40" t="s">
        <v>887</v>
      </c>
      <c r="C27" s="40" t="s">
        <v>3528</v>
      </c>
      <c r="D27" s="41" t="s">
        <v>3529</v>
      </c>
      <c r="E27" s="39" t="s">
        <v>3530</v>
      </c>
      <c r="F27" s="40" t="s">
        <v>68</v>
      </c>
      <c r="G27" s="39" t="str">
        <f t="array" ref="G27">XLOOKUP(E27,FullStudentList!C:C,FullStudentList!D:D)</f>
        <v>rishitsharma649@gmail.com</v>
      </c>
      <c r="H27" s="40">
        <f t="array" ref="H27">XLOOKUP(E27,FullStudentList!C:C,FullStudentList!G:G)</f>
        <v>9205458424</v>
      </c>
      <c r="I27" s="40" t="s">
        <v>3528</v>
      </c>
    </row>
    <row r="28" ht="22.5" customHeight="1">
      <c r="A28" s="39" t="s">
        <v>5805</v>
      </c>
      <c r="B28" s="40" t="s">
        <v>894</v>
      </c>
      <c r="C28" s="40" t="s">
        <v>3532</v>
      </c>
      <c r="D28" s="41" t="s">
        <v>3534</v>
      </c>
      <c r="E28" s="39" t="s">
        <v>3535</v>
      </c>
      <c r="F28" s="40" t="s">
        <v>68</v>
      </c>
      <c r="G28" s="39" t="str">
        <f t="array" ref="G28">XLOOKUP(E28,FullStudentList!C:C,FullStudentList!D:D)</f>
        <v>bavikasingla833@gmail.com</v>
      </c>
      <c r="H28" s="40">
        <f t="array" ref="H28">XLOOKUP(E28,FullStudentList!C:C,FullStudentList!G:G)</f>
        <v>6284675727</v>
      </c>
      <c r="I28" s="40" t="s">
        <v>3532</v>
      </c>
    </row>
    <row r="29" ht="22.5" customHeight="1">
      <c r="A29" s="39" t="s">
        <v>5861</v>
      </c>
      <c r="B29" s="40" t="s">
        <v>903</v>
      </c>
      <c r="C29" s="40" t="s">
        <v>3536</v>
      </c>
      <c r="D29" s="41" t="s">
        <v>3537</v>
      </c>
      <c r="E29" s="39" t="s">
        <v>3538</v>
      </c>
      <c r="F29" s="40" t="s">
        <v>68</v>
      </c>
      <c r="G29" s="39" t="str">
        <f t="array" ref="G29">XLOOKUP(E29,FullStudentList!C:C,FullStudentList!D:D)</f>
        <v>swastik.new.17@gmail.com</v>
      </c>
      <c r="H29" s="40">
        <f t="array" ref="H29">XLOOKUP(E29,FullStudentList!C:C,FullStudentList!G:G)</f>
        <v>8267027560</v>
      </c>
      <c r="I29" s="40" t="s">
        <v>3536</v>
      </c>
    </row>
    <row r="30" ht="22.5" customHeight="1">
      <c r="A30" s="39" t="s">
        <v>5938</v>
      </c>
      <c r="B30" s="40" t="s">
        <v>911</v>
      </c>
      <c r="C30" s="40" t="s">
        <v>3541</v>
      </c>
      <c r="D30" s="41" t="s">
        <v>3542</v>
      </c>
      <c r="E30" s="39" t="s">
        <v>3543</v>
      </c>
      <c r="F30" s="40" t="s">
        <v>68</v>
      </c>
      <c r="G30" s="39" t="str">
        <f t="array" ref="G30">XLOOKUP(E30,FullStudentList!C:C,FullStudentList!D:D)</f>
        <v>07bhavyagoyal@gmail.com</v>
      </c>
      <c r="H30" s="40">
        <f t="array" ref="H30">XLOOKUP(E30,FullStudentList!C:C,FullStudentList!G:G)</f>
        <v>7015840213</v>
      </c>
      <c r="I30" s="40" t="s">
        <v>3541</v>
      </c>
    </row>
    <row r="31" ht="22.5" customHeight="1">
      <c r="A31" s="39" t="s">
        <v>5999</v>
      </c>
      <c r="B31" s="40" t="s">
        <v>917</v>
      </c>
      <c r="C31" s="40" t="s">
        <v>3545</v>
      </c>
      <c r="D31" s="41" t="s">
        <v>3546</v>
      </c>
      <c r="E31" s="39" t="s">
        <v>3547</v>
      </c>
      <c r="F31" s="40" t="s">
        <v>68</v>
      </c>
      <c r="G31" s="39" t="str">
        <f t="array" ref="G31">XLOOKUP(E31,FullStudentList!C:C,FullStudentList!D:D)</f>
        <v>sakshammahajan68@gmail.com</v>
      </c>
      <c r="H31" s="40">
        <f t="array" ref="H31">XLOOKUP(E31,FullStudentList!C:C,FullStudentList!G:G)</f>
        <v>6283426592</v>
      </c>
      <c r="I31" s="40" t="s">
        <v>3545</v>
      </c>
    </row>
    <row r="32" ht="22.5" customHeight="1">
      <c r="A32" s="39" t="s">
        <v>6063</v>
      </c>
      <c r="B32" s="40" t="s">
        <v>544</v>
      </c>
      <c r="C32" s="40" t="s">
        <v>3549</v>
      </c>
      <c r="D32" s="41" t="s">
        <v>3551</v>
      </c>
      <c r="E32" s="39" t="s">
        <v>3520</v>
      </c>
      <c r="F32" s="40" t="s">
        <v>68</v>
      </c>
      <c r="G32" s="39" t="str">
        <f t="array" ref="G32">XLOOKUP(E32,FullStudentList!C:C,FullStudentList!D:D)</f>
        <v>hiteshguptacoder123@gmail.com</v>
      </c>
      <c r="H32" s="40">
        <f t="array" ref="H32">XLOOKUP(E32,FullStudentList!C:C,FullStudentList!G:G)</f>
        <v>8699401153</v>
      </c>
      <c r="I32" s="40" t="s">
        <v>3549</v>
      </c>
    </row>
    <row r="33" ht="22.5" customHeight="1">
      <c r="A33" s="39" t="s">
        <v>6140</v>
      </c>
      <c r="B33" s="40" t="s">
        <v>702</v>
      </c>
      <c r="C33" s="40" t="s">
        <v>3552</v>
      </c>
      <c r="D33" s="41" t="s">
        <v>3554</v>
      </c>
      <c r="E33" s="39" t="s">
        <v>3539</v>
      </c>
      <c r="F33" s="40" t="s">
        <v>68</v>
      </c>
      <c r="G33" s="39" t="str">
        <f t="array" ref="G33">XLOOKUP(E33,FullStudentList!C:C,FullStudentList!D:D)</f>
        <v>apandey4_be25@thapar.edu</v>
      </c>
      <c r="H33" s="40">
        <f t="array" ref="H33">XLOOKUP(E33,FullStudentList!C:C,FullStudentList!G:G)</f>
        <v>7379638632</v>
      </c>
      <c r="I33" s="40" t="s">
        <v>3552</v>
      </c>
    </row>
    <row r="34" ht="22.5" customHeight="1">
      <c r="A34" s="39" t="s">
        <v>6218</v>
      </c>
      <c r="B34" s="40" t="s">
        <v>715</v>
      </c>
      <c r="C34" s="40" t="s">
        <v>3557</v>
      </c>
      <c r="D34" s="41" t="s">
        <v>3559</v>
      </c>
      <c r="E34" s="39" t="s">
        <v>3540</v>
      </c>
      <c r="F34" s="40" t="s">
        <v>68</v>
      </c>
      <c r="G34" s="39" t="str">
        <f t="array" ref="G34">XLOOKUP(E34,FullStudentList!C:C,FullStudentList!D:D)</f>
        <v>Nishitagupta477@gmail.com</v>
      </c>
      <c r="H34" s="40">
        <f t="array" ref="H34">XLOOKUP(E34,FullStudentList!C:C,FullStudentList!G:G)</f>
        <v>9041038026</v>
      </c>
      <c r="I34" s="40" t="s">
        <v>3557</v>
      </c>
    </row>
    <row r="35" ht="22.5" customHeight="1">
      <c r="A35" s="39" t="s">
        <v>6282</v>
      </c>
      <c r="B35" s="40" t="s">
        <v>722</v>
      </c>
      <c r="C35" s="40" t="s">
        <v>3561</v>
      </c>
      <c r="D35" s="41" t="s">
        <v>701</v>
      </c>
      <c r="E35" s="39" t="s">
        <v>709</v>
      </c>
      <c r="F35" s="40" t="s">
        <v>68</v>
      </c>
      <c r="G35" s="39" t="str">
        <f t="array" ref="G35">XLOOKUP(E35,FullStudentList!C:C,FullStudentList!D:D)</f>
        <v>gargakshata@gmail.com</v>
      </c>
      <c r="H35" s="40">
        <f t="array" ref="H35">XLOOKUP(E35,FullStudentList!C:C,FullStudentList!G:G)</f>
        <v>9530828144</v>
      </c>
      <c r="I35" s="40" t="s">
        <v>3561</v>
      </c>
    </row>
    <row r="36" ht="22.5" customHeight="1">
      <c r="A36" s="39" t="s">
        <v>6341</v>
      </c>
      <c r="B36" s="40" t="s">
        <v>729</v>
      </c>
      <c r="C36" s="40" t="s">
        <v>3564</v>
      </c>
      <c r="D36" s="41" t="s">
        <v>3565</v>
      </c>
      <c r="E36" s="39" t="s">
        <v>3550</v>
      </c>
      <c r="F36" s="40" t="s">
        <v>68</v>
      </c>
      <c r="G36" s="39" t="str">
        <f t="array" ref="G36">XLOOKUP(E36,FullStudentList!C:C,FullStudentList!D:D)</f>
        <v>palksgupta23@gmail.com</v>
      </c>
      <c r="H36" s="40">
        <f t="array" ref="H36">XLOOKUP(E36,FullStudentList!C:C,FullStudentList!G:G)</f>
        <v>7657847720</v>
      </c>
      <c r="I36" s="40" t="s">
        <v>3564</v>
      </c>
    </row>
    <row r="37" ht="22.5" customHeight="1">
      <c r="A37" s="39" t="s">
        <v>6399</v>
      </c>
      <c r="B37" s="40" t="s">
        <v>737</v>
      </c>
      <c r="C37" s="40" t="s">
        <v>3568</v>
      </c>
      <c r="D37" s="41" t="s">
        <v>3570</v>
      </c>
      <c r="E37" s="39" t="s">
        <v>3553</v>
      </c>
      <c r="F37" s="40" t="s">
        <v>68</v>
      </c>
      <c r="G37" s="39" t="str">
        <f t="array" ref="G37">XLOOKUP(E37,FullStudentList!C:C,FullStudentList!D:D)</f>
        <v>ustat1singh@gmail.com</v>
      </c>
      <c r="H37" s="40">
        <f t="array" ref="H37">XLOOKUP(E37,FullStudentList!C:C,FullStudentList!G:G)</f>
        <v>9355128484</v>
      </c>
      <c r="I37" s="40" t="s">
        <v>3568</v>
      </c>
    </row>
    <row r="38" ht="22.5" customHeight="1">
      <c r="A38" s="39" t="s">
        <v>6467</v>
      </c>
      <c r="B38" s="40" t="s">
        <v>744</v>
      </c>
      <c r="C38" s="40" t="s">
        <v>3573</v>
      </c>
      <c r="D38" s="41" t="s">
        <v>3574</v>
      </c>
      <c r="E38" s="39" t="s">
        <v>3560</v>
      </c>
      <c r="F38" s="40" t="s">
        <v>68</v>
      </c>
      <c r="G38" s="39" t="str">
        <f t="array" ref="G38">XLOOKUP(E38,FullStudentList!C:C,FullStudentList!D:D)</f>
        <v>Kyra.ag011@gmail.com</v>
      </c>
      <c r="H38" s="40">
        <f t="array" ref="H38">XLOOKUP(E38,FullStudentList!C:C,FullStudentList!G:G)</f>
        <v>8979745677</v>
      </c>
      <c r="I38" s="40" t="s">
        <v>3573</v>
      </c>
    </row>
    <row r="39" ht="22.5" customHeight="1">
      <c r="A39" s="39" t="s">
        <v>6523</v>
      </c>
      <c r="B39" s="40" t="s">
        <v>753</v>
      </c>
      <c r="C39" s="40" t="s">
        <v>3576</v>
      </c>
      <c r="D39" s="41" t="s">
        <v>3577</v>
      </c>
      <c r="E39" s="39" t="s">
        <v>3562</v>
      </c>
      <c r="F39" s="40" t="s">
        <v>68</v>
      </c>
      <c r="G39" s="39" t="str">
        <f t="array" ref="G39">XLOOKUP(E39,FullStudentList!C:C,FullStudentList!D:D)</f>
        <v>skumar_be25@thapar.edu</v>
      </c>
      <c r="H39" s="40">
        <f t="array" ref="H39">XLOOKUP(E39,FullStudentList!C:C,FullStudentList!G:G)</f>
        <v>8976965080</v>
      </c>
      <c r="I39" s="40" t="s">
        <v>3576</v>
      </c>
    </row>
    <row r="40" ht="22.5" customHeight="1">
      <c r="A40" s="39" t="s">
        <v>6585</v>
      </c>
      <c r="B40" s="40" t="s">
        <v>758</v>
      </c>
      <c r="C40" s="40" t="s">
        <v>3579</v>
      </c>
      <c r="D40" s="41" t="s">
        <v>3580</v>
      </c>
      <c r="E40" s="39" t="s">
        <v>3563</v>
      </c>
      <c r="F40" s="40" t="s">
        <v>68</v>
      </c>
      <c r="G40" s="39" t="str">
        <f t="array" ref="G40">XLOOKUP(E40,FullStudentList!C:C,FullStudentList!D:D)</f>
        <v>atiwari4_be25@thapar.edu</v>
      </c>
      <c r="H40" s="40">
        <f t="array" ref="H40">XLOOKUP(E40,FullStudentList!C:C,FullStudentList!G:G)</f>
        <v>9638840838</v>
      </c>
      <c r="I40" s="40" t="s">
        <v>3579</v>
      </c>
    </row>
    <row r="41" ht="22.5" customHeight="1">
      <c r="A41" s="39" t="s">
        <v>6642</v>
      </c>
      <c r="B41" s="40" t="s">
        <v>771</v>
      </c>
      <c r="C41" s="40" t="s">
        <v>3581</v>
      </c>
      <c r="D41" s="41" t="s">
        <v>474</v>
      </c>
      <c r="E41" s="39" t="s">
        <v>480</v>
      </c>
      <c r="F41" s="40" t="s">
        <v>68</v>
      </c>
      <c r="G41" s="39" t="str">
        <f t="array" ref="G41">XLOOKUP(E41,FullStudentList!C:C,FullStudentList!D:D)</f>
        <v>artistananya1@gmail.com</v>
      </c>
      <c r="H41" s="40">
        <f t="array" ref="H41">XLOOKUP(E41,FullStudentList!C:C,FullStudentList!G:G)</f>
        <v>7489243681</v>
      </c>
      <c r="I41" s="40" t="s">
        <v>3581</v>
      </c>
    </row>
    <row r="42" ht="22.5" customHeight="1">
      <c r="A42" s="39" t="s">
        <v>6701</v>
      </c>
      <c r="B42" s="40" t="s">
        <v>778</v>
      </c>
      <c r="C42" s="40" t="s">
        <v>3583</v>
      </c>
      <c r="D42" s="41" t="s">
        <v>3584</v>
      </c>
      <c r="E42" s="39" t="s">
        <v>3575</v>
      </c>
      <c r="F42" s="40" t="s">
        <v>68</v>
      </c>
      <c r="G42" s="39" t="str">
        <f t="array" ref="G42">XLOOKUP(E42,FullStudentList!C:C,FullStudentList!D:D)</f>
        <v>Vanshsingal037@gmail.com</v>
      </c>
      <c r="H42" s="40">
        <f t="array" ref="H42">XLOOKUP(E42,FullStudentList!C:C,FullStudentList!G:G)</f>
        <v>7009233550</v>
      </c>
      <c r="I42" s="40" t="s">
        <v>3583</v>
      </c>
    </row>
    <row r="43" ht="22.5" customHeight="1">
      <c r="A43" s="39" t="s">
        <v>6772</v>
      </c>
      <c r="B43" s="40" t="s">
        <v>935</v>
      </c>
      <c r="C43" s="40" t="s">
        <v>3585</v>
      </c>
      <c r="D43" s="41" t="s">
        <v>3586</v>
      </c>
      <c r="E43" s="39" t="s">
        <v>3587</v>
      </c>
      <c r="F43" s="40" t="s">
        <v>543</v>
      </c>
      <c r="G43" s="39" t="str">
        <f t="array" ref="G43">XLOOKUP(E43,FullStudentList!C:C,FullStudentList!D:D)</f>
        <v>aditi.rathi2907@gmail.com</v>
      </c>
      <c r="H43" s="40">
        <f t="array" ref="H43">XLOOKUP(E43,FullStudentList!C:C,FullStudentList!G:G)</f>
        <v>9711496773</v>
      </c>
      <c r="I43" s="40" t="s">
        <v>3585</v>
      </c>
    </row>
    <row r="44" ht="22.5" customHeight="1">
      <c r="A44" s="39" t="s">
        <v>6829</v>
      </c>
      <c r="B44" s="40" t="s">
        <v>938</v>
      </c>
      <c r="C44" s="40" t="s">
        <v>3590</v>
      </c>
      <c r="D44" s="41" t="s">
        <v>3591</v>
      </c>
      <c r="E44" s="39" t="s">
        <v>3592</v>
      </c>
      <c r="F44" s="40" t="s">
        <v>543</v>
      </c>
      <c r="G44" s="39" t="str">
        <f t="array" ref="G44">XLOOKUP(E44,FullStudentList!C:C,FullStudentList!D:D)</f>
        <v>manveegarg253@gmail.com</v>
      </c>
      <c r="H44" s="40">
        <f t="array" ref="H44">XLOOKUP(E44,FullStudentList!C:C,FullStudentList!G:G)</f>
        <v>9877526836</v>
      </c>
      <c r="I44" s="40" t="s">
        <v>3590</v>
      </c>
    </row>
    <row r="45" ht="22.5" customHeight="1">
      <c r="A45" s="39" t="s">
        <v>6891</v>
      </c>
      <c r="B45" s="40" t="s">
        <v>1085</v>
      </c>
      <c r="C45" s="40" t="s">
        <v>3594</v>
      </c>
      <c r="D45" s="41" t="s">
        <v>3595</v>
      </c>
      <c r="E45" s="39" t="s">
        <v>3596</v>
      </c>
      <c r="F45" s="40" t="s">
        <v>543</v>
      </c>
      <c r="G45" s="39" t="str">
        <f t="array" ref="G45">XLOOKUP(E45,FullStudentList!C:C,FullStudentList!D:D)</f>
        <v>akritisinha.ak123@gmail.com</v>
      </c>
      <c r="H45" s="40">
        <f t="array" ref="H45">XLOOKUP(E45,FullStudentList!C:C,FullStudentList!G:G)</f>
        <v>7250918215</v>
      </c>
      <c r="I45" s="40" t="s">
        <v>3594</v>
      </c>
    </row>
    <row r="46" ht="22.5" customHeight="1">
      <c r="A46" s="39" t="s">
        <v>6948</v>
      </c>
      <c r="B46" s="40" t="s">
        <v>1076</v>
      </c>
      <c r="C46" s="40" t="s">
        <v>3598</v>
      </c>
      <c r="D46" s="41" t="s">
        <v>3599</v>
      </c>
      <c r="E46" s="39" t="s">
        <v>3600</v>
      </c>
      <c r="F46" s="40" t="s">
        <v>543</v>
      </c>
      <c r="G46" s="39" t="str">
        <f t="array" ref="G46">XLOOKUP(E46,FullStudentList!C:C,FullStudentList!D:D)</f>
        <v>Pushpgarg1010@gmail.com</v>
      </c>
      <c r="H46" s="40">
        <f t="array" ref="H46">XLOOKUP(E46,FullStudentList!C:C,FullStudentList!G:G)</f>
        <v>9817523899</v>
      </c>
      <c r="I46" s="40" t="s">
        <v>3598</v>
      </c>
    </row>
    <row r="47" ht="22.5" customHeight="1">
      <c r="A47" s="39" t="s">
        <v>7039</v>
      </c>
      <c r="B47" s="40" t="s">
        <v>954</v>
      </c>
      <c r="C47" s="40" t="s">
        <v>3601</v>
      </c>
      <c r="D47" s="41" t="s">
        <v>3602</v>
      </c>
      <c r="E47" s="39" t="s">
        <v>3603</v>
      </c>
      <c r="F47" s="40" t="s">
        <v>543</v>
      </c>
      <c r="G47" s="39" t="str">
        <f t="array" ref="G47">XLOOKUP(E47,FullStudentList!C:C,FullStudentList!D:D)</f>
        <v>bhuvikumar124@gmail.com</v>
      </c>
      <c r="H47" s="40">
        <f t="array" ref="H47">XLOOKUP(E47,FullStudentList!C:C,FullStudentList!G:G)</f>
        <v>9877844066</v>
      </c>
      <c r="I47" s="40" t="s">
        <v>3601</v>
      </c>
    </row>
    <row r="48" ht="22.5" customHeight="1">
      <c r="A48" s="39" t="s">
        <v>7126</v>
      </c>
      <c r="B48" s="40" t="s">
        <v>1068</v>
      </c>
      <c r="C48" s="40" t="s">
        <v>3604</v>
      </c>
      <c r="D48" s="41" t="s">
        <v>3605</v>
      </c>
      <c r="E48" s="39" t="s">
        <v>3607</v>
      </c>
      <c r="F48" s="40" t="s">
        <v>543</v>
      </c>
      <c r="G48" s="39" t="str">
        <f t="array" ref="G48">XLOOKUP(E48,FullStudentList!C:C,FullStudentList!D:D)</f>
        <v>krathore6002@gmail.com</v>
      </c>
      <c r="H48" s="40">
        <f t="array" ref="H48">XLOOKUP(E48,FullStudentList!C:C,FullStudentList!G:G)</f>
        <v>9799036412</v>
      </c>
      <c r="I48" s="40" t="s">
        <v>3604</v>
      </c>
    </row>
    <row r="49" ht="22.5" customHeight="1">
      <c r="A49" s="39" t="s">
        <v>7221</v>
      </c>
      <c r="B49" s="40" t="s">
        <v>999</v>
      </c>
      <c r="C49" s="40" t="s">
        <v>3608</v>
      </c>
      <c r="D49" s="41" t="s">
        <v>3609</v>
      </c>
      <c r="E49" s="39" t="s">
        <v>3610</v>
      </c>
      <c r="F49" s="40" t="s">
        <v>543</v>
      </c>
      <c r="G49" s="39" t="str">
        <f t="array" ref="G49">XLOOKUP(E49,FullStudentList!C:C,FullStudentList!D:D)</f>
        <v>swarnashreeghosh6@gmail.com</v>
      </c>
      <c r="H49" s="40">
        <f t="array" ref="H49">XLOOKUP(E49,FullStudentList!C:C,FullStudentList!G:G)</f>
        <v>7428039867</v>
      </c>
      <c r="I49" s="40" t="s">
        <v>3608</v>
      </c>
    </row>
    <row r="50" ht="22.5" customHeight="1">
      <c r="A50" s="39" t="s">
        <v>7330</v>
      </c>
      <c r="B50" s="40" t="s">
        <v>1052</v>
      </c>
      <c r="C50" s="40" t="s">
        <v>3611</v>
      </c>
      <c r="D50" s="41" t="s">
        <v>3612</v>
      </c>
      <c r="E50" s="39" t="s">
        <v>3613</v>
      </c>
      <c r="F50" s="40" t="s">
        <v>543</v>
      </c>
      <c r="G50" s="39" t="str">
        <f t="array" ref="G50">XLOOKUP(E50,FullStudentList!C:C,FullStudentList!D:D)</f>
        <v>kaurharshmeet259@gmail.com</v>
      </c>
      <c r="H50" s="40">
        <f t="array" ref="H50">XLOOKUP(E50,FullStudentList!C:C,FullStudentList!G:G)</f>
        <v>9780365458</v>
      </c>
      <c r="I50" s="40" t="s">
        <v>3611</v>
      </c>
    </row>
    <row r="51" ht="22.5" customHeight="1">
      <c r="A51" s="39" t="s">
        <v>7434</v>
      </c>
      <c r="B51" s="40" t="s">
        <v>1044</v>
      </c>
      <c r="C51" s="40" t="s">
        <v>3615</v>
      </c>
      <c r="D51" s="41" t="s">
        <v>3617</v>
      </c>
      <c r="E51" s="39" t="s">
        <v>3618</v>
      </c>
      <c r="F51" s="40" t="s">
        <v>543</v>
      </c>
      <c r="G51" s="39" t="str">
        <f t="array" ref="G51">XLOOKUP(E51,FullStudentList!C:C,FullStudentList!D:D)</f>
        <v>#N/A</v>
      </c>
      <c r="H51" s="40" t="str">
        <f t="array" ref="H51">XLOOKUP(E51,FullStudentList!C:C,FullStudentList!G:G)</f>
        <v>#N/A</v>
      </c>
      <c r="I51" s="40" t="s">
        <v>3615</v>
      </c>
    </row>
    <row r="52" ht="22.5" customHeight="1">
      <c r="A52" s="39" t="s">
        <v>7532</v>
      </c>
      <c r="B52" s="40" t="s">
        <v>990</v>
      </c>
      <c r="C52" s="40" t="s">
        <v>3620</v>
      </c>
      <c r="D52" s="41" t="s">
        <v>3621</v>
      </c>
      <c r="E52" s="39" t="s">
        <v>3622</v>
      </c>
      <c r="F52" s="40" t="s">
        <v>543</v>
      </c>
      <c r="G52" s="39" t="str">
        <f t="array" ref="G52">XLOOKUP(E52,FullStudentList!C:C,FullStudentList!D:D)</f>
        <v>anvipaintola.2025@gmail.com</v>
      </c>
      <c r="H52" s="40">
        <f t="array" ref="H52">XLOOKUP(E52,FullStudentList!C:C,FullStudentList!G:G)</f>
        <v>7347643627</v>
      </c>
      <c r="I52" s="40" t="s">
        <v>3620</v>
      </c>
    </row>
    <row r="53" ht="22.5" customHeight="1">
      <c r="A53" s="39" t="s">
        <v>7622</v>
      </c>
      <c r="B53" s="40" t="s">
        <v>1038</v>
      </c>
      <c r="C53" s="40" t="s">
        <v>3623</v>
      </c>
      <c r="D53" s="41" t="s">
        <v>3624</v>
      </c>
      <c r="E53" s="39" t="s">
        <v>3625</v>
      </c>
      <c r="F53" s="40" t="s">
        <v>543</v>
      </c>
      <c r="G53" s="39" t="str">
        <f t="array" ref="G53">XLOOKUP(E53,FullStudentList!C:C,FullStudentList!D:D)</f>
        <v>iammanmeetkaur27@gmail.com</v>
      </c>
      <c r="H53" s="40">
        <f t="array" ref="H53">XLOOKUP(E53,FullStudentList!C:C,FullStudentList!G:G)</f>
        <v>8146274699</v>
      </c>
      <c r="I53" s="40" t="s">
        <v>3623</v>
      </c>
    </row>
    <row r="54" ht="22.5" customHeight="1">
      <c r="A54" s="39" t="s">
        <v>7717</v>
      </c>
      <c r="B54" s="40" t="s">
        <v>981</v>
      </c>
      <c r="C54" s="40" t="s">
        <v>3626</v>
      </c>
      <c r="D54" s="41" t="s">
        <v>3627</v>
      </c>
      <c r="E54" s="39" t="s">
        <v>3628</v>
      </c>
      <c r="F54" s="40" t="s">
        <v>543</v>
      </c>
      <c r="G54" s="39" t="str">
        <f t="array" ref="G54">XLOOKUP(E54,FullStudentList!C:C,FullStudentList!D:D)</f>
        <v>jasmeetsran07@gmail.com</v>
      </c>
      <c r="H54" s="40">
        <f t="array" ref="H54">XLOOKUP(E54,FullStudentList!C:C,FullStudentList!G:G)</f>
        <v>9877737346</v>
      </c>
      <c r="I54" s="40" t="s">
        <v>3626</v>
      </c>
    </row>
    <row r="55" ht="22.5" customHeight="1">
      <c r="A55" s="39" t="s">
        <v>7821</v>
      </c>
      <c r="B55" s="40" t="s">
        <v>1029</v>
      </c>
      <c r="C55" s="40" t="s">
        <v>3630</v>
      </c>
      <c r="D55" s="41" t="s">
        <v>3631</v>
      </c>
      <c r="E55" s="39" t="s">
        <v>3632</v>
      </c>
      <c r="F55" s="40" t="s">
        <v>543</v>
      </c>
      <c r="G55" s="39" t="str">
        <f t="array" ref="G55">XLOOKUP(E55,FullStudentList!C:C,FullStudentList!D:D)</f>
        <v>hansujaagupta@gmail.com</v>
      </c>
      <c r="H55" s="40">
        <f t="array" ref="H55">XLOOKUP(E55,FullStudentList!C:C,FullStudentList!G:G)</f>
        <v>7717382815</v>
      </c>
      <c r="I55" s="40" t="s">
        <v>3630</v>
      </c>
    </row>
    <row r="56" ht="22.5" customHeight="1">
      <c r="A56" s="39" t="s">
        <v>7906</v>
      </c>
      <c r="B56" s="40" t="s">
        <v>1023</v>
      </c>
      <c r="C56" s="40" t="s">
        <v>3635</v>
      </c>
      <c r="D56" s="41" t="s">
        <v>3636</v>
      </c>
      <c r="E56" s="39" t="s">
        <v>3637</v>
      </c>
      <c r="F56" s="40" t="s">
        <v>543</v>
      </c>
      <c r="G56" s="39" t="str">
        <f t="array" ref="G56">XLOOKUP(E56,FullStudentList!C:C,FullStudentList!D:D)</f>
        <v>yadshivam5412@gmail.com</v>
      </c>
      <c r="H56" s="40">
        <f t="array" ref="H56">XLOOKUP(E56,FullStudentList!C:C,FullStudentList!G:G)</f>
        <v>7763089223</v>
      </c>
      <c r="I56" s="40" t="s">
        <v>3635</v>
      </c>
    </row>
    <row r="57" ht="22.5" customHeight="1">
      <c r="A57" s="39" t="s">
        <v>7992</v>
      </c>
      <c r="B57" s="40" t="s">
        <v>946</v>
      </c>
      <c r="C57" s="40" t="s">
        <v>3639</v>
      </c>
      <c r="D57" s="41" t="s">
        <v>531</v>
      </c>
      <c r="E57" s="39" t="s">
        <v>537</v>
      </c>
      <c r="F57" s="40" t="s">
        <v>543</v>
      </c>
      <c r="G57" s="39" t="str">
        <f t="array" ref="G57">XLOOKUP(E57,FullStudentList!C:C,FullStudentList!D:D)</f>
        <v>Aggarwalananya54@gmail.com</v>
      </c>
      <c r="H57" s="40">
        <f t="array" ref="H57">XLOOKUP(E57,FullStudentList!C:C,FullStudentList!G:G)</f>
        <v>9306436364</v>
      </c>
      <c r="I57" s="40" t="s">
        <v>3639</v>
      </c>
    </row>
    <row r="58" ht="22.5" customHeight="1">
      <c r="A58" s="39" t="s">
        <v>8081</v>
      </c>
      <c r="B58" s="40" t="s">
        <v>977</v>
      </c>
      <c r="C58" s="40" t="s">
        <v>3641</v>
      </c>
      <c r="D58" s="41" t="s">
        <v>3642</v>
      </c>
      <c r="E58" s="39" t="s">
        <v>3643</v>
      </c>
      <c r="F58" s="40" t="s">
        <v>543</v>
      </c>
      <c r="G58" s="39" t="str">
        <f t="array" ref="G58">XLOOKUP(E58,FullStudentList!C:C,FullStudentList!D:D)</f>
        <v>kapishg00123@gmail.com</v>
      </c>
      <c r="H58" s="40">
        <f t="array" ref="H58">XLOOKUP(E58,FullStudentList!C:C,FullStudentList!G:G)</f>
        <v>6283581232</v>
      </c>
      <c r="I58" s="40" t="s">
        <v>3641</v>
      </c>
    </row>
    <row r="59" ht="22.5" customHeight="1">
      <c r="A59" s="39" t="s">
        <v>8168</v>
      </c>
      <c r="B59" s="40" t="s">
        <v>1015</v>
      </c>
      <c r="C59" s="40" t="s">
        <v>3645</v>
      </c>
      <c r="D59" s="41" t="s">
        <v>3646</v>
      </c>
      <c r="E59" s="39" t="s">
        <v>3648</v>
      </c>
      <c r="F59" s="40" t="s">
        <v>543</v>
      </c>
      <c r="G59" s="39" t="str">
        <f t="array" ref="G59">XLOOKUP(E59,FullStudentList!C:C,FullStudentList!D:D)</f>
        <v>sidakpreetk310@gmail.com</v>
      </c>
      <c r="H59" s="40" t="str">
        <f t="array" ref="H59">XLOOKUP(E59,FullStudentList!C:C,FullStudentList!G:G)</f>
        <v/>
      </c>
      <c r="I59" s="40" t="s">
        <v>3645</v>
      </c>
    </row>
    <row r="60" ht="22.5" customHeight="1">
      <c r="A60" s="39" t="s">
        <v>8253</v>
      </c>
      <c r="B60" s="40" t="s">
        <v>1008</v>
      </c>
      <c r="C60" s="40" t="s">
        <v>3650</v>
      </c>
      <c r="D60" s="41" t="s">
        <v>3651</v>
      </c>
      <c r="E60" s="39" t="s">
        <v>3652</v>
      </c>
      <c r="F60" s="40" t="s">
        <v>543</v>
      </c>
      <c r="G60" s="39" t="str">
        <f t="array" ref="G60">XLOOKUP(E60,FullStudentList!C:C,FullStudentList!D:D)</f>
        <v>4singh.in@gmail.com</v>
      </c>
      <c r="H60" s="40">
        <f t="array" ref="H60">XLOOKUP(E60,FullStudentList!C:C,FullStudentList!G:G)</f>
        <v>9814659696</v>
      </c>
      <c r="I60" s="40" t="s">
        <v>3650</v>
      </c>
    </row>
    <row r="61" ht="22.5" customHeight="1">
      <c r="A61" s="39" t="s">
        <v>8332</v>
      </c>
      <c r="B61" s="40" t="s">
        <v>960</v>
      </c>
      <c r="C61" s="40" t="s">
        <v>3653</v>
      </c>
      <c r="D61" s="41" t="s">
        <v>3654</v>
      </c>
      <c r="E61" s="39" t="s">
        <v>3655</v>
      </c>
      <c r="F61" s="40" t="s">
        <v>543</v>
      </c>
      <c r="G61" s="39" t="str">
        <f t="array" ref="G61">XLOOKUP(E61,FullStudentList!C:C,FullStudentList!D:D)</f>
        <v>kumarhimanshutiet2025@gmail.com</v>
      </c>
      <c r="H61" s="40">
        <f t="array" ref="H61">XLOOKUP(E61,FullStudentList!C:C,FullStudentList!G:G)</f>
        <v>8252066590</v>
      </c>
      <c r="I61" s="40" t="s">
        <v>3653</v>
      </c>
    </row>
    <row r="62" ht="22.5" customHeight="1">
      <c r="A62" s="39" t="s">
        <v>8407</v>
      </c>
      <c r="B62" s="40" t="s">
        <v>927</v>
      </c>
      <c r="C62" s="40" t="s">
        <v>3658</v>
      </c>
      <c r="D62" s="41" t="s">
        <v>3659</v>
      </c>
      <c r="E62" s="39" t="s">
        <v>3640</v>
      </c>
      <c r="F62" s="40" t="s">
        <v>543</v>
      </c>
      <c r="G62" s="39" t="str">
        <f t="array" ref="G62">XLOOKUP(E62,FullStudentList!C:C,FullStudentList!D:D)</f>
        <v>adilralhan2366@gmail.con</v>
      </c>
      <c r="H62" s="40">
        <f t="array" ref="H62">XLOOKUP(E62,FullStudentList!C:C,FullStudentList!G:G)</f>
        <v>9876100024</v>
      </c>
      <c r="I62" s="40" t="s">
        <v>3658</v>
      </c>
    </row>
    <row r="63" ht="22.5" customHeight="1">
      <c r="A63" s="39" t="s">
        <v>8486</v>
      </c>
      <c r="B63" s="40" t="s">
        <v>1095</v>
      </c>
      <c r="C63" s="40" t="s">
        <v>3662</v>
      </c>
      <c r="D63" s="41" t="s">
        <v>1096</v>
      </c>
      <c r="E63" s="39" t="s">
        <v>1102</v>
      </c>
      <c r="F63" s="40" t="s">
        <v>543</v>
      </c>
      <c r="G63" s="39" t="str">
        <f t="array" ref="G63">XLOOKUP(E63,FullStudentList!C:C,FullStudentList!D:D)</f>
        <v>aapoorva588@gmail.com</v>
      </c>
      <c r="H63" s="40">
        <f t="array" ref="H63">XLOOKUP(E63,FullStudentList!C:C,FullStudentList!G:G)</f>
        <v>9810643273</v>
      </c>
      <c r="I63" s="40" t="s">
        <v>3662</v>
      </c>
    </row>
    <row r="64" ht="22.5" customHeight="1">
      <c r="A64" s="39" t="s">
        <v>8546</v>
      </c>
      <c r="B64" s="40" t="s">
        <v>1092</v>
      </c>
      <c r="C64" s="40" t="s">
        <v>3663</v>
      </c>
      <c r="D64" s="41" t="s">
        <v>3664</v>
      </c>
      <c r="E64" s="39" t="s">
        <v>3665</v>
      </c>
      <c r="F64" s="40" t="s">
        <v>543</v>
      </c>
      <c r="G64" s="39" t="str">
        <f t="array" ref="G64">XLOOKUP(E64,FullStudentList!C:C,FullStudentList!D:D)</f>
        <v>samridhm618@gmail.com</v>
      </c>
      <c r="H64" s="40">
        <f t="array" ref="H64">XLOOKUP(E64,FullStudentList!C:C,FullStudentList!G:G)</f>
        <v>6280363134</v>
      </c>
      <c r="I64" s="40" t="s">
        <v>3663</v>
      </c>
    </row>
    <row r="65" ht="22.5" customHeight="1">
      <c r="A65" s="39" t="s">
        <v>8602</v>
      </c>
      <c r="B65" s="40" t="s">
        <v>1299</v>
      </c>
      <c r="C65" s="40" t="s">
        <v>3667</v>
      </c>
      <c r="D65" s="41" t="s">
        <v>3669</v>
      </c>
      <c r="E65" s="39" t="s">
        <v>3670</v>
      </c>
      <c r="F65" s="40" t="s">
        <v>227</v>
      </c>
      <c r="G65" s="39" t="str">
        <f t="array" ref="G65">XLOOKUP(E65,FullStudentList!C:C,FullStudentList!D:D)</f>
        <v>khushmandhillon2006@gmail.com</v>
      </c>
      <c r="H65" s="40">
        <f t="array" ref="H65">XLOOKUP(E65,FullStudentList!C:C,FullStudentList!G:G)</f>
        <v>8000631787</v>
      </c>
      <c r="I65" s="40" t="s">
        <v>3667</v>
      </c>
    </row>
    <row r="66" ht="22.5" customHeight="1">
      <c r="A66" s="39" t="s">
        <v>8664</v>
      </c>
      <c r="B66" s="40" t="s">
        <v>1308</v>
      </c>
      <c r="C66" s="40" t="s">
        <v>3673</v>
      </c>
      <c r="D66" s="41" t="s">
        <v>3674</v>
      </c>
      <c r="E66" s="39" t="s">
        <v>3675</v>
      </c>
      <c r="F66" s="40" t="s">
        <v>227</v>
      </c>
      <c r="G66" s="39" t="str">
        <f t="array" ref="G66">XLOOKUP(E66,FullStudentList!C:C,FullStudentList!D:D)</f>
        <v>Shauryamalhotra957@gmail.com</v>
      </c>
      <c r="H66" s="40">
        <f t="array" ref="H66">XLOOKUP(E66,FullStudentList!C:C,FullStudentList!G:G)</f>
        <v>7340782147</v>
      </c>
      <c r="I66" s="40" t="s">
        <v>3673</v>
      </c>
    </row>
    <row r="67" ht="22.5" customHeight="1">
      <c r="A67" s="39" t="s">
        <v>8720</v>
      </c>
      <c r="B67" s="40" t="s">
        <v>1114</v>
      </c>
      <c r="C67" s="40" t="s">
        <v>3676</v>
      </c>
      <c r="D67" s="41" t="s">
        <v>3677</v>
      </c>
      <c r="E67" s="39" t="s">
        <v>3678</v>
      </c>
      <c r="F67" s="40" t="s">
        <v>227</v>
      </c>
      <c r="G67" s="39" t="str">
        <f t="array" ref="G67">XLOOKUP(E67,FullStudentList!C:C,FullStudentList!D:D)</f>
        <v>Akshitrajesh@gmail.com</v>
      </c>
      <c r="H67" s="40">
        <f t="array" ref="H67">XLOOKUP(E67,FullStudentList!C:C,FullStudentList!G:G)</f>
        <v>6239143958</v>
      </c>
      <c r="I67" s="40" t="s">
        <v>3676</v>
      </c>
    </row>
    <row r="68" ht="22.5" customHeight="1">
      <c r="A68" s="39" t="s">
        <v>8792</v>
      </c>
      <c r="B68" s="40" t="s">
        <v>1290</v>
      </c>
      <c r="C68" s="40" t="s">
        <v>3679</v>
      </c>
      <c r="D68" s="41" t="s">
        <v>3680</v>
      </c>
      <c r="E68" s="39" t="s">
        <v>3681</v>
      </c>
      <c r="F68" s="40" t="s">
        <v>227</v>
      </c>
      <c r="G68" s="39" t="str">
        <f t="array" ref="G68">XLOOKUP(E68,FullStudentList!C:C,FullStudentList!D:D)</f>
        <v>tanishqmathur93119@gmail.com</v>
      </c>
      <c r="H68" s="40">
        <f t="array" ref="H68">XLOOKUP(E68,FullStudentList!C:C,FullStudentList!G:G)</f>
        <v>9318304564</v>
      </c>
      <c r="I68" s="40" t="s">
        <v>3679</v>
      </c>
    </row>
    <row r="69" ht="22.5" customHeight="1">
      <c r="A69" s="39" t="s">
        <v>8860</v>
      </c>
      <c r="B69" s="40" t="s">
        <v>1284</v>
      </c>
      <c r="C69" s="40" t="s">
        <v>3683</v>
      </c>
      <c r="D69" s="41" t="s">
        <v>3684</v>
      </c>
      <c r="E69" s="39" t="s">
        <v>3685</v>
      </c>
      <c r="F69" s="40" t="s">
        <v>227</v>
      </c>
      <c r="G69" s="39" t="str">
        <f t="array" ref="G69">XLOOKUP(E69,FullStudentList!C:C,FullStudentList!D:D)</f>
        <v>rockgagan2007@gmail.com</v>
      </c>
      <c r="H69" s="40">
        <f t="array" ref="H69">XLOOKUP(E69,FullStudentList!C:C,FullStudentList!G:G)</f>
        <v>7973777013</v>
      </c>
      <c r="I69" s="40" t="s">
        <v>3683</v>
      </c>
    </row>
    <row r="70" ht="22.5" customHeight="1">
      <c r="A70" s="39" t="s">
        <v>8889</v>
      </c>
      <c r="B70" s="40" t="s">
        <v>1270</v>
      </c>
      <c r="C70" s="40" t="s">
        <v>3687</v>
      </c>
      <c r="D70" s="41" t="s">
        <v>3688</v>
      </c>
      <c r="E70" s="39" t="s">
        <v>3689</v>
      </c>
      <c r="F70" s="40" t="s">
        <v>227</v>
      </c>
      <c r="G70" s="39" t="str">
        <f t="array" ref="G70">XLOOKUP(E70,FullStudentList!C:C,FullStudentList!D:D)</f>
        <v>Divyam@fyndbridge.in</v>
      </c>
      <c r="H70" s="40">
        <f t="array" ref="H70">XLOOKUP(E70,FullStudentList!C:C,FullStudentList!G:G)</f>
        <v>9971731361</v>
      </c>
      <c r="I70" s="40" t="s">
        <v>3687</v>
      </c>
    </row>
    <row r="71" ht="22.5" customHeight="1">
      <c r="A71" s="39" t="s">
        <v>8898</v>
      </c>
      <c r="B71" s="40" t="s">
        <v>1501</v>
      </c>
      <c r="C71" s="40" t="s">
        <v>3690</v>
      </c>
      <c r="D71" s="41" t="s">
        <v>1494</v>
      </c>
      <c r="E71" s="39" t="s">
        <v>1503</v>
      </c>
      <c r="F71" s="40" t="s">
        <v>227</v>
      </c>
      <c r="G71" s="39" t="str">
        <f t="array" ref="G71">XLOOKUP(E71,FullStudentList!C:C,FullStudentList!D:D)</f>
        <v>abansal5_be25@thapar.edu</v>
      </c>
      <c r="H71" s="40">
        <f t="array" ref="H71">XLOOKUP(E71,FullStudentList!C:C,FullStudentList!G:G)</f>
        <v>9310546475</v>
      </c>
      <c r="I71" s="40" t="s">
        <v>3690</v>
      </c>
    </row>
    <row r="72" ht="22.5" customHeight="1">
      <c r="A72" s="39" t="s">
        <v>8906</v>
      </c>
      <c r="B72" s="40" t="s">
        <v>1255</v>
      </c>
      <c r="C72" s="40" t="s">
        <v>3691</v>
      </c>
      <c r="D72" s="41" t="s">
        <v>3692</v>
      </c>
      <c r="E72" s="39" t="s">
        <v>3693</v>
      </c>
      <c r="F72" s="40" t="s">
        <v>227</v>
      </c>
      <c r="G72" s="39" t="str">
        <f t="array" ref="G72">XLOOKUP(E72,FullStudentList!C:C,FullStudentList!D:D)</f>
        <v>arpitmanan4sept2006@gmail.com</v>
      </c>
      <c r="H72" s="40">
        <f t="array" ref="H72">XLOOKUP(E72,FullStudentList!C:C,FullStudentList!G:G)</f>
        <v>6284339224</v>
      </c>
      <c r="I72" s="40" t="s">
        <v>3691</v>
      </c>
    </row>
    <row r="73" ht="22.5" customHeight="1">
      <c r="A73" s="39" t="s">
        <v>8915</v>
      </c>
      <c r="B73" s="40" t="s">
        <v>1247</v>
      </c>
      <c r="C73" s="40" t="s">
        <v>3695</v>
      </c>
      <c r="D73" s="41" t="s">
        <v>3696</v>
      </c>
      <c r="E73" s="39" t="s">
        <v>3697</v>
      </c>
      <c r="F73" s="40" t="s">
        <v>227</v>
      </c>
      <c r="G73" s="39" t="str">
        <f t="array" ref="G73">XLOOKUP(E73,FullStudentList!C:C,FullStudentList!D:D)</f>
        <v>krishna07garg@gmail.com</v>
      </c>
      <c r="H73" s="40">
        <f t="array" ref="H73">XLOOKUP(E73,FullStudentList!C:C,FullStudentList!G:G)</f>
        <v>9599199533</v>
      </c>
      <c r="I73" s="40" t="s">
        <v>3695</v>
      </c>
    </row>
    <row r="74" ht="22.5" customHeight="1">
      <c r="A74" s="39" t="s">
        <v>8927</v>
      </c>
      <c r="B74" s="40" t="s">
        <v>1239</v>
      </c>
      <c r="C74" s="40" t="s">
        <v>3698</v>
      </c>
      <c r="D74" s="41" t="s">
        <v>3699</v>
      </c>
      <c r="E74" s="39" t="s">
        <v>3700</v>
      </c>
      <c r="F74" s="40" t="s">
        <v>227</v>
      </c>
      <c r="G74" s="39" t="str">
        <f t="array" ref="G74">XLOOKUP(E74,FullStudentList!C:C,FullStudentList!D:D)</f>
        <v>diondebonair09@gmail.com</v>
      </c>
      <c r="H74" s="40">
        <f t="array" ref="H74">XLOOKUP(E74,FullStudentList!C:C,FullStudentList!G:G)</f>
        <v>9904299500</v>
      </c>
      <c r="I74" s="40" t="s">
        <v>3698</v>
      </c>
    </row>
    <row r="75" ht="22.5" customHeight="1">
      <c r="A75" s="39" t="s">
        <v>8937</v>
      </c>
      <c r="B75" s="40" t="s">
        <v>1231</v>
      </c>
      <c r="C75" s="40" t="s">
        <v>3704</v>
      </c>
      <c r="D75" s="41" t="s">
        <v>3705</v>
      </c>
      <c r="E75" s="39" t="s">
        <v>3706</v>
      </c>
      <c r="F75" s="40" t="s">
        <v>227</v>
      </c>
      <c r="G75" s="39" t="str">
        <f t="array" ref="G75">XLOOKUP(E75,FullStudentList!C:C,FullStudentList!D:D)</f>
        <v>vmehra_be25@thapar.edu</v>
      </c>
      <c r="H75" s="40">
        <f t="array" ref="H75">XLOOKUP(E75,FullStudentList!C:C,FullStudentList!G:G)</f>
        <v>8968237615</v>
      </c>
      <c r="I75" s="40" t="s">
        <v>3704</v>
      </c>
    </row>
    <row r="76" ht="22.5" customHeight="1">
      <c r="A76" s="39" t="s">
        <v>8946</v>
      </c>
      <c r="B76" s="40" t="s">
        <v>1224</v>
      </c>
      <c r="C76" s="40" t="s">
        <v>3708</v>
      </c>
      <c r="D76" s="41" t="s">
        <v>3710</v>
      </c>
      <c r="E76" s="39" t="s">
        <v>3711</v>
      </c>
      <c r="F76" s="40" t="s">
        <v>227</v>
      </c>
      <c r="G76" s="39" t="str">
        <f t="array" ref="G76">XLOOKUP(E76,FullStudentList!C:C,FullStudentList!D:D)</f>
        <v>Goyalvansh0105@gmail.com</v>
      </c>
      <c r="H76" s="40">
        <f t="array" ref="H76">XLOOKUP(E76,FullStudentList!C:C,FullStudentList!G:G)</f>
        <v>9780725204</v>
      </c>
      <c r="I76" s="40" t="s">
        <v>3708</v>
      </c>
    </row>
    <row r="77" ht="22.5" customHeight="1">
      <c r="A77" s="39" t="s">
        <v>8953</v>
      </c>
      <c r="B77" s="40" t="s">
        <v>1218</v>
      </c>
      <c r="C77" s="40" t="s">
        <v>3712</v>
      </c>
      <c r="D77" s="41" t="s">
        <v>3713</v>
      </c>
      <c r="E77" s="39" t="s">
        <v>3714</v>
      </c>
      <c r="F77" s="40" t="s">
        <v>227</v>
      </c>
      <c r="G77" s="39" t="str">
        <f t="array" ref="G77">XLOOKUP(E77,FullStudentList!C:C,FullStudentList!D:D)</f>
        <v>Parkhiarora1@gmail.com</v>
      </c>
      <c r="H77" s="40">
        <f t="array" ref="H77">XLOOKUP(E77,FullStudentList!C:C,FullStudentList!G:G)</f>
        <v>6239411851</v>
      </c>
      <c r="I77" s="40" t="s">
        <v>3712</v>
      </c>
    </row>
    <row r="78" ht="22.5" customHeight="1">
      <c r="A78" s="39" t="s">
        <v>8961</v>
      </c>
      <c r="B78" s="40" t="s">
        <v>1198</v>
      </c>
      <c r="C78" s="40" t="s">
        <v>3715</v>
      </c>
      <c r="D78" s="41" t="s">
        <v>3716</v>
      </c>
      <c r="E78" s="39" t="s">
        <v>3717</v>
      </c>
      <c r="F78" s="40" t="s">
        <v>227</v>
      </c>
      <c r="G78" s="39" t="str">
        <f t="array" ref="G78">XLOOKUP(E78,FullStudentList!C:C,FullStudentList!D:D)</f>
        <v>skandhgarg1691@gmail.com</v>
      </c>
      <c r="H78" s="40">
        <f t="array" ref="H78">XLOOKUP(E78,FullStudentList!C:C,FullStudentList!G:G)</f>
        <v>8641001234</v>
      </c>
      <c r="I78" s="40" t="s">
        <v>3715</v>
      </c>
    </row>
    <row r="79" ht="22.5" customHeight="1">
      <c r="A79" s="39" t="s">
        <v>8969</v>
      </c>
      <c r="B79" s="40" t="s">
        <v>1190</v>
      </c>
      <c r="C79" s="40" t="s">
        <v>3719</v>
      </c>
      <c r="D79" s="41" t="s">
        <v>3720</v>
      </c>
      <c r="E79" s="39" t="s">
        <v>3721</v>
      </c>
      <c r="F79" s="40" t="s">
        <v>227</v>
      </c>
      <c r="G79" s="39" t="str">
        <f t="array" ref="G79">XLOOKUP(E79,FullStudentList!C:C,FullStudentList!D:D)</f>
        <v>chiragbansal905@gmail.com</v>
      </c>
      <c r="H79" s="40">
        <f t="array" ref="H79">XLOOKUP(E79,FullStudentList!C:C,FullStudentList!G:G)</f>
        <v>7901964256</v>
      </c>
      <c r="I79" s="40" t="s">
        <v>3719</v>
      </c>
    </row>
    <row r="80" ht="22.5" customHeight="1">
      <c r="A80" s="39" t="s">
        <v>8977</v>
      </c>
      <c r="B80" s="40" t="s">
        <v>1183</v>
      </c>
      <c r="C80" s="40" t="s">
        <v>3724</v>
      </c>
      <c r="D80" s="41" t="s">
        <v>3725</v>
      </c>
      <c r="E80" s="39" t="s">
        <v>3726</v>
      </c>
      <c r="F80" s="40" t="s">
        <v>227</v>
      </c>
      <c r="G80" s="39" t="str">
        <f t="array" ref="G80">XLOOKUP(E80,FullStudentList!C:C,FullStudentList!D:D)</f>
        <v>shubham13hi@gmail.com</v>
      </c>
      <c r="H80" s="40">
        <f t="array" ref="H80">XLOOKUP(E80,FullStudentList!C:C,FullStudentList!G:G)</f>
        <v>9877434269</v>
      </c>
      <c r="I80" s="40" t="s">
        <v>3724</v>
      </c>
    </row>
    <row r="81" ht="22.5" customHeight="1">
      <c r="A81" s="39" t="s">
        <v>8983</v>
      </c>
      <c r="B81" s="40" t="s">
        <v>1177</v>
      </c>
      <c r="C81" s="40" t="s">
        <v>3729</v>
      </c>
      <c r="D81" s="41" t="s">
        <v>3730</v>
      </c>
      <c r="E81" s="39" t="s">
        <v>3731</v>
      </c>
      <c r="F81" s="40" t="s">
        <v>227</v>
      </c>
      <c r="G81" s="39" t="str">
        <f t="array" ref="G81">XLOOKUP(E81,FullStudentList!C:C,FullStudentList!D:D)</f>
        <v>hansikagarg31@gmail.com</v>
      </c>
      <c r="H81" s="40">
        <f t="array" ref="H81">XLOOKUP(E81,FullStudentList!C:C,FullStudentList!G:G)</f>
        <v>6283998763</v>
      </c>
      <c r="I81" s="40" t="s">
        <v>3729</v>
      </c>
    </row>
    <row r="82" ht="22.5" customHeight="1">
      <c r="A82" s="39" t="s">
        <v>8989</v>
      </c>
      <c r="B82" s="40" t="s">
        <v>1169</v>
      </c>
      <c r="C82" s="40" t="s">
        <v>3732</v>
      </c>
      <c r="D82" s="41" t="s">
        <v>3733</v>
      </c>
      <c r="E82" s="39" t="s">
        <v>3734</v>
      </c>
      <c r="F82" s="40" t="s">
        <v>227</v>
      </c>
      <c r="G82" s="39" t="str">
        <f t="array" ref="G82">XLOOKUP(E82,FullStudentList!C:C,FullStudentList!D:D)</f>
        <v>kartikkhurana774@gmail.com</v>
      </c>
      <c r="H82" s="40">
        <f t="array" ref="H82">XLOOKUP(E82,FullStudentList!C:C,FullStudentList!G:G)</f>
        <v>7206546541</v>
      </c>
      <c r="I82" s="40" t="s">
        <v>3732</v>
      </c>
    </row>
    <row r="83" ht="22.5" customHeight="1">
      <c r="A83" s="39" t="s">
        <v>8999</v>
      </c>
      <c r="B83" s="40" t="s">
        <v>1162</v>
      </c>
      <c r="C83" s="40" t="s">
        <v>3737</v>
      </c>
      <c r="D83" s="41" t="s">
        <v>3739</v>
      </c>
      <c r="E83" s="39" t="s">
        <v>3740</v>
      </c>
      <c r="F83" s="40" t="s">
        <v>227</v>
      </c>
      <c r="G83" s="39" t="str">
        <f t="array" ref="G83">XLOOKUP(E83,FullStudentList!C:C,FullStudentList!D:D)</f>
        <v>Chakshugarg0884@gmail.com</v>
      </c>
      <c r="H83" s="40">
        <f t="array" ref="H83">XLOOKUP(E83,FullStudentList!C:C,FullStudentList!G:G)</f>
        <v>8427200884</v>
      </c>
      <c r="I83" s="40" t="s">
        <v>3737</v>
      </c>
    </row>
    <row r="84" ht="22.5" customHeight="1">
      <c r="A84" s="39" t="s">
        <v>9008</v>
      </c>
      <c r="B84" s="40" t="s">
        <v>1155</v>
      </c>
      <c r="C84" s="40" t="s">
        <v>3742</v>
      </c>
      <c r="D84" s="41" t="s">
        <v>3743</v>
      </c>
      <c r="E84" s="39" t="s">
        <v>3745</v>
      </c>
      <c r="F84" s="40" t="s">
        <v>227</v>
      </c>
      <c r="G84" s="39" t="str">
        <f t="array" ref="G84">XLOOKUP(E84,FullStudentList!C:C,FullStudentList!D:D)</f>
        <v>pahulpreetps4@gmail.com</v>
      </c>
      <c r="H84" s="40">
        <f t="array" ref="H84">XLOOKUP(E84,FullStudentList!C:C,FullStudentList!G:G)</f>
        <v>7717219950</v>
      </c>
      <c r="I84" s="40" t="s">
        <v>3742</v>
      </c>
    </row>
    <row r="85" ht="22.5" customHeight="1">
      <c r="A85" s="39" t="s">
        <v>9015</v>
      </c>
      <c r="B85" s="40" t="s">
        <v>1145</v>
      </c>
      <c r="C85" s="40" t="s">
        <v>3747</v>
      </c>
      <c r="D85" s="41" t="s">
        <v>3748</v>
      </c>
      <c r="E85" s="39" t="s">
        <v>3749</v>
      </c>
      <c r="F85" s="40" t="s">
        <v>227</v>
      </c>
      <c r="G85" s="39" t="str">
        <f t="array" ref="G85">XLOOKUP(E85,FullStudentList!C:C,FullStudentList!D:D)</f>
        <v>Sharmaparth9728@gmail.com</v>
      </c>
      <c r="H85" s="40">
        <f t="array" ref="H85">XLOOKUP(E85,FullStudentList!C:C,FullStudentList!G:G)</f>
        <v>6239562761</v>
      </c>
      <c r="I85" s="40" t="s">
        <v>3747</v>
      </c>
    </row>
    <row r="86" ht="22.5" customHeight="1">
      <c r="A86" s="39" t="s">
        <v>9022</v>
      </c>
      <c r="B86" s="40" t="s">
        <v>1136</v>
      </c>
      <c r="C86" s="40" t="s">
        <v>3750</v>
      </c>
      <c r="D86" s="41" t="s">
        <v>3751</v>
      </c>
      <c r="E86" s="39" t="s">
        <v>3744</v>
      </c>
      <c r="F86" s="40" t="s">
        <v>227</v>
      </c>
      <c r="G86" s="39" t="str">
        <f t="array" ref="G86">XLOOKUP(E86,FullStudentList!C:C,FullStudentList!D:D)</f>
        <v>mgupta5_be25@thapar.edu</v>
      </c>
      <c r="H86" s="40">
        <f t="array" ref="H86">XLOOKUP(E86,FullStudentList!C:C,FullStudentList!G:G)</f>
        <v>8264955691</v>
      </c>
      <c r="I86" s="40" t="s">
        <v>3750</v>
      </c>
    </row>
    <row r="87" ht="22.5" customHeight="1">
      <c r="A87" s="39" t="s">
        <v>9029</v>
      </c>
      <c r="B87" s="40" t="s">
        <v>1130</v>
      </c>
      <c r="C87" s="40" t="s">
        <v>3752</v>
      </c>
      <c r="D87" s="41" t="s">
        <v>3753</v>
      </c>
      <c r="E87" s="39" t="s">
        <v>2539</v>
      </c>
      <c r="F87" s="40" t="s">
        <v>227</v>
      </c>
      <c r="G87" s="39" t="str">
        <f t="array" ref="G87">XLOOKUP(E87,FullStudentList!C:C,FullStudentList!D:D)</f>
        <v>adityaarushi2@gmail.com</v>
      </c>
      <c r="H87" s="40" t="str">
        <f t="array" ref="H87">XLOOKUP(E87,FullStudentList!C:C,FullStudentList!G:G)</f>
        <v>#ERROR!</v>
      </c>
      <c r="I87" s="40" t="s">
        <v>3752</v>
      </c>
    </row>
    <row r="88" ht="22.5" customHeight="1">
      <c r="A88" s="39" t="s">
        <v>9036</v>
      </c>
      <c r="B88" s="40" t="s">
        <v>1122</v>
      </c>
      <c r="C88" s="40" t="s">
        <v>3754</v>
      </c>
      <c r="D88" s="41" t="s">
        <v>3755</v>
      </c>
      <c r="E88" s="39" t="s">
        <v>3735</v>
      </c>
      <c r="F88" s="40" t="s">
        <v>227</v>
      </c>
      <c r="G88" s="39" t="str">
        <f t="array" ref="G88">XLOOKUP(E88,FullStudentList!C:C,FullStudentList!D:D)</f>
        <v>hgupta3_be25@thapar.edu</v>
      </c>
      <c r="H88" s="40">
        <f t="array" ref="H88">XLOOKUP(E88,FullStudentList!C:C,FullStudentList!G:G)</f>
        <v>9813412670</v>
      </c>
      <c r="I88" s="40" t="s">
        <v>3754</v>
      </c>
    </row>
    <row r="89" ht="22.5" customHeight="1">
      <c r="A89" s="39" t="s">
        <v>9043</v>
      </c>
      <c r="B89" s="40" t="s">
        <v>1315</v>
      </c>
      <c r="C89" s="40" t="s">
        <v>3756</v>
      </c>
      <c r="D89" s="41" t="s">
        <v>3757</v>
      </c>
      <c r="E89" s="39" t="s">
        <v>3758</v>
      </c>
      <c r="F89" s="40" t="s">
        <v>227</v>
      </c>
      <c r="G89" s="39" t="str">
        <f t="array" ref="G89">XLOOKUP(E89,FullStudentList!C:C,FullStudentList!D:D)</f>
        <v>#N/A</v>
      </c>
      <c r="H89" s="40" t="str">
        <f t="array" ref="H89">XLOOKUP(E89,FullStudentList!C:C,FullStudentList!G:G)</f>
        <v>#N/A</v>
      </c>
      <c r="I89" s="40" t="s">
        <v>3756</v>
      </c>
    </row>
    <row r="90" ht="22.5" customHeight="1">
      <c r="A90" s="39" t="s">
        <v>9052</v>
      </c>
      <c r="B90" s="40" t="s">
        <v>1108</v>
      </c>
      <c r="C90" s="40" t="s">
        <v>3760</v>
      </c>
      <c r="D90" s="41" t="s">
        <v>3761</v>
      </c>
      <c r="E90" s="39" t="s">
        <v>3728</v>
      </c>
      <c r="F90" s="40" t="s">
        <v>227</v>
      </c>
      <c r="G90" s="39" t="str">
        <f t="array" ref="G90">XLOOKUP(E90,FullStudentList!C:C,FullStudentList!D:D)</f>
        <v>enayata.env@gmail.com</v>
      </c>
      <c r="H90" s="40">
        <f t="array" ref="H90">XLOOKUP(E90,FullStudentList!C:C,FullStudentList!G:G)</f>
        <v>8837781206</v>
      </c>
      <c r="I90" s="40" t="s">
        <v>3760</v>
      </c>
    </row>
    <row r="91" ht="22.5" customHeight="1">
      <c r="A91" s="39" t="s">
        <v>9061</v>
      </c>
      <c r="B91" s="40" t="s">
        <v>1324</v>
      </c>
      <c r="C91" s="40" t="s">
        <v>3762</v>
      </c>
      <c r="D91" s="41" t="s">
        <v>3763</v>
      </c>
      <c r="E91" s="39" t="s">
        <v>3764</v>
      </c>
      <c r="F91" s="40" t="s">
        <v>221</v>
      </c>
      <c r="G91" s="39" t="str">
        <f t="array" ref="G91">XLOOKUP(E91,FullStudentList!C:C,FullStudentList!D:D)</f>
        <v>kaustubhprakash0410@gmail.com</v>
      </c>
      <c r="H91" s="40">
        <f t="array" ref="H91">XLOOKUP(E91,FullStudentList!C:C,FullStudentList!G:G)</f>
        <v>9412167527</v>
      </c>
      <c r="I91" s="40" t="s">
        <v>3762</v>
      </c>
    </row>
    <row r="92" ht="22.5" customHeight="1">
      <c r="A92" s="39" t="s">
        <v>9071</v>
      </c>
      <c r="B92" s="40" t="s">
        <v>1533</v>
      </c>
      <c r="C92" s="40" t="s">
        <v>3765</v>
      </c>
      <c r="D92" s="41" t="s">
        <v>3766</v>
      </c>
      <c r="E92" s="39" t="s">
        <v>3768</v>
      </c>
      <c r="F92" s="40" t="s">
        <v>221</v>
      </c>
      <c r="G92" s="39" t="str">
        <f t="array" ref="G92">XLOOKUP(E92,FullStudentList!C:C,FullStudentList!D:D)</f>
        <v>deepaliaggarwal108@gmail.com</v>
      </c>
      <c r="H92" s="40">
        <f t="array" ref="H92">XLOOKUP(E92,FullStudentList!C:C,FullStudentList!G:G)</f>
        <v>6280914160</v>
      </c>
      <c r="I92" s="40" t="s">
        <v>3765</v>
      </c>
    </row>
    <row r="93" ht="22.5" customHeight="1">
      <c r="A93" s="39" t="s">
        <v>9080</v>
      </c>
      <c r="B93" s="40" t="s">
        <v>1339</v>
      </c>
      <c r="C93" s="40" t="s">
        <v>3770</v>
      </c>
      <c r="D93" s="41" t="s">
        <v>3771</v>
      </c>
      <c r="E93" s="39" t="s">
        <v>3772</v>
      </c>
      <c r="F93" s="40" t="s">
        <v>221</v>
      </c>
      <c r="G93" s="39" t="str">
        <f t="array" ref="G93">XLOOKUP(E93,FullStudentList!C:C,FullStudentList!D:D)</f>
        <v>divyanshpandey130607@gmail.com</v>
      </c>
      <c r="H93" s="40">
        <f t="array" ref="H93">XLOOKUP(E93,FullStudentList!C:C,FullStudentList!G:G)</f>
        <v>8386893604</v>
      </c>
      <c r="I93" s="40" t="s">
        <v>3770</v>
      </c>
    </row>
    <row r="94" ht="22.5" customHeight="1">
      <c r="A94" s="39" t="s">
        <v>9087</v>
      </c>
      <c r="B94" s="40" t="s">
        <v>1354</v>
      </c>
      <c r="C94" s="40" t="s">
        <v>3774</v>
      </c>
      <c r="D94" s="41" t="s">
        <v>3775</v>
      </c>
      <c r="E94" s="39" t="s">
        <v>3776</v>
      </c>
      <c r="F94" s="40" t="s">
        <v>221</v>
      </c>
      <c r="G94" s="39" t="str">
        <f t="array" ref="G94">XLOOKUP(E94,FullStudentList!C:C,FullStudentList!D:D)</f>
        <v>trikhardik15@gmail.com</v>
      </c>
      <c r="H94" s="40">
        <f t="array" ref="H94">XLOOKUP(E94,FullStudentList!C:C,FullStudentList!G:G)</f>
        <v>9478625486</v>
      </c>
      <c r="I94" s="40" t="s">
        <v>3774</v>
      </c>
    </row>
    <row r="95" ht="22.5" customHeight="1">
      <c r="A95" s="39" t="s">
        <v>9094</v>
      </c>
      <c r="B95" s="40" t="s">
        <v>1366</v>
      </c>
      <c r="C95" s="40" t="s">
        <v>3778</v>
      </c>
      <c r="D95" s="41" t="s">
        <v>3779</v>
      </c>
      <c r="E95" s="39" t="s">
        <v>3780</v>
      </c>
      <c r="F95" s="40" t="s">
        <v>221</v>
      </c>
      <c r="G95" s="39" t="str">
        <f t="array" ref="G95">XLOOKUP(E95,FullStudentList!C:C,FullStudentList!D:D)</f>
        <v>#N/A</v>
      </c>
      <c r="H95" s="40" t="str">
        <f t="array" ref="H95">XLOOKUP(E95,FullStudentList!C:C,FullStudentList!G:G)</f>
        <v>#N/A</v>
      </c>
      <c r="I95" s="40" t="s">
        <v>3778</v>
      </c>
    </row>
    <row r="96" ht="22.5" customHeight="1">
      <c r="A96" s="39" t="s">
        <v>9101</v>
      </c>
      <c r="B96" s="40" t="s">
        <v>1373</v>
      </c>
      <c r="C96" s="40" t="s">
        <v>3781</v>
      </c>
      <c r="D96" s="41" t="s">
        <v>3782</v>
      </c>
      <c r="E96" s="39" t="s">
        <v>3783</v>
      </c>
      <c r="F96" s="40" t="s">
        <v>221</v>
      </c>
      <c r="G96" s="39" t="str">
        <f t="array" ref="G96">XLOOKUP(E96,FullStudentList!C:C,FullStudentList!D:D)</f>
        <v>3006.manas@gmail.com</v>
      </c>
      <c r="H96" s="40">
        <f t="array" ref="H96">XLOOKUP(E96,FullStudentList!C:C,FullStudentList!G:G)</f>
        <v>8949657716</v>
      </c>
      <c r="I96" s="40" t="s">
        <v>3781</v>
      </c>
    </row>
    <row r="97" ht="22.5" customHeight="1">
      <c r="A97" s="39" t="s">
        <v>9112</v>
      </c>
      <c r="B97" s="40" t="s">
        <v>1381</v>
      </c>
      <c r="C97" s="40" t="s">
        <v>3786</v>
      </c>
      <c r="D97" s="41" t="s">
        <v>3787</v>
      </c>
      <c r="E97" s="39" t="s">
        <v>3789</v>
      </c>
      <c r="F97" s="40" t="s">
        <v>221</v>
      </c>
      <c r="G97" s="39" t="str">
        <f t="array" ref="G97">XLOOKUP(E97,FullStudentList!C:C,FullStudentList!D:D)</f>
        <v>hardikr1113@gmail.com</v>
      </c>
      <c r="H97" s="40">
        <f t="array" ref="H97">XLOOKUP(E97,FullStudentList!C:C,FullStudentList!G:G)</f>
        <v>9899916379</v>
      </c>
      <c r="I97" s="40" t="s">
        <v>3786</v>
      </c>
    </row>
    <row r="98" ht="22.5" customHeight="1">
      <c r="A98" s="39" t="s">
        <v>9123</v>
      </c>
      <c r="B98" s="40" t="s">
        <v>1389</v>
      </c>
      <c r="C98" s="40" t="s">
        <v>3791</v>
      </c>
      <c r="D98" s="41" t="s">
        <v>3792</v>
      </c>
      <c r="E98" s="39" t="s">
        <v>3793</v>
      </c>
      <c r="F98" s="40" t="s">
        <v>221</v>
      </c>
      <c r="G98" s="39" t="str">
        <f t="array" ref="G98">XLOOKUP(E98,FullStudentList!C:C,FullStudentList!D:D)</f>
        <v>singharshbir76@gmail.com</v>
      </c>
      <c r="H98" s="40">
        <f t="array" ref="H98">XLOOKUP(E98,FullStudentList!C:C,FullStudentList!G:G)</f>
        <v>8054435468</v>
      </c>
      <c r="I98" s="40" t="s">
        <v>3791</v>
      </c>
    </row>
    <row r="99" ht="22.5" customHeight="1">
      <c r="A99" s="39" t="s">
        <v>9134</v>
      </c>
      <c r="B99" s="40" t="s">
        <v>1398</v>
      </c>
      <c r="C99" s="40" t="s">
        <v>3796</v>
      </c>
      <c r="D99" s="41" t="s">
        <v>3797</v>
      </c>
      <c r="E99" s="39" t="s">
        <v>3798</v>
      </c>
      <c r="F99" s="40" t="s">
        <v>221</v>
      </c>
      <c r="G99" s="39" t="str">
        <f t="array" ref="G99">XLOOKUP(E99,FullStudentList!C:C,FullStudentList!D:D)</f>
        <v>sankalp.kumar3216@gmail.com</v>
      </c>
      <c r="H99" s="40">
        <f t="array" ref="H99">XLOOKUP(E99,FullStudentList!C:C,FullStudentList!G:G)</f>
        <v>6205221245</v>
      </c>
      <c r="I99" s="40" t="s">
        <v>3796</v>
      </c>
    </row>
    <row r="100" ht="22.5" customHeight="1">
      <c r="A100" s="39" t="s">
        <v>9144</v>
      </c>
      <c r="B100" s="40" t="s">
        <v>1405</v>
      </c>
      <c r="C100" s="40" t="s">
        <v>3800</v>
      </c>
      <c r="D100" s="41" t="s">
        <v>3801</v>
      </c>
      <c r="E100" s="39" t="s">
        <v>3802</v>
      </c>
      <c r="F100" s="40" t="s">
        <v>221</v>
      </c>
      <c r="G100" s="39" t="str">
        <f t="array" ref="G100">XLOOKUP(E100,FullStudentList!C:C,FullStudentList!D:D)</f>
        <v>raghavsingla2929@gmail.com</v>
      </c>
      <c r="H100" s="40">
        <f t="array" ref="H100">XLOOKUP(E100,FullStudentList!C:C,FullStudentList!G:G)</f>
        <v>9915900029</v>
      </c>
      <c r="I100" s="40" t="s">
        <v>3800</v>
      </c>
    </row>
    <row r="101" ht="22.5" customHeight="1">
      <c r="A101" s="39" t="s">
        <v>9151</v>
      </c>
      <c r="B101" s="40" t="s">
        <v>1411</v>
      </c>
      <c r="C101" s="40" t="s">
        <v>3805</v>
      </c>
      <c r="D101" s="41" t="s">
        <v>3806</v>
      </c>
      <c r="E101" s="39" t="s">
        <v>3807</v>
      </c>
      <c r="F101" s="40" t="s">
        <v>221</v>
      </c>
      <c r="G101" s="39" t="str">
        <f t="array" ref="G101">XLOOKUP(E101,FullStudentList!C:C,FullStudentList!D:D)</f>
        <v>anshtiwari0611@gmail.com</v>
      </c>
      <c r="H101" s="40">
        <f t="array" ref="H101">XLOOKUP(E101,FullStudentList!C:C,FullStudentList!G:G)</f>
        <v>8602798363</v>
      </c>
      <c r="I101" s="40" t="s">
        <v>3805</v>
      </c>
    </row>
    <row r="102" ht="22.5" customHeight="1">
      <c r="A102" s="39" t="s">
        <v>9158</v>
      </c>
      <c r="B102" s="40" t="s">
        <v>1417</v>
      </c>
      <c r="C102" s="40" t="s">
        <v>3810</v>
      </c>
      <c r="D102" s="41" t="s">
        <v>3811</v>
      </c>
      <c r="E102" s="39" t="s">
        <v>3812</v>
      </c>
      <c r="F102" s="40" t="s">
        <v>221</v>
      </c>
      <c r="G102" s="39" t="str">
        <f t="array" ref="G102">XLOOKUP(E102,FullStudentList!C:C,FullStudentList!D:D)</f>
        <v>#N/A</v>
      </c>
      <c r="H102" s="40" t="str">
        <f t="array" ref="H102">XLOOKUP(E102,FullStudentList!C:C,FullStudentList!G:G)</f>
        <v>#N/A</v>
      </c>
      <c r="I102" s="40" t="s">
        <v>3810</v>
      </c>
    </row>
    <row r="103" ht="22.5" customHeight="1">
      <c r="A103" s="39" t="s">
        <v>9167</v>
      </c>
      <c r="B103" s="40" t="s">
        <v>1430</v>
      </c>
      <c r="C103" s="40" t="s">
        <v>3813</v>
      </c>
      <c r="D103" s="41" t="s">
        <v>3814</v>
      </c>
      <c r="E103" s="39" t="s">
        <v>3815</v>
      </c>
      <c r="F103" s="40" t="s">
        <v>221</v>
      </c>
      <c r="G103" s="39" t="str">
        <f t="array" ref="G103">XLOOKUP(E103,FullStudentList!C:C,FullStudentList!D:D)</f>
        <v>sakshiikanwarr@gmail.com</v>
      </c>
      <c r="H103" s="40">
        <f t="array" ref="H103">XLOOKUP(E103,FullStudentList!C:C,FullStudentList!G:G)</f>
        <v>9781540420</v>
      </c>
      <c r="I103" s="40" t="s">
        <v>3813</v>
      </c>
    </row>
    <row r="104" ht="22.5" customHeight="1">
      <c r="A104" s="39" t="s">
        <v>9174</v>
      </c>
      <c r="B104" s="40" t="s">
        <v>1450</v>
      </c>
      <c r="C104" s="40" t="s">
        <v>3817</v>
      </c>
      <c r="D104" s="41" t="s">
        <v>3818</v>
      </c>
      <c r="E104" s="39" t="s">
        <v>3819</v>
      </c>
      <c r="F104" s="40" t="s">
        <v>221</v>
      </c>
      <c r="G104" s="39" t="str">
        <f t="array" ref="G104">XLOOKUP(E104,FullStudentList!C:C,FullStudentList!D:D)</f>
        <v>#N/A</v>
      </c>
      <c r="H104" s="40" t="str">
        <f t="array" ref="H104">XLOOKUP(E104,FullStudentList!C:C,FullStudentList!G:G)</f>
        <v>#N/A</v>
      </c>
      <c r="I104" s="40" t="s">
        <v>3817</v>
      </c>
    </row>
    <row r="105" ht="22.5" customHeight="1">
      <c r="A105" s="39" t="s">
        <v>9182</v>
      </c>
      <c r="B105" s="40" t="s">
        <v>1437</v>
      </c>
      <c r="C105" s="40" t="s">
        <v>3821</v>
      </c>
      <c r="D105" s="41" t="s">
        <v>3822</v>
      </c>
      <c r="E105" s="39" t="s">
        <v>3823</v>
      </c>
      <c r="F105" s="40" t="s">
        <v>221</v>
      </c>
      <c r="G105" s="39" t="str">
        <f t="array" ref="G105">XLOOKUP(E105,FullStudentList!C:C,FullStudentList!D:D)</f>
        <v>Arathore1_be25@thapar.edu</v>
      </c>
      <c r="H105" s="40">
        <f t="array" ref="H105">XLOOKUP(E105,FullStudentList!C:C,FullStudentList!G:G)</f>
        <v>9311132116</v>
      </c>
      <c r="I105" s="40" t="s">
        <v>3821</v>
      </c>
    </row>
    <row r="106" ht="22.5" customHeight="1">
      <c r="A106" s="39" t="s">
        <v>9191</v>
      </c>
      <c r="B106" s="40" t="s">
        <v>1442</v>
      </c>
      <c r="C106" s="40" t="s">
        <v>3824</v>
      </c>
      <c r="D106" s="41" t="s">
        <v>3825</v>
      </c>
      <c r="E106" s="39" t="s">
        <v>3826</v>
      </c>
      <c r="F106" s="40" t="s">
        <v>221</v>
      </c>
      <c r="G106" s="39" t="str">
        <f t="array" ref="G106">XLOOKUP(E106,FullStudentList!C:C,FullStudentList!D:D)</f>
        <v>pranavvsharma21@gmail.com</v>
      </c>
      <c r="H106" s="40">
        <f t="array" ref="H106">XLOOKUP(E106,FullStudentList!C:C,FullStudentList!G:G)</f>
        <v>9560106869</v>
      </c>
      <c r="I106" s="40" t="s">
        <v>3824</v>
      </c>
    </row>
    <row r="107" ht="22.5" customHeight="1">
      <c r="A107" s="39" t="s">
        <v>9200</v>
      </c>
      <c r="B107" s="40" t="s">
        <v>1474</v>
      </c>
      <c r="C107" s="40" t="s">
        <v>3829</v>
      </c>
      <c r="D107" s="41" t="s">
        <v>3830</v>
      </c>
      <c r="E107" s="39" t="s">
        <v>3832</v>
      </c>
      <c r="F107" s="40" t="s">
        <v>221</v>
      </c>
      <c r="G107" s="39" t="str">
        <f t="array" ref="G107">XLOOKUP(E107,FullStudentList!C:C,FullStudentList!D:D)</f>
        <v>pragyanshsrivastava25@gmail.com</v>
      </c>
      <c r="H107" s="40">
        <f t="array" ref="H107">XLOOKUP(E107,FullStudentList!C:C,FullStudentList!G:G)</f>
        <v>9682597445</v>
      </c>
      <c r="I107" s="40" t="s">
        <v>3829</v>
      </c>
    </row>
    <row r="108" ht="22.5" customHeight="1">
      <c r="A108" s="39" t="s">
        <v>9215</v>
      </c>
      <c r="B108" s="40" t="s">
        <v>1482</v>
      </c>
      <c r="C108" s="40" t="s">
        <v>3834</v>
      </c>
      <c r="D108" s="41" t="s">
        <v>3836</v>
      </c>
      <c r="E108" s="39" t="s">
        <v>3837</v>
      </c>
      <c r="F108" s="40" t="s">
        <v>221</v>
      </c>
      <c r="G108" s="39" t="str">
        <f t="array" ref="G108">XLOOKUP(E108,FullStudentList!C:C,FullStudentList!D:D)</f>
        <v>dixitmantavya@gmail.com</v>
      </c>
      <c r="H108" s="40">
        <f t="array" ref="H108">XLOOKUP(E108,FullStudentList!C:C,FullStudentList!G:G)</f>
        <v>8595566383</v>
      </c>
      <c r="I108" s="40" t="s">
        <v>3834</v>
      </c>
    </row>
    <row r="109" ht="22.5" customHeight="1">
      <c r="A109" s="39" t="s">
        <v>9225</v>
      </c>
      <c r="B109" s="40" t="s">
        <v>1489</v>
      </c>
      <c r="C109" s="40" t="s">
        <v>3838</v>
      </c>
      <c r="D109" s="41" t="s">
        <v>3839</v>
      </c>
      <c r="E109" s="39" t="s">
        <v>3840</v>
      </c>
      <c r="F109" s="40" t="s">
        <v>221</v>
      </c>
      <c r="G109" s="39" t="str">
        <f t="array" ref="G109">XLOOKUP(E109,FullStudentList!C:C,FullStudentList!D:D)</f>
        <v>Madandivya24@gmail.com</v>
      </c>
      <c r="H109" s="40">
        <f t="array" ref="H109">XLOOKUP(E109,FullStudentList!C:C,FullStudentList!G:G)</f>
        <v>9041024424</v>
      </c>
      <c r="I109" s="40" t="s">
        <v>3838</v>
      </c>
    </row>
    <row r="110" ht="22.5" customHeight="1">
      <c r="A110" s="39" t="s">
        <v>9233</v>
      </c>
      <c r="B110" s="40" t="s">
        <v>1506</v>
      </c>
      <c r="C110" s="40" t="s">
        <v>3841</v>
      </c>
      <c r="D110" s="41" t="s">
        <v>3842</v>
      </c>
      <c r="E110" s="39" t="s">
        <v>3843</v>
      </c>
      <c r="F110" s="40" t="s">
        <v>221</v>
      </c>
      <c r="G110" s="39" t="str">
        <f t="array" ref="G110">XLOOKUP(E110,FullStudentList!C:C,FullStudentList!D:D)</f>
        <v>#N/A</v>
      </c>
      <c r="H110" s="40" t="str">
        <f t="array" ref="H110">XLOOKUP(E110,FullStudentList!C:C,FullStudentList!G:G)</f>
        <v>#N/A</v>
      </c>
      <c r="I110" s="40" t="s">
        <v>3841</v>
      </c>
    </row>
    <row r="111" ht="22.5" customHeight="1">
      <c r="A111" s="39" t="s">
        <v>9243</v>
      </c>
      <c r="B111" s="40" t="s">
        <v>1512</v>
      </c>
      <c r="C111" s="40" t="s">
        <v>3845</v>
      </c>
      <c r="D111" s="41" t="s">
        <v>3846</v>
      </c>
      <c r="E111" s="39" t="s">
        <v>3847</v>
      </c>
      <c r="F111" s="40" t="s">
        <v>221</v>
      </c>
      <c r="G111" s="39" t="str">
        <f t="array" ref="G111">XLOOKUP(E111,FullStudentList!C:C,FullStudentList!D:D)</f>
        <v>roshnitayalrt@gmail.com</v>
      </c>
      <c r="H111" s="40">
        <f t="array" ref="H111">XLOOKUP(E111,FullStudentList!C:C,FullStudentList!G:G)</f>
        <v>7986855183</v>
      </c>
      <c r="I111" s="40" t="s">
        <v>3845</v>
      </c>
    </row>
    <row r="112" ht="22.5" customHeight="1">
      <c r="A112" s="39" t="s">
        <v>9253</v>
      </c>
      <c r="B112" s="40" t="s">
        <v>1519</v>
      </c>
      <c r="C112" s="40" t="s">
        <v>3849</v>
      </c>
      <c r="D112" s="41" t="s">
        <v>3850</v>
      </c>
      <c r="E112" s="39" t="s">
        <v>3851</v>
      </c>
      <c r="F112" s="40" t="s">
        <v>221</v>
      </c>
      <c r="G112" s="39" t="str">
        <f t="array" ref="G112">XLOOKUP(E112,FullStudentList!C:C,FullStudentList!D:D)</f>
        <v>hitpriyamangla@gamil.com</v>
      </c>
      <c r="H112" s="40">
        <f t="array" ref="H112">XLOOKUP(E112,FullStudentList!C:C,FullStudentList!G:G)</f>
        <v>8847025904</v>
      </c>
      <c r="I112" s="40" t="s">
        <v>3849</v>
      </c>
    </row>
    <row r="113" ht="22.5" customHeight="1">
      <c r="A113" s="39" t="s">
        <v>9264</v>
      </c>
      <c r="B113" s="40" t="s">
        <v>1527</v>
      </c>
      <c r="C113" s="40" t="s">
        <v>3852</v>
      </c>
      <c r="D113" s="41" t="s">
        <v>3853</v>
      </c>
      <c r="E113" s="39" t="s">
        <v>3854</v>
      </c>
      <c r="F113" s="40" t="s">
        <v>221</v>
      </c>
      <c r="G113" s="39" t="str">
        <f t="array" ref="G113">XLOOKUP(E113,FullStudentList!C:C,FullStudentList!D:D)</f>
        <v>garimanarula297@gmail.com</v>
      </c>
      <c r="H113" s="40">
        <f t="array" ref="H113">XLOOKUP(E113,FullStudentList!C:C,FullStudentList!G:G)</f>
        <v>7719554376</v>
      </c>
      <c r="I113" s="40" t="s">
        <v>3852</v>
      </c>
    </row>
    <row r="114" ht="22.5" customHeight="1">
      <c r="A114" s="39" t="s">
        <v>9275</v>
      </c>
      <c r="B114" s="40" t="s">
        <v>1661</v>
      </c>
      <c r="C114" s="40" t="s">
        <v>3856</v>
      </c>
      <c r="D114" s="41" t="s">
        <v>3857</v>
      </c>
      <c r="E114" s="39" t="s">
        <v>3858</v>
      </c>
      <c r="F114" s="40" t="s">
        <v>282</v>
      </c>
      <c r="G114" s="39" t="str">
        <f t="array" ref="G114">XLOOKUP(E114,FullStudentList!C:C,FullStudentList!D:D)</f>
        <v>harmanveersingh1107@gmail.com</v>
      </c>
      <c r="H114" s="40">
        <f t="array" ref="H114">XLOOKUP(E114,FullStudentList!C:C,FullStudentList!G:G)</f>
        <v>9688300097</v>
      </c>
      <c r="I114" s="40" t="s">
        <v>3856</v>
      </c>
    </row>
    <row r="115" ht="22.5" customHeight="1">
      <c r="A115" s="39" t="s">
        <v>9286</v>
      </c>
      <c r="B115" s="40" t="s">
        <v>1657</v>
      </c>
      <c r="C115" s="40" t="s">
        <v>3860</v>
      </c>
      <c r="D115" s="41" t="s">
        <v>3861</v>
      </c>
      <c r="E115" s="39" t="s">
        <v>3862</v>
      </c>
      <c r="F115" s="40" t="s">
        <v>282</v>
      </c>
      <c r="G115" s="39" t="str">
        <f t="array" ref="G115">XLOOKUP(E115,FullStudentList!C:C,FullStudentList!D:D)</f>
        <v>tanishakansal26@gmail.com</v>
      </c>
      <c r="H115" s="40">
        <f t="array" ref="H115">XLOOKUP(E115,FullStudentList!C:C,FullStudentList!G:G)</f>
        <v>9878418627</v>
      </c>
      <c r="I115" s="40" t="s">
        <v>3860</v>
      </c>
    </row>
    <row r="116" ht="22.5" customHeight="1">
      <c r="A116" s="39" t="s">
        <v>9299</v>
      </c>
      <c r="B116" s="40" t="s">
        <v>1681</v>
      </c>
      <c r="C116" s="40" t="s">
        <v>3863</v>
      </c>
      <c r="D116" s="41" t="s">
        <v>3864</v>
      </c>
      <c r="E116" s="39" t="s">
        <v>3865</v>
      </c>
      <c r="F116" s="40" t="s">
        <v>282</v>
      </c>
      <c r="G116" s="39" t="str">
        <f t="array" ref="G116">XLOOKUP(E116,FullStudentList!C:C,FullStudentList!D:D)</f>
        <v>dverma1_be25@thapar.edu</v>
      </c>
      <c r="H116" s="40">
        <f t="array" ref="H116">XLOOKUP(E116,FullStudentList!C:C,FullStudentList!G:G)</f>
        <v>8318977138</v>
      </c>
      <c r="I116" s="40" t="s">
        <v>3863</v>
      </c>
    </row>
    <row r="117" ht="22.5" customHeight="1">
      <c r="A117" s="39" t="s">
        <v>9310</v>
      </c>
      <c r="B117" s="40" t="s">
        <v>1706</v>
      </c>
      <c r="C117" s="40" t="s">
        <v>3866</v>
      </c>
      <c r="D117" s="41" t="s">
        <v>3867</v>
      </c>
      <c r="E117" s="39" t="s">
        <v>3868</v>
      </c>
      <c r="F117" s="40" t="s">
        <v>282</v>
      </c>
      <c r="G117" s="39" t="str">
        <f t="array" ref="G117">XLOOKUP(E117,FullStudentList!C:C,FullStudentList!D:D)</f>
        <v>aaditthapar30@gmail.com</v>
      </c>
      <c r="H117" s="40">
        <f t="array" ref="H117">XLOOKUP(E117,FullStudentList!C:C,FullStudentList!G:G)</f>
        <v>7986765987</v>
      </c>
      <c r="I117" s="40" t="s">
        <v>3866</v>
      </c>
    </row>
    <row r="118" ht="22.5" customHeight="1">
      <c r="A118" s="39" t="s">
        <v>9321</v>
      </c>
      <c r="B118" s="40" t="s">
        <v>1713</v>
      </c>
      <c r="C118" s="40" t="s">
        <v>3870</v>
      </c>
      <c r="D118" s="41" t="s">
        <v>3871</v>
      </c>
      <c r="E118" s="39" t="s">
        <v>3872</v>
      </c>
      <c r="F118" s="40" t="s">
        <v>282</v>
      </c>
      <c r="G118" s="39" t="str">
        <f t="array" ref="G118">XLOOKUP(E118,FullStudentList!C:C,FullStudentList!D:D)</f>
        <v>krishnuvtarunkhattar@gmail.com</v>
      </c>
      <c r="H118" s="40">
        <f t="array" ref="H118">XLOOKUP(E118,FullStudentList!C:C,FullStudentList!G:G)</f>
        <v>7678272607</v>
      </c>
      <c r="I118" s="40" t="s">
        <v>3870</v>
      </c>
    </row>
    <row r="119" ht="22.5" customHeight="1">
      <c r="A119" s="39" t="s">
        <v>9335</v>
      </c>
      <c r="B119" s="40" t="s">
        <v>1718</v>
      </c>
      <c r="C119" s="40" t="s">
        <v>3874</v>
      </c>
      <c r="D119" s="41" t="s">
        <v>3875</v>
      </c>
      <c r="E119" s="39" t="s">
        <v>3876</v>
      </c>
      <c r="F119" s="40" t="s">
        <v>282</v>
      </c>
      <c r="G119" s="39" t="str">
        <f t="array" ref="G119">XLOOKUP(E119,FullStudentList!C:C,FullStudentList!D:D)</f>
        <v>bhuwangera030@gmail.com</v>
      </c>
      <c r="H119" s="40">
        <f t="array" ref="H119">XLOOKUP(E119,FullStudentList!C:C,FullStudentList!G:G)</f>
        <v>8295529309</v>
      </c>
      <c r="I119" s="40" t="s">
        <v>3874</v>
      </c>
    </row>
    <row r="120" ht="22.5" customHeight="1">
      <c r="A120" s="39" t="s">
        <v>9343</v>
      </c>
      <c r="B120" s="40" t="s">
        <v>1725</v>
      </c>
      <c r="C120" s="40" t="s">
        <v>3877</v>
      </c>
      <c r="D120" s="41" t="s">
        <v>3878</v>
      </c>
      <c r="E120" s="39" t="s">
        <v>3879</v>
      </c>
      <c r="F120" s="40" t="s">
        <v>282</v>
      </c>
      <c r="G120" s="39" t="str">
        <f t="array" ref="G120">XLOOKUP(E120,FullStudentList!C:C,FullStudentList!D:D)</f>
        <v>singlasofia2007@gmail.com</v>
      </c>
      <c r="H120" s="40">
        <f t="array" ref="H120">XLOOKUP(E120,FullStudentList!C:C,FullStudentList!G:G)</f>
        <v>7814034965</v>
      </c>
      <c r="I120" s="40" t="s">
        <v>3877</v>
      </c>
    </row>
    <row r="121" ht="22.5" customHeight="1">
      <c r="A121" s="39" t="s">
        <v>9352</v>
      </c>
      <c r="B121" s="40" t="s">
        <v>1734</v>
      </c>
      <c r="C121" s="40" t="s">
        <v>3882</v>
      </c>
      <c r="D121" s="41" t="s">
        <v>323</v>
      </c>
      <c r="E121" s="39" t="s">
        <v>320</v>
      </c>
      <c r="F121" s="40" t="s">
        <v>282</v>
      </c>
      <c r="G121" s="39" t="str">
        <f t="array" ref="G121">XLOOKUP(E121,FullStudentList!C:C,FullStudentList!D:D)</f>
        <v>aagarwal9_be25@thapar.edu</v>
      </c>
      <c r="H121" s="40">
        <f t="array" ref="H121">XLOOKUP(E121,FullStudentList!C:C,FullStudentList!G:G)</f>
        <v>6378816765</v>
      </c>
      <c r="I121" s="40" t="s">
        <v>3882</v>
      </c>
    </row>
    <row r="122" ht="22.5" customHeight="1">
      <c r="A122" s="39" t="s">
        <v>9362</v>
      </c>
      <c r="B122" s="40" t="s">
        <v>1746</v>
      </c>
      <c r="C122" s="40" t="s">
        <v>3884</v>
      </c>
      <c r="D122" s="41" t="s">
        <v>3885</v>
      </c>
      <c r="E122" s="39" t="s">
        <v>3886</v>
      </c>
      <c r="F122" s="40" t="s">
        <v>282</v>
      </c>
      <c r="G122" s="39" t="str">
        <f t="array" ref="G122">XLOOKUP(E122,FullStudentList!C:C,FullStudentList!D:D)</f>
        <v>tyagi.geetagya7@gmail.com</v>
      </c>
      <c r="H122" s="40">
        <f t="array" ref="H122">XLOOKUP(E122,FullStudentList!C:C,FullStudentList!G:G)</f>
        <v>9416054809</v>
      </c>
      <c r="I122" s="40" t="s">
        <v>3884</v>
      </c>
    </row>
    <row r="123" ht="22.5" customHeight="1">
      <c r="A123" s="39" t="s">
        <v>9375</v>
      </c>
      <c r="B123" s="40" t="s">
        <v>1755</v>
      </c>
      <c r="C123" s="40" t="s">
        <v>3887</v>
      </c>
      <c r="D123" s="41" t="s">
        <v>3139</v>
      </c>
      <c r="E123" s="39" t="s">
        <v>3144</v>
      </c>
      <c r="F123" s="40" t="s">
        <v>282</v>
      </c>
      <c r="G123" s="39" t="str">
        <f t="array" ref="G123">XLOOKUP(E123,FullStudentList!C:C,FullStudentList!D:D)</f>
        <v>architjha4356.aj@gmail.com</v>
      </c>
      <c r="H123" s="40">
        <f t="array" ref="H123">XLOOKUP(E123,FullStudentList!C:C,FullStudentList!G:G)</f>
        <v>9310110875</v>
      </c>
      <c r="I123" s="40" t="s">
        <v>3887</v>
      </c>
    </row>
    <row r="124" ht="22.5" customHeight="1">
      <c r="A124" s="39" t="s">
        <v>9385</v>
      </c>
      <c r="B124" s="40" t="s">
        <v>1540</v>
      </c>
      <c r="C124" s="40" t="s">
        <v>3889</v>
      </c>
      <c r="D124" s="41" t="s">
        <v>3890</v>
      </c>
      <c r="E124" s="39" t="s">
        <v>3891</v>
      </c>
      <c r="F124" s="40" t="s">
        <v>282</v>
      </c>
      <c r="G124" s="39" t="str">
        <f t="array" ref="G124">XLOOKUP(E124,FullStudentList!C:C,FullStudentList!D:D)</f>
        <v>Ssareen_be25@thapar.edu</v>
      </c>
      <c r="H124" s="40">
        <f t="array" ref="H124">XLOOKUP(E124,FullStudentList!C:C,FullStudentList!G:G)</f>
        <v>9915825534</v>
      </c>
      <c r="I124" s="40" t="s">
        <v>3889</v>
      </c>
    </row>
    <row r="125" ht="22.5" customHeight="1">
      <c r="A125" s="39" t="s">
        <v>9398</v>
      </c>
      <c r="B125" s="40" t="s">
        <v>1549</v>
      </c>
      <c r="C125" s="40" t="s">
        <v>3893</v>
      </c>
      <c r="D125" s="41" t="s">
        <v>3894</v>
      </c>
      <c r="E125" s="39" t="s">
        <v>3895</v>
      </c>
      <c r="F125" s="40" t="s">
        <v>282</v>
      </c>
      <c r="G125" s="39" t="str">
        <f t="array" ref="G125">XLOOKUP(E125,FullStudentList!C:C,FullStudentList!D:D)</f>
        <v>vjas2606@gmail.com</v>
      </c>
      <c r="H125" s="40">
        <f t="array" ref="H125">XLOOKUP(E125,FullStudentList!C:C,FullStudentList!G:G)</f>
        <v>7428632914</v>
      </c>
      <c r="I125" s="40" t="s">
        <v>3893</v>
      </c>
    </row>
    <row r="126" ht="22.5" customHeight="1">
      <c r="A126" s="39" t="s">
        <v>9409</v>
      </c>
      <c r="B126" s="40" t="s">
        <v>1557</v>
      </c>
      <c r="C126" s="40" t="s">
        <v>3896</v>
      </c>
      <c r="D126" s="41" t="s">
        <v>3897</v>
      </c>
      <c r="E126" s="39" t="s">
        <v>3898</v>
      </c>
      <c r="F126" s="40" t="s">
        <v>282</v>
      </c>
      <c r="G126" s="39" t="str">
        <f t="array" ref="G126">XLOOKUP(E126,FullStudentList!C:C,FullStudentList!D:D)</f>
        <v>raghavduggal25@gmail.com</v>
      </c>
      <c r="H126" s="40">
        <f t="array" ref="H126">XLOOKUP(E126,FullStudentList!C:C,FullStudentList!G:G)</f>
        <v>6284855055</v>
      </c>
      <c r="I126" s="40" t="s">
        <v>3896</v>
      </c>
    </row>
    <row r="127" ht="22.5" customHeight="1">
      <c r="A127" s="39" t="s">
        <v>9423</v>
      </c>
      <c r="B127" s="40" t="s">
        <v>1566</v>
      </c>
      <c r="C127" s="40" t="s">
        <v>3901</v>
      </c>
      <c r="D127" s="41" t="s">
        <v>3902</v>
      </c>
      <c r="E127" s="39" t="s">
        <v>3903</v>
      </c>
      <c r="F127" s="40" t="s">
        <v>282</v>
      </c>
      <c r="G127" s="39" t="str">
        <f t="array" ref="G127">XLOOKUP(E127,FullStudentList!C:C,FullStudentList!D:D)</f>
        <v>dhruvsharda33@gmail.com</v>
      </c>
      <c r="H127" s="40">
        <f t="array" ref="H127">XLOOKUP(E127,FullStudentList!C:C,FullStudentList!G:G)</f>
        <v>7696684664</v>
      </c>
      <c r="I127" s="40" t="s">
        <v>3901</v>
      </c>
    </row>
    <row r="128" ht="22.5" customHeight="1">
      <c r="A128" s="39" t="s">
        <v>9434</v>
      </c>
      <c r="B128" s="40" t="s">
        <v>1571</v>
      </c>
      <c r="C128" s="40" t="s">
        <v>3906</v>
      </c>
      <c r="D128" s="41" t="s">
        <v>3907</v>
      </c>
      <c r="E128" s="39" t="s">
        <v>3908</v>
      </c>
      <c r="F128" s="40" t="s">
        <v>282</v>
      </c>
      <c r="G128" s="39" t="str">
        <f t="array" ref="G128">XLOOKUP(E128,FullStudentList!C:C,FullStudentList!D:D)</f>
        <v>rudrakshiaokifaz@gmail.com</v>
      </c>
      <c r="H128" s="40">
        <f t="array" ref="H128">XLOOKUP(E128,FullStudentList!C:C,FullStudentList!G:G)</f>
        <v>7710723456</v>
      </c>
      <c r="I128" s="40" t="s">
        <v>3906</v>
      </c>
    </row>
    <row r="129" ht="22.5" customHeight="1">
      <c r="A129" s="39" t="s">
        <v>9445</v>
      </c>
      <c r="B129" s="40" t="s">
        <v>1579</v>
      </c>
      <c r="C129" s="40" t="s">
        <v>3909</v>
      </c>
      <c r="D129" s="41" t="s">
        <v>3910</v>
      </c>
      <c r="E129" s="39" t="s">
        <v>3911</v>
      </c>
      <c r="F129" s="40" t="s">
        <v>282</v>
      </c>
      <c r="G129" s="39" t="str">
        <f t="array" ref="G129">XLOOKUP(E129,FullStudentList!C:C,FullStudentList!D:D)</f>
        <v>nayanmanocha07@gmail.com</v>
      </c>
      <c r="H129" s="40">
        <f t="array" ref="H129">XLOOKUP(E129,FullStudentList!C:C,FullStudentList!G:G)</f>
        <v>8950347236</v>
      </c>
      <c r="I129" s="40" t="s">
        <v>3909</v>
      </c>
    </row>
    <row r="130" ht="22.5" customHeight="1">
      <c r="A130" s="39" t="s">
        <v>9458</v>
      </c>
      <c r="B130" s="40" t="s">
        <v>1586</v>
      </c>
      <c r="C130" s="40" t="s">
        <v>3913</v>
      </c>
      <c r="D130" s="41" t="s">
        <v>3914</v>
      </c>
      <c r="E130" s="39" t="s">
        <v>3915</v>
      </c>
      <c r="F130" s="40" t="s">
        <v>282</v>
      </c>
      <c r="G130" s="39" t="str">
        <f t="array" ref="G130">XLOOKUP(E130,FullStudentList!C:C,FullStudentList!D:D)</f>
        <v>namansingla912@gmail.com</v>
      </c>
      <c r="H130" s="40">
        <f t="array" ref="H130">XLOOKUP(E130,FullStudentList!C:C,FullStudentList!G:G)</f>
        <v>8360620110</v>
      </c>
      <c r="I130" s="40" t="s">
        <v>3913</v>
      </c>
    </row>
    <row r="131" ht="22.5" customHeight="1">
      <c r="A131" s="39" t="s">
        <v>9467</v>
      </c>
      <c r="B131" s="40" t="s">
        <v>1593</v>
      </c>
      <c r="C131" s="40" t="s">
        <v>3917</v>
      </c>
      <c r="D131" s="41" t="s">
        <v>3919</v>
      </c>
      <c r="E131" s="39" t="s">
        <v>3920</v>
      </c>
      <c r="F131" s="40" t="s">
        <v>282</v>
      </c>
      <c r="G131" s="39" t="str">
        <f t="array" ref="G131">XLOOKUP(E131,FullStudentList!C:C,FullStudentList!D:D)</f>
        <v>goyalkomal1401@gmail.com</v>
      </c>
      <c r="H131" s="40">
        <f t="array" ref="H131">XLOOKUP(E131,FullStudentList!C:C,FullStudentList!G:G)</f>
        <v>6239176341</v>
      </c>
      <c r="I131" s="40" t="s">
        <v>3917</v>
      </c>
    </row>
    <row r="132" ht="22.5" customHeight="1">
      <c r="A132" s="39" t="s">
        <v>9478</v>
      </c>
      <c r="B132" s="40" t="s">
        <v>1603</v>
      </c>
      <c r="C132" s="40" t="s">
        <v>3922</v>
      </c>
      <c r="D132" s="41" t="s">
        <v>3923</v>
      </c>
      <c r="E132" s="39" t="s">
        <v>3924</v>
      </c>
      <c r="F132" s="40" t="s">
        <v>282</v>
      </c>
      <c r="G132" s="39" t="str">
        <f t="array" ref="G132">XLOOKUP(E132,FullStudentList!C:C,FullStudentList!D:D)</f>
        <v>manaswigoyal21@gmail.com</v>
      </c>
      <c r="H132" s="40">
        <f t="array" ref="H132">XLOOKUP(E132,FullStudentList!C:C,FullStudentList!G:G)</f>
        <v>6284207087</v>
      </c>
      <c r="I132" s="40" t="s">
        <v>3922</v>
      </c>
    </row>
    <row r="133" ht="22.5" customHeight="1">
      <c r="A133" s="39" t="s">
        <v>9489</v>
      </c>
      <c r="B133" s="40" t="s">
        <v>1611</v>
      </c>
      <c r="C133" s="40" t="s">
        <v>3925</v>
      </c>
      <c r="D133" s="41" t="s">
        <v>3926</v>
      </c>
      <c r="E133" s="39" t="s">
        <v>3927</v>
      </c>
      <c r="F133" s="40" t="s">
        <v>282</v>
      </c>
      <c r="G133" s="39" t="str">
        <f t="array" ref="G133">XLOOKUP(E133,FullStudentList!C:C,FullStudentList!D:D)</f>
        <v>pratyush.rawat25@gmail.com</v>
      </c>
      <c r="H133" s="40">
        <f t="array" ref="H133">XLOOKUP(E133,FullStudentList!C:C,FullStudentList!G:G)</f>
        <v>8826014608</v>
      </c>
      <c r="I133" s="40" t="s">
        <v>3925</v>
      </c>
    </row>
    <row r="134" ht="22.5" customHeight="1">
      <c r="A134" s="39" t="s">
        <v>9500</v>
      </c>
      <c r="B134" s="40" t="s">
        <v>1619</v>
      </c>
      <c r="C134" s="40" t="s">
        <v>3928</v>
      </c>
      <c r="D134" s="41" t="s">
        <v>3929</v>
      </c>
      <c r="E134" s="39" t="s">
        <v>3930</v>
      </c>
      <c r="F134" s="40" t="s">
        <v>282</v>
      </c>
      <c r="G134" s="39" t="str">
        <f t="array" ref="G134">XLOOKUP(E134,FullStudentList!C:C,FullStudentList!D:D)</f>
        <v>manannarang2006@gmail.edu</v>
      </c>
      <c r="H134" s="40">
        <f t="array" ref="H134">XLOOKUP(E134,FullStudentList!C:C,FullStudentList!G:G)</f>
        <v>9017359017</v>
      </c>
      <c r="I134" s="40" t="s">
        <v>3928</v>
      </c>
    </row>
    <row r="135" ht="22.5" customHeight="1">
      <c r="A135" s="39" t="s">
        <v>9511</v>
      </c>
      <c r="B135" s="40" t="s">
        <v>1628</v>
      </c>
      <c r="C135" s="40" t="s">
        <v>3931</v>
      </c>
      <c r="D135" s="41" t="s">
        <v>3932</v>
      </c>
      <c r="E135" s="39" t="s">
        <v>3934</v>
      </c>
      <c r="F135" s="40" t="s">
        <v>282</v>
      </c>
      <c r="G135" s="39" t="str">
        <f t="array" ref="G135">XLOOKUP(E135,FullStudentList!C:C,FullStudentList!D:D)</f>
        <v>kagrawal1_be25@thapar.edu</v>
      </c>
      <c r="H135" s="40">
        <f t="array" ref="H135">XLOOKUP(E135,FullStudentList!C:C,FullStudentList!G:G)</f>
        <v>9599558001</v>
      </c>
      <c r="I135" s="40" t="s">
        <v>3931</v>
      </c>
    </row>
    <row r="136" ht="22.5" customHeight="1">
      <c r="A136" s="39" t="s">
        <v>9518</v>
      </c>
      <c r="B136" s="40" t="s">
        <v>1635</v>
      </c>
      <c r="C136" s="40" t="s">
        <v>3936</v>
      </c>
      <c r="D136" s="41" t="s">
        <v>3937</v>
      </c>
      <c r="E136" s="39" t="s">
        <v>3939</v>
      </c>
      <c r="F136" s="40" t="s">
        <v>282</v>
      </c>
      <c r="G136" s="39" t="str">
        <f t="array" ref="G136">XLOOKUP(E136,FullStudentList!C:C,FullStudentList!D:D)</f>
        <v>Abcmadhav12345@gmail.com</v>
      </c>
      <c r="H136" s="40">
        <f t="array" ref="H136">XLOOKUP(E136,FullStudentList!C:C,FullStudentList!G:G)</f>
        <v>9760516156</v>
      </c>
      <c r="I136" s="40" t="s">
        <v>3936</v>
      </c>
    </row>
    <row r="137" ht="22.5" customHeight="1">
      <c r="A137" s="39" t="s">
        <v>9530</v>
      </c>
      <c r="B137" s="40" t="s">
        <v>1641</v>
      </c>
      <c r="C137" s="40" t="s">
        <v>3941</v>
      </c>
      <c r="D137" s="41" t="s">
        <v>3942</v>
      </c>
      <c r="E137" s="39" t="s">
        <v>3943</v>
      </c>
      <c r="F137" s="40" t="s">
        <v>282</v>
      </c>
      <c r="G137" s="39" t="str">
        <f t="array" ref="G137">XLOOKUP(E137,FullStudentList!C:C,FullStudentList!D:D)</f>
        <v>supratik111chandra@gmail.com</v>
      </c>
      <c r="H137" s="40">
        <f t="array" ref="H137">XLOOKUP(E137,FullStudentList!C:C,FullStudentList!G:G)</f>
        <v>9205485025</v>
      </c>
      <c r="I137" s="40" t="s">
        <v>3941</v>
      </c>
    </row>
    <row r="138" ht="22.5" customHeight="1">
      <c r="A138" s="39" t="s">
        <v>9543</v>
      </c>
      <c r="B138" s="40" t="s">
        <v>1648</v>
      </c>
      <c r="C138" s="40" t="s">
        <v>3945</v>
      </c>
      <c r="D138" s="41" t="s">
        <v>3946</v>
      </c>
      <c r="E138" s="39" t="s">
        <v>3947</v>
      </c>
      <c r="F138" s="40" t="s">
        <v>282</v>
      </c>
      <c r="G138" s="39" t="str">
        <f t="array" ref="G138">XLOOKUP(E138,FullStudentList!C:C,FullStudentList!D:D)</f>
        <v>Iaggarwal_be25@thapar.edu</v>
      </c>
      <c r="H138" s="40">
        <f t="array" ref="H138">XLOOKUP(E138,FullStudentList!C:C,FullStudentList!G:G)</f>
        <v>9988258399</v>
      </c>
      <c r="I138" s="40" t="s">
        <v>3945</v>
      </c>
    </row>
    <row r="139" ht="22.5" customHeight="1">
      <c r="A139" s="39" t="s">
        <v>9553</v>
      </c>
      <c r="B139" s="40" t="s">
        <v>1675</v>
      </c>
      <c r="C139" s="40" t="s">
        <v>3949</v>
      </c>
      <c r="D139" s="41" t="s">
        <v>2889</v>
      </c>
      <c r="E139" s="39" t="s">
        <v>2895</v>
      </c>
      <c r="F139" s="40" t="s">
        <v>282</v>
      </c>
      <c r="G139" s="39" t="str">
        <f t="array" ref="G139">XLOOKUP(E139,FullStudentList!C:C,FullStudentList!D:D)</f>
        <v>arnav.officialmail.in@gmail.com</v>
      </c>
      <c r="H139" s="40">
        <f t="array" ref="H139">XLOOKUP(E139,FullStudentList!C:C,FullStudentList!G:G)</f>
        <v>7657857127</v>
      </c>
      <c r="I139" s="40" t="s">
        <v>3949</v>
      </c>
    </row>
    <row r="140" ht="22.5" customHeight="1">
      <c r="A140" s="39" t="s">
        <v>9561</v>
      </c>
      <c r="B140" s="40" t="s">
        <v>213</v>
      </c>
      <c r="C140" s="40" t="s">
        <v>5113</v>
      </c>
      <c r="D140" s="41" t="s">
        <v>5114</v>
      </c>
      <c r="E140" s="39" t="s">
        <v>2199</v>
      </c>
      <c r="F140" s="40" t="s">
        <v>219</v>
      </c>
      <c r="G140" s="39" t="str">
        <f t="array" ref="G140">XLOOKUP(E140,FullStudentList!C:C,FullStudentList!D:D)</f>
        <v>mrabhijaysingh77@gmail.com</v>
      </c>
      <c r="H140" s="40">
        <f t="array" ref="H140">XLOOKUP(E140,FullStudentList!C:C,FullStudentList!G:G)</f>
        <v>7042106267</v>
      </c>
      <c r="I140" s="40" t="s">
        <v>5113</v>
      </c>
    </row>
    <row r="141" ht="22.5" customHeight="1">
      <c r="A141" s="39" t="s">
        <v>9575</v>
      </c>
      <c r="B141" s="40" t="s">
        <v>582</v>
      </c>
      <c r="C141" s="40" t="s">
        <v>5116</v>
      </c>
      <c r="D141" s="41" t="s">
        <v>5117</v>
      </c>
      <c r="E141" s="39" t="s">
        <v>2219</v>
      </c>
      <c r="F141" s="40" t="s">
        <v>219</v>
      </c>
      <c r="G141" s="39" t="str">
        <f t="array" ref="G141">XLOOKUP(E141,FullStudentList!C:C,FullStudentList!D:D)</f>
        <v>Vdhaka058@gmail.com</v>
      </c>
      <c r="H141" s="40">
        <f t="array" ref="H141">XLOOKUP(E141,FullStudentList!C:C,FullStudentList!G:G)</f>
        <v>9509877538</v>
      </c>
      <c r="I141" s="40" t="s">
        <v>5116</v>
      </c>
    </row>
    <row r="142" ht="22.5" customHeight="1">
      <c r="A142" s="39" t="s">
        <v>9586</v>
      </c>
      <c r="B142" s="40" t="s">
        <v>593</v>
      </c>
      <c r="C142" s="40" t="s">
        <v>5118</v>
      </c>
      <c r="D142" s="41" t="s">
        <v>5119</v>
      </c>
      <c r="E142" s="39" t="s">
        <v>2226</v>
      </c>
      <c r="F142" s="40" t="s">
        <v>219</v>
      </c>
      <c r="G142" s="39" t="str">
        <f t="array" ref="G142">XLOOKUP(E142,FullStudentList!C:C,FullStudentList!D:D)</f>
        <v>5301487kishlaysinha@gmail.com</v>
      </c>
      <c r="H142" s="40">
        <f t="array" ref="H142">XLOOKUP(E142,FullStudentList!C:C,FullStudentList!G:G)</f>
        <v>7970678997</v>
      </c>
      <c r="I142" s="40" t="s">
        <v>5118</v>
      </c>
    </row>
    <row r="143" ht="22.5" customHeight="1">
      <c r="A143" s="39" t="s">
        <v>9597</v>
      </c>
      <c r="B143" s="40" t="s">
        <v>602</v>
      </c>
      <c r="C143" s="40" t="s">
        <v>5120</v>
      </c>
      <c r="D143" s="41" t="s">
        <v>5121</v>
      </c>
      <c r="E143" s="39" t="s">
        <v>2232</v>
      </c>
      <c r="F143" s="40" t="s">
        <v>219</v>
      </c>
      <c r="G143" s="39" t="str">
        <f t="array" ref="G143">XLOOKUP(E143,FullStudentList!C:C,FullStudentList!D:D)</f>
        <v>sukhdevkhosa123@gmail.com</v>
      </c>
      <c r="H143" s="40">
        <f t="array" ref="H143">XLOOKUP(E143,FullStudentList!C:C,FullStudentList!G:G)</f>
        <v>9876075970</v>
      </c>
      <c r="I143" s="40" t="s">
        <v>5120</v>
      </c>
    </row>
    <row r="144" ht="22.5" customHeight="1">
      <c r="A144" s="39" t="s">
        <v>9604</v>
      </c>
      <c r="B144" s="40" t="s">
        <v>631</v>
      </c>
      <c r="C144" s="40" t="s">
        <v>5122</v>
      </c>
      <c r="D144" s="41" t="s">
        <v>5123</v>
      </c>
      <c r="E144" s="39" t="s">
        <v>2250</v>
      </c>
      <c r="F144" s="40" t="s">
        <v>219</v>
      </c>
      <c r="G144" s="39" t="str">
        <f t="array" ref="G144">XLOOKUP(E144,FullStudentList!C:C,FullStudentList!D:D)</f>
        <v>#N/A</v>
      </c>
      <c r="H144" s="40" t="str">
        <f t="array" ref="H144">XLOOKUP(E144,FullStudentList!C:C,FullStudentList!G:G)</f>
        <v>#N/A</v>
      </c>
      <c r="I144" s="40" t="s">
        <v>5122</v>
      </c>
    </row>
    <row r="145" ht="22.5" customHeight="1">
      <c r="A145" s="39" t="s">
        <v>9613</v>
      </c>
      <c r="B145" s="40" t="s">
        <v>640</v>
      </c>
      <c r="C145" s="40" t="s">
        <v>5125</v>
      </c>
      <c r="D145" s="41" t="s">
        <v>5126</v>
      </c>
      <c r="E145" s="39" t="s">
        <v>2256</v>
      </c>
      <c r="F145" s="40" t="s">
        <v>219</v>
      </c>
      <c r="G145" s="39" t="str">
        <f t="array" ref="G145">XLOOKUP(E145,FullStudentList!C:C,FullStudentList!D:D)</f>
        <v>parpreet08@gmail.com</v>
      </c>
      <c r="H145" s="40">
        <f t="array" ref="H145">XLOOKUP(E145,FullStudentList!C:C,FullStudentList!G:G)</f>
        <v>9781200057</v>
      </c>
      <c r="I145" s="40" t="s">
        <v>5125</v>
      </c>
    </row>
    <row r="146" ht="22.5" customHeight="1">
      <c r="A146" s="39" t="s">
        <v>9622</v>
      </c>
      <c r="B146" s="40" t="s">
        <v>651</v>
      </c>
      <c r="C146" s="40" t="s">
        <v>5127</v>
      </c>
      <c r="D146" s="41" t="s">
        <v>3588</v>
      </c>
      <c r="E146" s="39" t="s">
        <v>2262</v>
      </c>
      <c r="F146" s="40" t="s">
        <v>219</v>
      </c>
      <c r="G146" s="39" t="str">
        <f t="array" ref="G146">XLOOKUP(E146,FullStudentList!C:C,FullStudentList!D:D)</f>
        <v>akrai2409@gmail.com</v>
      </c>
      <c r="H146" s="40">
        <f t="array" ref="H146">XLOOKUP(E146,FullStudentList!C:C,FullStudentList!G:G)</f>
        <v>7607255909</v>
      </c>
      <c r="I146" s="40" t="s">
        <v>5127</v>
      </c>
    </row>
    <row r="147" ht="22.5" customHeight="1">
      <c r="A147" s="39" t="s">
        <v>9627</v>
      </c>
      <c r="B147" s="40" t="s">
        <v>659</v>
      </c>
      <c r="C147" s="40" t="s">
        <v>5128</v>
      </c>
      <c r="D147" s="41" t="s">
        <v>5129</v>
      </c>
      <c r="E147" s="39" t="s">
        <v>2267</v>
      </c>
      <c r="F147" s="40" t="s">
        <v>219</v>
      </c>
      <c r="G147" s="39" t="str">
        <f t="array" ref="G147">XLOOKUP(E147,FullStudentList!C:C,FullStudentList!D:D)</f>
        <v>rishabhbansal0907@gmail.com</v>
      </c>
      <c r="H147" s="40">
        <f t="array" ref="H147">XLOOKUP(E147,FullStudentList!C:C,FullStudentList!G:G)</f>
        <v>8360372327</v>
      </c>
      <c r="I147" s="40" t="s">
        <v>5128</v>
      </c>
    </row>
    <row r="148" ht="22.5" customHeight="1">
      <c r="A148" s="39" t="s">
        <v>9635</v>
      </c>
      <c r="B148" s="40" t="s">
        <v>665</v>
      </c>
      <c r="C148" s="40" t="s">
        <v>5130</v>
      </c>
      <c r="D148" s="41" t="s">
        <v>5131</v>
      </c>
      <c r="E148" s="39" t="s">
        <v>2272</v>
      </c>
      <c r="F148" s="40" t="s">
        <v>219</v>
      </c>
      <c r="G148" s="39" t="str">
        <f t="array" ref="G148">XLOOKUP(E148,FullStudentList!C:C,FullStudentList!D:D)</f>
        <v>meheranshvaish@gmail.com</v>
      </c>
      <c r="H148" s="40">
        <f t="array" ref="H148">XLOOKUP(E148,FullStudentList!C:C,FullStudentList!G:G)</f>
        <v>8279472567</v>
      </c>
      <c r="I148" s="40" t="s">
        <v>5130</v>
      </c>
    </row>
    <row r="149" ht="22.5" customHeight="1">
      <c r="A149" s="39" t="s">
        <v>9644</v>
      </c>
      <c r="B149" s="40" t="s">
        <v>677</v>
      </c>
      <c r="C149" s="40" t="s">
        <v>5133</v>
      </c>
      <c r="D149" s="41" t="s">
        <v>4613</v>
      </c>
      <c r="E149" s="39" t="s">
        <v>2276</v>
      </c>
      <c r="F149" s="40" t="s">
        <v>219</v>
      </c>
      <c r="G149" s="39" t="str">
        <f t="array" ref="G149">XLOOKUP(E149,FullStudentList!C:C,FullStudentList!D:D)</f>
        <v>araj38467@gmail.com</v>
      </c>
      <c r="H149" s="40">
        <f t="array" ref="H149">XLOOKUP(E149,FullStudentList!C:C,FullStudentList!G:G)</f>
        <v>8709655905</v>
      </c>
      <c r="I149" s="40" t="s">
        <v>5133</v>
      </c>
    </row>
    <row r="150" ht="22.5" customHeight="1">
      <c r="A150" s="39" t="s">
        <v>9653</v>
      </c>
      <c r="B150" s="40" t="s">
        <v>687</v>
      </c>
      <c r="C150" s="40" t="s">
        <v>5135</v>
      </c>
      <c r="D150" s="41" t="s">
        <v>5136</v>
      </c>
      <c r="E150" s="39" t="s">
        <v>2282</v>
      </c>
      <c r="F150" s="40" t="s">
        <v>219</v>
      </c>
      <c r="G150" s="39" t="str">
        <f t="array" ref="G150">XLOOKUP(E150,FullStudentList!C:C,FullStudentList!D:D)</f>
        <v>Gautam.girotra2020@gmail.com</v>
      </c>
      <c r="H150" s="40">
        <f t="array" ref="H150">XLOOKUP(E150,FullStudentList!C:C,FullStudentList!G:G)</f>
        <v>7506081460</v>
      </c>
      <c r="I150" s="40" t="s">
        <v>5135</v>
      </c>
    </row>
    <row r="151" ht="22.5" customHeight="1">
      <c r="A151" s="39" t="s">
        <v>9662</v>
      </c>
      <c r="B151" s="40" t="s">
        <v>697</v>
      </c>
      <c r="C151" s="40" t="s">
        <v>5137</v>
      </c>
      <c r="D151" s="41" t="s">
        <v>3794</v>
      </c>
      <c r="E151" s="39" t="s">
        <v>2287</v>
      </c>
      <c r="F151" s="40" t="s">
        <v>219</v>
      </c>
      <c r="G151" s="39" t="str">
        <f t="array" ref="G151">XLOOKUP(E151,FullStudentList!C:C,FullStudentList!D:D)</f>
        <v>arjun2607ms@gmail.com</v>
      </c>
      <c r="H151" s="40">
        <f t="array" ref="H151">XLOOKUP(E151,FullStudentList!C:C,FullStudentList!G:G)</f>
        <v>7838800697</v>
      </c>
      <c r="I151" s="40" t="s">
        <v>5137</v>
      </c>
    </row>
    <row r="152" ht="22.5" customHeight="1">
      <c r="A152" s="39" t="s">
        <v>9676</v>
      </c>
      <c r="B152" s="40" t="s">
        <v>708</v>
      </c>
      <c r="C152" s="40" t="s">
        <v>5138</v>
      </c>
      <c r="D152" s="41" t="s">
        <v>5139</v>
      </c>
      <c r="E152" s="39" t="s">
        <v>2293</v>
      </c>
      <c r="F152" s="40" t="s">
        <v>219</v>
      </c>
      <c r="G152" s="39" t="str">
        <f t="array" ref="G152">XLOOKUP(E152,FullStudentList!C:C,FullStudentList!D:D)</f>
        <v>gillharmandeepsingh1@gmail.com</v>
      </c>
      <c r="H152" s="40">
        <f t="array" ref="H152">XLOOKUP(E152,FullStudentList!C:C,FullStudentList!G:G)</f>
        <v>9855473736</v>
      </c>
      <c r="I152" s="40" t="s">
        <v>5138</v>
      </c>
    </row>
    <row r="153" ht="22.5" customHeight="1">
      <c r="A153" s="39" t="s">
        <v>9686</v>
      </c>
      <c r="B153" s="40" t="s">
        <v>718</v>
      </c>
      <c r="C153" s="40" t="s">
        <v>5141</v>
      </c>
      <c r="D153" s="41" t="s">
        <v>5142</v>
      </c>
      <c r="E153" s="39" t="s">
        <v>2300</v>
      </c>
      <c r="F153" s="40" t="s">
        <v>219</v>
      </c>
      <c r="G153" s="39" t="str">
        <f t="array" ref="G153">XLOOKUP(E153,FullStudentList!C:C,FullStudentList!D:D)</f>
        <v>rspandi724@gmail.com</v>
      </c>
      <c r="H153" s="40">
        <f t="array" ref="H153">XLOOKUP(E153,FullStudentList!C:C,FullStudentList!G:G)</f>
        <v>8699064741</v>
      </c>
      <c r="I153" s="40" t="s">
        <v>5141</v>
      </c>
    </row>
    <row r="154" ht="22.5" customHeight="1">
      <c r="A154" s="39" t="s">
        <v>9697</v>
      </c>
      <c r="B154" s="40" t="s">
        <v>735</v>
      </c>
      <c r="C154" s="40" t="s">
        <v>5144</v>
      </c>
      <c r="D154" s="41" t="s">
        <v>5145</v>
      </c>
      <c r="E154" s="39" t="s">
        <v>2305</v>
      </c>
      <c r="F154" s="40" t="s">
        <v>219</v>
      </c>
      <c r="G154" s="39" t="str">
        <f t="array" ref="G154">XLOOKUP(E154,FullStudentList!C:C,FullStudentList!D:D)</f>
        <v>dhruvbansal1432@gmail.com</v>
      </c>
      <c r="H154" s="40">
        <f t="array" ref="H154">XLOOKUP(E154,FullStudentList!C:C,FullStudentList!G:G)</f>
        <v>7901802432</v>
      </c>
      <c r="I154" s="40" t="s">
        <v>5144</v>
      </c>
    </row>
    <row r="155" ht="22.5" customHeight="1">
      <c r="A155" s="39" t="s">
        <v>9706</v>
      </c>
      <c r="B155" s="40" t="s">
        <v>748</v>
      </c>
      <c r="C155" s="40" t="s">
        <v>5146</v>
      </c>
      <c r="D155" s="41" t="s">
        <v>5147</v>
      </c>
      <c r="E155" s="39" t="s">
        <v>2313</v>
      </c>
      <c r="F155" s="40" t="s">
        <v>219</v>
      </c>
      <c r="G155" s="39" t="str">
        <f t="array" ref="G155">XLOOKUP(E155,FullStudentList!C:C,FullStudentList!D:D)</f>
        <v>Kgarg5_be25@thapar.edu</v>
      </c>
      <c r="H155" s="40">
        <f t="array" ref="H155">XLOOKUP(E155,FullStudentList!C:C,FullStudentList!G:G)</f>
        <v>6207238053</v>
      </c>
      <c r="I155" s="40" t="s">
        <v>5146</v>
      </c>
    </row>
    <row r="156" ht="22.5" customHeight="1">
      <c r="A156" s="39" t="s">
        <v>9714</v>
      </c>
      <c r="B156" s="40" t="s">
        <v>759</v>
      </c>
      <c r="C156" s="40" t="s">
        <v>5148</v>
      </c>
      <c r="D156" s="41" t="s">
        <v>5149</v>
      </c>
      <c r="E156" s="39" t="s">
        <v>2319</v>
      </c>
      <c r="F156" s="40" t="s">
        <v>219</v>
      </c>
      <c r="G156" s="39" t="str">
        <f t="array" ref="G156">XLOOKUP(E156,FullStudentList!C:C,FullStudentList!D:D)</f>
        <v>ulfatsinghh@gmail.com</v>
      </c>
      <c r="H156" s="40">
        <f t="array" ref="H156">XLOOKUP(E156,FullStudentList!C:C,FullStudentList!G:G)</f>
        <v>7347503206</v>
      </c>
      <c r="I156" s="40" t="s">
        <v>5148</v>
      </c>
    </row>
    <row r="157" ht="22.5" customHeight="1">
      <c r="A157" s="39" t="s">
        <v>9728</v>
      </c>
      <c r="B157" s="40" t="s">
        <v>768</v>
      </c>
      <c r="C157" s="40" t="s">
        <v>5152</v>
      </c>
      <c r="D157" s="41" t="s">
        <v>5153</v>
      </c>
      <c r="E157" s="39" t="s">
        <v>2325</v>
      </c>
      <c r="F157" s="40" t="s">
        <v>219</v>
      </c>
      <c r="G157" s="39" t="str">
        <f t="array" ref="G157">XLOOKUP(E157,FullStudentList!C:C,FullStudentList!D:D)</f>
        <v>Sanvi.upadhyay2019@gmail.com</v>
      </c>
      <c r="H157" s="40">
        <f t="array" ref="H157">XLOOKUP(E157,FullStudentList!C:C,FullStudentList!G:G)</f>
        <v>9318426407</v>
      </c>
      <c r="I157" s="40" t="s">
        <v>5152</v>
      </c>
    </row>
    <row r="158" ht="22.5" customHeight="1">
      <c r="A158" s="39" t="s">
        <v>9742</v>
      </c>
      <c r="B158" s="40" t="s">
        <v>775</v>
      </c>
      <c r="C158" s="40" t="s">
        <v>5156</v>
      </c>
      <c r="D158" s="41" t="s">
        <v>5158</v>
      </c>
      <c r="E158" s="39" t="s">
        <v>2330</v>
      </c>
      <c r="F158" s="40" t="s">
        <v>219</v>
      </c>
      <c r="G158" s="39" t="str">
        <f t="array" ref="G158">XLOOKUP(E158,FullStudentList!C:C,FullStudentList!D:D)</f>
        <v>#N/A</v>
      </c>
      <c r="H158" s="40" t="str">
        <f t="array" ref="H158">XLOOKUP(E158,FullStudentList!C:C,FullStudentList!G:G)</f>
        <v>#N/A</v>
      </c>
      <c r="I158" s="40" t="s">
        <v>5156</v>
      </c>
    </row>
    <row r="159" ht="22.5" customHeight="1">
      <c r="A159" s="39" t="s">
        <v>9751</v>
      </c>
      <c r="B159" s="40" t="s">
        <v>791</v>
      </c>
      <c r="C159" s="40" t="s">
        <v>5159</v>
      </c>
      <c r="D159" s="41" t="s">
        <v>5160</v>
      </c>
      <c r="E159" s="39" t="s">
        <v>2334</v>
      </c>
      <c r="F159" s="40" t="s">
        <v>219</v>
      </c>
      <c r="G159" s="39" t="str">
        <f t="array" ref="G159">XLOOKUP(E159,FullStudentList!C:C,FullStudentList!D:D)</f>
        <v>Radhabhaktt@gmail.com</v>
      </c>
      <c r="H159" s="40">
        <f t="array" ref="H159">XLOOKUP(E159,FullStudentList!C:C,FullStudentList!G:G)</f>
        <v>7589858543</v>
      </c>
      <c r="I159" s="40" t="s">
        <v>5159</v>
      </c>
    </row>
    <row r="160" ht="22.5" customHeight="1">
      <c r="A160" s="39" t="s">
        <v>9764</v>
      </c>
      <c r="B160" s="40" t="s">
        <v>799</v>
      </c>
      <c r="C160" s="40" t="s">
        <v>5161</v>
      </c>
      <c r="D160" s="41" t="s">
        <v>5162</v>
      </c>
      <c r="E160" s="39" t="s">
        <v>2339</v>
      </c>
      <c r="F160" s="40" t="s">
        <v>219</v>
      </c>
      <c r="G160" s="39" t="str">
        <f t="array" ref="G160">XLOOKUP(E160,FullStudentList!C:C,FullStudentList!D:D)</f>
        <v>sshriyan_be25@thapar.edu</v>
      </c>
      <c r="H160" s="40">
        <f t="array" ref="H160">XLOOKUP(E160,FullStudentList!C:C,FullStudentList!G:G)</f>
        <v>9818205918</v>
      </c>
      <c r="I160" s="40" t="s">
        <v>5161</v>
      </c>
    </row>
    <row r="161" ht="22.5" customHeight="1">
      <c r="A161" s="39" t="s">
        <v>9776</v>
      </c>
      <c r="B161" s="40" t="s">
        <v>812</v>
      </c>
      <c r="C161" s="40" t="s">
        <v>5165</v>
      </c>
      <c r="D161" s="41" t="s">
        <v>5166</v>
      </c>
      <c r="E161" s="39" t="s">
        <v>2347</v>
      </c>
      <c r="F161" s="40" t="s">
        <v>219</v>
      </c>
      <c r="G161" s="39" t="str">
        <f t="array" ref="G161">XLOOKUP(E161,FullStudentList!C:C,FullStudentList!D:D)</f>
        <v>#N/A</v>
      </c>
      <c r="H161" s="40" t="str">
        <f t="array" ref="H161">XLOOKUP(E161,FullStudentList!C:C,FullStudentList!G:G)</f>
        <v>#N/A</v>
      </c>
      <c r="I161" s="40" t="s">
        <v>5165</v>
      </c>
    </row>
    <row r="162" ht="22.5" customHeight="1">
      <c r="A162" s="39" t="s">
        <v>9786</v>
      </c>
      <c r="B162" s="40" t="s">
        <v>818</v>
      </c>
      <c r="C162" s="40" t="s">
        <v>5168</v>
      </c>
      <c r="D162" s="41" t="s">
        <v>5169</v>
      </c>
      <c r="E162" s="39" t="s">
        <v>2351</v>
      </c>
      <c r="F162" s="40" t="s">
        <v>184</v>
      </c>
      <c r="G162" s="39" t="str">
        <f t="array" ref="G162">XLOOKUP(E162,FullStudentList!C:C,FullStudentList!D:D)</f>
        <v>adviksingh1705@gmail.com</v>
      </c>
      <c r="H162" s="40">
        <f t="array" ref="H162">XLOOKUP(E162,FullStudentList!C:C,FullStudentList!G:G)</f>
        <v>7901782044</v>
      </c>
      <c r="I162" s="40" t="s">
        <v>5168</v>
      </c>
    </row>
    <row r="163" ht="22.5" customHeight="1">
      <c r="A163" s="39" t="s">
        <v>9796</v>
      </c>
      <c r="B163" s="40" t="s">
        <v>824</v>
      </c>
      <c r="C163" s="40" t="s">
        <v>5170</v>
      </c>
      <c r="D163" s="41" t="s">
        <v>5171</v>
      </c>
      <c r="E163" s="39" t="s">
        <v>2355</v>
      </c>
      <c r="F163" s="40" t="s">
        <v>184</v>
      </c>
      <c r="G163" s="39" t="str">
        <f t="array" ref="G163">XLOOKUP(E163,FullStudentList!C:C,FullStudentList!D:D)</f>
        <v>Banisindhi2412@gmail.com</v>
      </c>
      <c r="H163" s="40">
        <f t="array" ref="H163">XLOOKUP(E163,FullStudentList!C:C,FullStudentList!G:G)</f>
        <v>7719677310</v>
      </c>
      <c r="I163" s="40" t="s">
        <v>5170</v>
      </c>
    </row>
    <row r="164" ht="22.5" customHeight="1">
      <c r="A164" s="39" t="s">
        <v>9806</v>
      </c>
      <c r="B164" s="40" t="s">
        <v>834</v>
      </c>
      <c r="C164" s="40" t="s">
        <v>5172</v>
      </c>
      <c r="D164" s="41" t="s">
        <v>5173</v>
      </c>
      <c r="E164" s="39" t="s">
        <v>2360</v>
      </c>
      <c r="F164" s="40" t="s">
        <v>184</v>
      </c>
      <c r="G164" s="39" t="str">
        <f t="array" ref="G164">XLOOKUP(E164,FullStudentList!C:C,FullStudentList!D:D)</f>
        <v>vermasameer503@gmail.com</v>
      </c>
      <c r="H164" s="40">
        <f t="array" ref="H164">XLOOKUP(E164,FullStudentList!C:C,FullStudentList!G:G)</f>
        <v>8810911842</v>
      </c>
      <c r="I164" s="40" t="s">
        <v>5172</v>
      </c>
    </row>
    <row r="165" ht="22.5" customHeight="1">
      <c r="A165" s="39" t="s">
        <v>9814</v>
      </c>
      <c r="B165" s="40" t="s">
        <v>845</v>
      </c>
      <c r="C165" s="40" t="s">
        <v>5176</v>
      </c>
      <c r="D165" s="41" t="s">
        <v>5177</v>
      </c>
      <c r="E165" s="39" t="s">
        <v>2366</v>
      </c>
      <c r="F165" s="40" t="s">
        <v>184</v>
      </c>
      <c r="G165" s="39" t="str">
        <f t="array" ref="G165">XLOOKUP(E165,FullStudentList!C:C,FullStudentList!D:D)</f>
        <v>pranaymathur1607@gmail.com</v>
      </c>
      <c r="H165" s="40">
        <f t="array" ref="H165">XLOOKUP(E165,FullStudentList!C:C,FullStudentList!G:G)</f>
        <v>7878506910</v>
      </c>
      <c r="I165" s="40" t="s">
        <v>5176</v>
      </c>
    </row>
    <row r="166" ht="22.5" customHeight="1">
      <c r="A166" s="39" t="s">
        <v>9823</v>
      </c>
      <c r="B166" s="40" t="s">
        <v>853</v>
      </c>
      <c r="C166" s="40" t="s">
        <v>5180</v>
      </c>
      <c r="D166" s="41" t="s">
        <v>5181</v>
      </c>
      <c r="E166" s="39" t="s">
        <v>2373</v>
      </c>
      <c r="F166" s="40" t="s">
        <v>184</v>
      </c>
      <c r="G166" s="39" t="str">
        <f t="array" ref="G166">XLOOKUP(E166,FullStudentList!C:C,FullStudentList!D:D)</f>
        <v>namansingla699@gmail.com</v>
      </c>
      <c r="H166" s="40">
        <f t="array" ref="H166">XLOOKUP(E166,FullStudentList!C:C,FullStudentList!G:G)</f>
        <v>9653762000</v>
      </c>
      <c r="I166" s="40" t="s">
        <v>5180</v>
      </c>
    </row>
    <row r="167" ht="22.5" customHeight="1">
      <c r="A167" s="39" t="s">
        <v>9832</v>
      </c>
      <c r="B167" s="40" t="s">
        <v>866</v>
      </c>
      <c r="C167" s="40" t="s">
        <v>5182</v>
      </c>
      <c r="D167" s="41" t="s">
        <v>5183</v>
      </c>
      <c r="E167" s="39" t="s">
        <v>2379</v>
      </c>
      <c r="F167" s="40" t="s">
        <v>184</v>
      </c>
      <c r="G167" s="39" t="str">
        <f t="array" ref="G167">XLOOKUP(E167,FullStudentList!C:C,FullStudentList!D:D)</f>
        <v>utkarsh1262@gmail.com</v>
      </c>
      <c r="H167" s="40">
        <f t="array" ref="H167">XLOOKUP(E167,FullStudentList!C:C,FullStudentList!G:G)</f>
        <v>6280770245</v>
      </c>
      <c r="I167" s="40" t="s">
        <v>5182</v>
      </c>
    </row>
    <row r="168" ht="22.5" customHeight="1">
      <c r="A168" s="39" t="s">
        <v>9842</v>
      </c>
      <c r="B168" s="40" t="s">
        <v>875</v>
      </c>
      <c r="C168" s="40" t="s">
        <v>5184</v>
      </c>
      <c r="D168" s="41" t="s">
        <v>5185</v>
      </c>
      <c r="E168" s="39" t="s">
        <v>2385</v>
      </c>
      <c r="F168" s="40" t="s">
        <v>184</v>
      </c>
      <c r="G168" s="39" t="str">
        <f t="array" ref="G168">XLOOKUP(E168,FullStudentList!C:C,FullStudentList!D:D)</f>
        <v>hharshmitha_be25@thapar.edu</v>
      </c>
      <c r="H168" s="40">
        <f t="array" ref="H168">XLOOKUP(E168,FullStudentList!C:C,FullStudentList!G:G)</f>
        <v>8571923728</v>
      </c>
      <c r="I168" s="40" t="s">
        <v>5184</v>
      </c>
    </row>
    <row r="169" ht="22.5" customHeight="1">
      <c r="A169" s="39" t="s">
        <v>9849</v>
      </c>
      <c r="B169" s="40" t="s">
        <v>888</v>
      </c>
      <c r="C169" s="40" t="s">
        <v>5188</v>
      </c>
      <c r="D169" s="41" t="s">
        <v>4909</v>
      </c>
      <c r="E169" s="39" t="s">
        <v>2393</v>
      </c>
      <c r="F169" s="40" t="s">
        <v>184</v>
      </c>
      <c r="G169" s="39" t="str">
        <f t="array" ref="G169">XLOOKUP(E169,FullStudentList!C:C,FullStudentList!D:D)</f>
        <v>dipanmol534@gmail.com</v>
      </c>
      <c r="H169" s="40">
        <f t="array" ref="H169">XLOOKUP(E169,FullStudentList!C:C,FullStudentList!G:G)</f>
        <v>9170059170</v>
      </c>
      <c r="I169" s="40" t="s">
        <v>5188</v>
      </c>
    </row>
    <row r="170" ht="22.5" customHeight="1">
      <c r="A170" s="39" t="s">
        <v>9860</v>
      </c>
      <c r="B170" s="40" t="s">
        <v>900</v>
      </c>
      <c r="C170" s="40" t="s">
        <v>5191</v>
      </c>
      <c r="D170" s="41" t="s">
        <v>5192</v>
      </c>
      <c r="E170" s="39" t="s">
        <v>2397</v>
      </c>
      <c r="F170" s="40" t="s">
        <v>184</v>
      </c>
      <c r="G170" s="39" t="str">
        <f t="array" ref="G170">XLOOKUP(E170,FullStudentList!C:C,FullStudentList!D:D)</f>
        <v>#N/A</v>
      </c>
      <c r="H170" s="40" t="str">
        <f t="array" ref="H170">XLOOKUP(E170,FullStudentList!C:C,FullStudentList!G:G)</f>
        <v>#N/A</v>
      </c>
      <c r="I170" s="40" t="s">
        <v>5191</v>
      </c>
    </row>
    <row r="171" ht="22.5" customHeight="1">
      <c r="A171" s="39" t="s">
        <v>9869</v>
      </c>
      <c r="B171" s="40" t="s">
        <v>914</v>
      </c>
      <c r="C171" s="40" t="s">
        <v>5194</v>
      </c>
      <c r="D171" s="41" t="s">
        <v>5195</v>
      </c>
      <c r="E171" s="39" t="s">
        <v>2403</v>
      </c>
      <c r="F171" s="40" t="s">
        <v>184</v>
      </c>
      <c r="G171" s="39" t="str">
        <f t="array" ref="G171">XLOOKUP(E171,FullStudentList!C:C,FullStudentList!D:D)</f>
        <v>ytayal05@gmail.com</v>
      </c>
      <c r="H171" s="40">
        <f t="array" ref="H171">XLOOKUP(E171,FullStudentList!C:C,FullStudentList!G:G)</f>
        <v>8360111048</v>
      </c>
      <c r="I171" s="40" t="s">
        <v>5194</v>
      </c>
    </row>
    <row r="172" ht="22.5" customHeight="1">
      <c r="A172" s="39" t="s">
        <v>9883</v>
      </c>
      <c r="B172" s="40" t="s">
        <v>921</v>
      </c>
      <c r="C172" s="40" t="s">
        <v>5196</v>
      </c>
      <c r="D172" s="41" t="s">
        <v>5197</v>
      </c>
      <c r="E172" s="39" t="s">
        <v>2409</v>
      </c>
      <c r="F172" s="40" t="s">
        <v>184</v>
      </c>
      <c r="G172" s="39" t="str">
        <f t="array" ref="G172">XLOOKUP(E172,FullStudentList!C:C,FullStudentList!D:D)</f>
        <v>ykalra_be25@thapar.edu</v>
      </c>
      <c r="H172" s="40">
        <f t="array" ref="H172">XLOOKUP(E172,FullStudentList!C:C,FullStudentList!G:G)</f>
        <v>9872988643</v>
      </c>
      <c r="I172" s="40" t="s">
        <v>5196</v>
      </c>
    </row>
    <row r="173" ht="22.5" customHeight="1">
      <c r="A173" s="39" t="s">
        <v>9895</v>
      </c>
      <c r="B173" s="40" t="s">
        <v>929</v>
      </c>
      <c r="C173" s="40" t="s">
        <v>5199</v>
      </c>
      <c r="D173" s="41" t="s">
        <v>5200</v>
      </c>
      <c r="E173" s="39" t="s">
        <v>2413</v>
      </c>
      <c r="F173" s="40" t="s">
        <v>184</v>
      </c>
      <c r="G173" s="39" t="str">
        <f t="array" ref="G173">XLOOKUP(E173,FullStudentList!C:C,FullStudentList!D:D)</f>
        <v>Ksyaksh@gmail.com</v>
      </c>
      <c r="H173" s="40">
        <f t="array" ref="H173">XLOOKUP(E173,FullStudentList!C:C,FullStudentList!G:G)</f>
        <v>9315790903</v>
      </c>
      <c r="I173" s="40" t="s">
        <v>5199</v>
      </c>
    </row>
    <row r="174" ht="22.5" customHeight="1">
      <c r="A174" s="39" t="s">
        <v>9904</v>
      </c>
      <c r="B174" s="40" t="s">
        <v>939</v>
      </c>
      <c r="C174" s="40" t="s">
        <v>5201</v>
      </c>
      <c r="D174" s="41" t="s">
        <v>172</v>
      </c>
      <c r="E174" s="39" t="s">
        <v>178</v>
      </c>
      <c r="F174" s="40" t="s">
        <v>184</v>
      </c>
      <c r="G174" s="39" t="str">
        <f t="array" ref="G174">XLOOKUP(E174,FullStudentList!C:C,FullStudentList!D:D)</f>
        <v>aaryanchhabra18@gmail.com</v>
      </c>
      <c r="H174" s="40">
        <f t="array" ref="H174">XLOOKUP(E174,FullStudentList!C:C,FullStudentList!G:G)</f>
        <v>8950392093</v>
      </c>
      <c r="I174" s="40" t="s">
        <v>5201</v>
      </c>
    </row>
    <row r="175" ht="22.5" customHeight="1">
      <c r="A175" s="39" t="s">
        <v>9910</v>
      </c>
      <c r="B175" s="40" t="s">
        <v>950</v>
      </c>
      <c r="C175" s="40" t="s">
        <v>5203</v>
      </c>
      <c r="D175" s="41" t="s">
        <v>5204</v>
      </c>
      <c r="E175" s="39" t="s">
        <v>2420</v>
      </c>
      <c r="F175" s="40" t="s">
        <v>184</v>
      </c>
      <c r="G175" s="39" t="str">
        <f t="array" ref="G175">XLOOKUP(E175,FullStudentList!C:C,FullStudentList!D:D)</f>
        <v>Gargb0621@gmail.com</v>
      </c>
      <c r="H175" s="40">
        <f t="array" ref="H175">XLOOKUP(E175,FullStudentList!C:C,FullStudentList!G:G)</f>
        <v>8054514987</v>
      </c>
      <c r="I175" s="40" t="s">
        <v>5203</v>
      </c>
    </row>
    <row r="176" ht="22.5" customHeight="1">
      <c r="A176" s="39" t="s">
        <v>9919</v>
      </c>
      <c r="B176" s="40" t="s">
        <v>959</v>
      </c>
      <c r="C176" s="40" t="s">
        <v>5205</v>
      </c>
      <c r="D176" s="41" t="s">
        <v>5206</v>
      </c>
      <c r="E176" s="39" t="s">
        <v>2424</v>
      </c>
      <c r="F176" s="40" t="s">
        <v>184</v>
      </c>
      <c r="G176" s="39" t="str">
        <f t="array" ref="G176">XLOOKUP(E176,FullStudentList!C:C,FullStudentList!D:D)</f>
        <v>magojiya007@gmail.com</v>
      </c>
      <c r="H176" s="40">
        <f t="array" ref="H176">XLOOKUP(E176,FullStudentList!C:C,FullStudentList!G:G)</f>
        <v>7814544795</v>
      </c>
      <c r="I176" s="40" t="s">
        <v>5205</v>
      </c>
    </row>
    <row r="177" ht="22.5" customHeight="1">
      <c r="A177" s="39" t="s">
        <v>9930</v>
      </c>
      <c r="B177" s="40" t="s">
        <v>969</v>
      </c>
      <c r="C177" s="40" t="s">
        <v>5209</v>
      </c>
      <c r="D177" s="41" t="s">
        <v>5210</v>
      </c>
      <c r="E177" s="39" t="s">
        <v>2431</v>
      </c>
      <c r="F177" s="40" t="s">
        <v>184</v>
      </c>
      <c r="G177" s="39" t="str">
        <f t="array" ref="G177">XLOOKUP(E177,FullStudentList!C:C,FullStudentList!D:D)</f>
        <v>vanshgarg2117@gmail.com</v>
      </c>
      <c r="H177" s="40">
        <f t="array" ref="H177">XLOOKUP(E177,FullStudentList!C:C,FullStudentList!G:G)</f>
        <v>9815959828</v>
      </c>
      <c r="I177" s="40" t="s">
        <v>5209</v>
      </c>
    </row>
    <row r="178" ht="22.5" customHeight="1">
      <c r="A178" s="39" t="s">
        <v>9941</v>
      </c>
      <c r="B178" s="40" t="s">
        <v>980</v>
      </c>
      <c r="C178" s="40" t="s">
        <v>5213</v>
      </c>
      <c r="D178" s="41" t="s">
        <v>5214</v>
      </c>
      <c r="E178" s="39" t="s">
        <v>2436</v>
      </c>
      <c r="F178" s="40" t="s">
        <v>184</v>
      </c>
      <c r="G178" s="39" t="str">
        <f t="array" ref="G178">XLOOKUP(E178,FullStudentList!C:C,FullStudentList!D:D)</f>
        <v>Sameersaini9674@gmail.com</v>
      </c>
      <c r="H178" s="40">
        <f t="array" ref="H178">XLOOKUP(E178,FullStudentList!C:C,FullStudentList!G:G)</f>
        <v>7380079444</v>
      </c>
      <c r="I178" s="40" t="s">
        <v>5213</v>
      </c>
    </row>
    <row r="179" ht="22.5" customHeight="1">
      <c r="A179" s="39" t="s">
        <v>9952</v>
      </c>
      <c r="B179" s="40" t="s">
        <v>987</v>
      </c>
      <c r="C179" s="40" t="s">
        <v>5215</v>
      </c>
      <c r="D179" s="41" t="s">
        <v>5216</v>
      </c>
      <c r="E179" s="39" t="s">
        <v>2442</v>
      </c>
      <c r="F179" s="40" t="s">
        <v>184</v>
      </c>
      <c r="G179" s="39" t="str">
        <f t="array" ref="G179">XLOOKUP(E179,FullStudentList!C:C,FullStudentList!D:D)</f>
        <v>#N/A</v>
      </c>
      <c r="H179" s="40" t="str">
        <f t="array" ref="H179">XLOOKUP(E179,FullStudentList!C:C,FullStudentList!G:G)</f>
        <v>#N/A</v>
      </c>
      <c r="I179" s="40" t="s">
        <v>5215</v>
      </c>
    </row>
    <row r="180" ht="22.5" customHeight="1">
      <c r="A180" s="39" t="s">
        <v>9961</v>
      </c>
      <c r="B180" s="40" t="s">
        <v>995</v>
      </c>
      <c r="C180" s="40" t="s">
        <v>5217</v>
      </c>
      <c r="D180" s="41" t="s">
        <v>2558</v>
      </c>
      <c r="E180" s="39" t="s">
        <v>2450</v>
      </c>
      <c r="F180" s="40" t="s">
        <v>184</v>
      </c>
      <c r="G180" s="39" t="str">
        <f t="array" ref="G180">XLOOKUP(E180,FullStudentList!C:C,FullStudentList!D:D)</f>
        <v>mr.goyal231206@gmail.com</v>
      </c>
      <c r="H180" s="40">
        <f t="array" ref="H180">XLOOKUP(E180,FullStudentList!C:C,FullStudentList!G:G)</f>
        <v>9844324000</v>
      </c>
      <c r="I180" s="40" t="s">
        <v>5217</v>
      </c>
    </row>
    <row r="181" ht="22.5" customHeight="1">
      <c r="A181" s="39" t="s">
        <v>9971</v>
      </c>
      <c r="B181" s="40" t="s">
        <v>1006</v>
      </c>
      <c r="C181" s="40" t="s">
        <v>5220</v>
      </c>
      <c r="D181" s="41" t="s">
        <v>5221</v>
      </c>
      <c r="E181" s="39" t="s">
        <v>2453</v>
      </c>
      <c r="F181" s="40" t="s">
        <v>184</v>
      </c>
      <c r="G181" s="39" t="str">
        <f t="array" ref="G181">XLOOKUP(E181,FullStudentList!C:C,FullStudentList!D:D)</f>
        <v>#N/A</v>
      </c>
      <c r="H181" s="40" t="str">
        <f t="array" ref="H181">XLOOKUP(E181,FullStudentList!C:C,FullStudentList!G:G)</f>
        <v>#N/A</v>
      </c>
      <c r="I181" s="40" t="s">
        <v>5220</v>
      </c>
    </row>
    <row r="182" ht="22.5" customHeight="1">
      <c r="A182" s="39" t="s">
        <v>9981</v>
      </c>
      <c r="B182" s="40" t="s">
        <v>1016</v>
      </c>
      <c r="C182" s="40" t="s">
        <v>5224</v>
      </c>
      <c r="D182" s="41" t="s">
        <v>5225</v>
      </c>
      <c r="E182" s="39" t="s">
        <v>2457</v>
      </c>
      <c r="F182" s="40" t="s">
        <v>184</v>
      </c>
      <c r="G182" s="39" t="str">
        <f t="array" ref="G182">XLOOKUP(E182,FullStudentList!C:C,FullStudentList!D:D)</f>
        <v>Dhruvdang2008.02.03@hmail.com</v>
      </c>
      <c r="H182" s="40">
        <f t="array" ref="H182">XLOOKUP(E182,FullStudentList!C:C,FullStudentList!G:G)</f>
        <v>7988729400</v>
      </c>
      <c r="I182" s="40" t="s">
        <v>5224</v>
      </c>
    </row>
    <row r="183" ht="22.5" customHeight="1">
      <c r="A183" s="39" t="s">
        <v>9990</v>
      </c>
      <c r="B183" s="40" t="s">
        <v>1024</v>
      </c>
      <c r="C183" s="40" t="s">
        <v>5226</v>
      </c>
      <c r="D183" s="41" t="s">
        <v>5227</v>
      </c>
      <c r="E183" s="39" t="s">
        <v>2463</v>
      </c>
      <c r="F183" s="40" t="s">
        <v>184</v>
      </c>
      <c r="G183" s="39" t="str">
        <f t="array" ref="G183">XLOOKUP(E183,FullStudentList!C:C,FullStudentList!D:D)</f>
        <v>#N/A</v>
      </c>
      <c r="H183" s="40" t="str">
        <f t="array" ref="H183">XLOOKUP(E183,FullStudentList!C:C,FullStudentList!G:G)</f>
        <v>#N/A</v>
      </c>
      <c r="I183" s="40" t="s">
        <v>5226</v>
      </c>
    </row>
    <row r="184" ht="22.5" customHeight="1">
      <c r="A184" s="39" t="s">
        <v>10003</v>
      </c>
      <c r="B184" s="40" t="s">
        <v>1032</v>
      </c>
      <c r="C184" s="40" t="s">
        <v>5228</v>
      </c>
      <c r="D184" s="41" t="s">
        <v>5230</v>
      </c>
      <c r="E184" s="39" t="s">
        <v>2468</v>
      </c>
      <c r="F184" s="40" t="s">
        <v>184</v>
      </c>
      <c r="G184" s="39" t="str">
        <f t="array" ref="G184">XLOOKUP(E184,FullStudentList!C:C,FullStudentList!D:D)</f>
        <v>mishthibansal671@gmail.com</v>
      </c>
      <c r="H184" s="40">
        <f t="array" ref="H184">XLOOKUP(E184,FullStudentList!C:C,FullStudentList!G:G)</f>
        <v>9915016893</v>
      </c>
      <c r="I184" s="40" t="s">
        <v>5228</v>
      </c>
    </row>
    <row r="185" ht="22.5" customHeight="1">
      <c r="A185" s="39" t="s">
        <v>10014</v>
      </c>
      <c r="B185" s="40" t="s">
        <v>1042</v>
      </c>
      <c r="C185" s="40" t="s">
        <v>5232</v>
      </c>
      <c r="D185" s="41" t="s">
        <v>5233</v>
      </c>
      <c r="E185" s="39" t="s">
        <v>2476</v>
      </c>
      <c r="F185" s="40" t="s">
        <v>184</v>
      </c>
      <c r="G185" s="39" t="str">
        <f t="array" ref="G185">XLOOKUP(E185,FullStudentList!C:C,FullStudentList!D:D)</f>
        <v>vedantedwardian@gmail.com</v>
      </c>
      <c r="H185" s="40">
        <f t="array" ref="H185">XLOOKUP(E185,FullStudentList!C:C,FullStudentList!G:G)</f>
        <v>8580777945</v>
      </c>
      <c r="I185" s="40" t="s">
        <v>5232</v>
      </c>
    </row>
    <row r="186" ht="22.5" customHeight="1">
      <c r="A186" s="39" t="s">
        <v>10021</v>
      </c>
      <c r="B186" s="40" t="s">
        <v>1048</v>
      </c>
      <c r="C186" s="40" t="s">
        <v>5236</v>
      </c>
      <c r="D186" s="41" t="s">
        <v>5237</v>
      </c>
      <c r="E186" s="39" t="s">
        <v>2482</v>
      </c>
      <c r="F186" s="40" t="s">
        <v>184</v>
      </c>
      <c r="G186" s="39" t="str">
        <f t="array" ref="G186">XLOOKUP(E186,FullStudentList!C:C,FullStudentList!D:D)</f>
        <v>Vibhumbahuguna123@gmail.com</v>
      </c>
      <c r="H186" s="40">
        <f t="array" ref="H186">XLOOKUP(E186,FullStudentList!C:C,FullStudentList!G:G)</f>
        <v>9654145346</v>
      </c>
      <c r="I186" s="40" t="s">
        <v>5236</v>
      </c>
    </row>
    <row r="187" ht="22.5" customHeight="1">
      <c r="A187" s="39" t="s">
        <v>10031</v>
      </c>
      <c r="B187" s="40" t="s">
        <v>1059</v>
      </c>
      <c r="C187" s="40" t="s">
        <v>5238</v>
      </c>
      <c r="D187" s="41" t="s">
        <v>5239</v>
      </c>
      <c r="E187" s="39" t="s">
        <v>2487</v>
      </c>
      <c r="F187" s="40" t="s">
        <v>184</v>
      </c>
      <c r="G187" s="39" t="str">
        <f t="array" ref="G187">XLOOKUP(E187,FullStudentList!C:C,FullStudentList!D:D)</f>
        <v>nitinjangir0077@gmail.com</v>
      </c>
      <c r="H187" s="40">
        <f t="array" ref="H187">XLOOKUP(E187,FullStudentList!C:C,FullStudentList!G:G)</f>
        <v>7878006095</v>
      </c>
      <c r="I187" s="40" t="s">
        <v>5238</v>
      </c>
    </row>
    <row r="188" ht="22.5" customHeight="1">
      <c r="A188" s="39" t="s">
        <v>10041</v>
      </c>
      <c r="B188" s="40" t="s">
        <v>1070</v>
      </c>
      <c r="C188" s="40" t="s">
        <v>5240</v>
      </c>
      <c r="D188" s="41" t="s">
        <v>5241</v>
      </c>
      <c r="E188" s="39" t="s">
        <v>2493</v>
      </c>
      <c r="F188" s="40" t="s">
        <v>1071</v>
      </c>
      <c r="G188" s="39" t="str">
        <f t="array" ref="G188">XLOOKUP(E188,FullStudentList!C:C,FullStudentList!D:D)</f>
        <v>ssingh1_be25@thapar.edu</v>
      </c>
      <c r="H188" s="40">
        <f t="array" ref="H188">XLOOKUP(E188,FullStudentList!C:C,FullStudentList!G:G)</f>
        <v>7837070085</v>
      </c>
      <c r="I188" s="40" t="s">
        <v>5240</v>
      </c>
    </row>
    <row r="189" ht="22.5" customHeight="1">
      <c r="A189" s="39" t="s">
        <v>10051</v>
      </c>
      <c r="B189" s="40" t="s">
        <v>1079</v>
      </c>
      <c r="C189" s="40" t="s">
        <v>5242</v>
      </c>
      <c r="D189" s="41" t="s">
        <v>5243</v>
      </c>
      <c r="E189" s="39" t="s">
        <v>2499</v>
      </c>
      <c r="F189" s="40" t="s">
        <v>1071</v>
      </c>
      <c r="G189" s="39" t="str">
        <f t="array" ref="G189">XLOOKUP(E189,FullStudentList!C:C,FullStudentList!D:D)</f>
        <v>vkhurana1_be25@thapar.edu</v>
      </c>
      <c r="H189" s="40">
        <f t="array" ref="H189">XLOOKUP(E189,FullStudentList!C:C,FullStudentList!G:G)</f>
        <v>8908280005</v>
      </c>
      <c r="I189" s="40" t="s">
        <v>5242</v>
      </c>
    </row>
    <row r="190" ht="22.5" customHeight="1">
      <c r="A190" s="39" t="s">
        <v>10059</v>
      </c>
      <c r="B190" s="40" t="s">
        <v>1091</v>
      </c>
      <c r="C190" s="40" t="s">
        <v>5244</v>
      </c>
      <c r="D190" s="41" t="s">
        <v>5245</v>
      </c>
      <c r="E190" s="39" t="s">
        <v>2505</v>
      </c>
      <c r="F190" s="40" t="s">
        <v>1071</v>
      </c>
      <c r="G190" s="39" t="str">
        <f t="array" ref="G190">XLOOKUP(E190,FullStudentList!C:C,FullStudentList!D:D)</f>
        <v>Kc8910821@gmail.com</v>
      </c>
      <c r="H190" s="40">
        <f t="array" ref="H190">XLOOKUP(E190,FullStudentList!C:C,FullStudentList!G:G)</f>
        <v>6284484086</v>
      </c>
      <c r="I190" s="40" t="s">
        <v>5244</v>
      </c>
    </row>
    <row r="191" ht="22.5" customHeight="1">
      <c r="A191" s="39" t="s">
        <v>10064</v>
      </c>
      <c r="B191" s="40" t="s">
        <v>1106</v>
      </c>
      <c r="C191" s="40" t="s">
        <v>5247</v>
      </c>
      <c r="D191" s="41" t="s">
        <v>2324</v>
      </c>
      <c r="E191" s="39" t="s">
        <v>2329</v>
      </c>
      <c r="F191" s="40" t="s">
        <v>1071</v>
      </c>
      <c r="G191" s="39" t="str">
        <f t="array" ref="G191">XLOOKUP(E191,FullStudentList!C:C,FullStudentList!D:D)</f>
        <v>agarg6_be25@thapar.edu</v>
      </c>
      <c r="H191" s="40">
        <f t="array" ref="H191">XLOOKUP(E191,FullStudentList!C:C,FullStudentList!G:G)</f>
        <v>7009030521</v>
      </c>
      <c r="I191" s="40" t="s">
        <v>5247</v>
      </c>
    </row>
    <row r="192" ht="22.5" customHeight="1">
      <c r="A192" s="39" t="s">
        <v>10072</v>
      </c>
      <c r="B192" s="40" t="s">
        <v>1116</v>
      </c>
      <c r="C192" s="40" t="s">
        <v>5249</v>
      </c>
      <c r="D192" s="41" t="s">
        <v>5250</v>
      </c>
      <c r="E192" s="39" t="s">
        <v>2521</v>
      </c>
      <c r="F192" s="40" t="s">
        <v>1071</v>
      </c>
      <c r="G192" s="39" t="str">
        <f t="array" ref="G192">XLOOKUP(E192,FullStudentList!C:C,FullStudentList!D:D)</f>
        <v>shavetadhawan36@gmail.com</v>
      </c>
      <c r="H192" s="40">
        <f t="array" ref="H192">XLOOKUP(E192,FullStudentList!C:C,FullStudentList!G:G)</f>
        <v>7889260600</v>
      </c>
      <c r="I192" s="40" t="s">
        <v>5249</v>
      </c>
    </row>
    <row r="193" ht="22.5" customHeight="1">
      <c r="A193" s="39" t="s">
        <v>10081</v>
      </c>
      <c r="B193" s="40" t="s">
        <v>1129</v>
      </c>
      <c r="C193" s="40" t="s">
        <v>5251</v>
      </c>
      <c r="D193" s="41" t="s">
        <v>5252</v>
      </c>
      <c r="E193" s="39" t="s">
        <v>2527</v>
      </c>
      <c r="F193" s="40" t="s">
        <v>1071</v>
      </c>
      <c r="G193" s="39" t="str">
        <f t="array" ref="G193">XLOOKUP(E193,FullStudentList!C:C,FullStudentList!D:D)</f>
        <v>vbhagal_be25@thapar.edu</v>
      </c>
      <c r="H193" s="40">
        <f t="array" ref="H193">XLOOKUP(E193,FullStudentList!C:C,FullStudentList!G:G)</f>
        <v>7973810427</v>
      </c>
      <c r="I193" s="40" t="s">
        <v>5251</v>
      </c>
    </row>
    <row r="194" ht="22.5" customHeight="1">
      <c r="A194" s="39" t="s">
        <v>10089</v>
      </c>
      <c r="B194" s="40" t="s">
        <v>1141</v>
      </c>
      <c r="C194" s="40" t="s">
        <v>5253</v>
      </c>
      <c r="D194" s="41" t="s">
        <v>5254</v>
      </c>
      <c r="E194" s="39" t="s">
        <v>2534</v>
      </c>
      <c r="F194" s="40" t="s">
        <v>1071</v>
      </c>
      <c r="G194" s="39" t="str">
        <f t="array" ref="G194">XLOOKUP(E194,FullStudentList!C:C,FullStudentList!D:D)</f>
        <v>dagarwal1_be25@thapar.edu</v>
      </c>
      <c r="H194" s="40">
        <f t="array" ref="H194">XLOOKUP(E194,FullStudentList!C:C,FullStudentList!G:G)</f>
        <v>8287066401</v>
      </c>
      <c r="I194" s="40" t="s">
        <v>5253</v>
      </c>
    </row>
    <row r="195" ht="22.5" customHeight="1">
      <c r="A195" s="39" t="s">
        <v>10097</v>
      </c>
      <c r="B195" s="40" t="s">
        <v>1151</v>
      </c>
      <c r="C195" s="40" t="s">
        <v>5256</v>
      </c>
      <c r="D195" s="41" t="s">
        <v>5257</v>
      </c>
      <c r="E195" s="39" t="s">
        <v>2545</v>
      </c>
      <c r="F195" s="40" t="s">
        <v>1071</v>
      </c>
      <c r="G195" s="39" t="str">
        <f t="array" ref="G195">XLOOKUP(E195,FullStudentList!C:C,FullStudentList!D:D)</f>
        <v>#N/A</v>
      </c>
      <c r="H195" s="40" t="str">
        <f t="array" ref="H195">XLOOKUP(E195,FullStudentList!C:C,FullStudentList!G:G)</f>
        <v>#N/A</v>
      </c>
      <c r="I195" s="40" t="s">
        <v>5256</v>
      </c>
    </row>
    <row r="196" ht="22.5" customHeight="1">
      <c r="A196" s="39" t="s">
        <v>10105</v>
      </c>
      <c r="B196" s="40" t="s">
        <v>1160</v>
      </c>
      <c r="C196" s="40" t="s">
        <v>5258</v>
      </c>
      <c r="D196" s="41" t="s">
        <v>5259</v>
      </c>
      <c r="E196" s="39" t="s">
        <v>2550</v>
      </c>
      <c r="F196" s="40" t="s">
        <v>1071</v>
      </c>
      <c r="G196" s="39" t="str">
        <f t="array" ref="G196">XLOOKUP(E196,FullStudentList!C:C,FullStudentList!D:D)</f>
        <v>rmanro_be25@thapar.edu</v>
      </c>
      <c r="H196" s="40">
        <f t="array" ref="H196">XLOOKUP(E196,FullStudentList!C:C,FullStudentList!G:G)</f>
        <v>9876878297</v>
      </c>
      <c r="I196" s="40" t="s">
        <v>5258</v>
      </c>
    </row>
    <row r="197" ht="22.5" customHeight="1">
      <c r="A197" s="39" t="s">
        <v>10113</v>
      </c>
      <c r="B197" s="40" t="s">
        <v>1171</v>
      </c>
      <c r="C197" s="40" t="s">
        <v>5261</v>
      </c>
      <c r="D197" s="41" t="s">
        <v>5262</v>
      </c>
      <c r="E197" s="39" t="s">
        <v>2555</v>
      </c>
      <c r="F197" s="40" t="s">
        <v>1071</v>
      </c>
      <c r="G197" s="39" t="str">
        <f t="array" ref="G197">XLOOKUP(E197,FullStudentList!C:C,FullStudentList!D:D)</f>
        <v>#N/A</v>
      </c>
      <c r="H197" s="40" t="str">
        <f t="array" ref="H197">XLOOKUP(E197,FullStudentList!C:C,FullStudentList!G:G)</f>
        <v>#N/A</v>
      </c>
      <c r="I197" s="40" t="s">
        <v>5261</v>
      </c>
    </row>
    <row r="198" ht="22.5" customHeight="1">
      <c r="A198" s="39" t="s">
        <v>10122</v>
      </c>
      <c r="B198" s="40" t="s">
        <v>1182</v>
      </c>
      <c r="C198" s="40" t="s">
        <v>5264</v>
      </c>
      <c r="D198" s="41" t="s">
        <v>5266</v>
      </c>
      <c r="E198" s="39" t="s">
        <v>2565</v>
      </c>
      <c r="F198" s="40" t="s">
        <v>1071</v>
      </c>
      <c r="G198" s="39" t="str">
        <f t="array" ref="G198">XLOOKUP(E198,FullStudentList!C:C,FullStudentList!D:D)</f>
        <v>hpriya_be25@thapar.edu</v>
      </c>
      <c r="H198" s="40">
        <f t="array" ref="H198">XLOOKUP(E198,FullStudentList!C:C,FullStudentList!G:G)</f>
        <v>7827172683</v>
      </c>
      <c r="I198" s="40" t="s">
        <v>5264</v>
      </c>
    </row>
    <row r="199" ht="22.5" customHeight="1">
      <c r="A199" s="39" t="s">
        <v>10132</v>
      </c>
      <c r="B199" s="40" t="s">
        <v>1192</v>
      </c>
      <c r="C199" s="40" t="s">
        <v>5268</v>
      </c>
      <c r="D199" s="41" t="s">
        <v>5269</v>
      </c>
      <c r="E199" s="39" t="s">
        <v>2571</v>
      </c>
      <c r="F199" s="40" t="s">
        <v>1071</v>
      </c>
      <c r="G199" s="39" t="str">
        <f t="array" ref="G199">XLOOKUP(E199,FullStudentList!C:C,FullStudentList!D:D)</f>
        <v>dakshc960@gmail.com</v>
      </c>
      <c r="H199" s="40">
        <f t="array" ref="H199">XLOOKUP(E199,FullStudentList!C:C,FullStudentList!G:G)</f>
        <v>7409740931</v>
      </c>
      <c r="I199" s="40" t="s">
        <v>5268</v>
      </c>
    </row>
    <row r="200" ht="22.5" customHeight="1">
      <c r="A200" s="39" t="s">
        <v>10141</v>
      </c>
      <c r="B200" s="40" t="s">
        <v>1203</v>
      </c>
      <c r="C200" s="40" t="s">
        <v>5270</v>
      </c>
      <c r="D200" s="41" t="s">
        <v>5271</v>
      </c>
      <c r="E200" s="39" t="s">
        <v>2579</v>
      </c>
      <c r="F200" s="40" t="s">
        <v>1071</v>
      </c>
      <c r="G200" s="39" t="str">
        <f t="array" ref="G200">XLOOKUP(E200,FullStudentList!C:C,FullStudentList!D:D)</f>
        <v>huppal_be25@thapar.edu</v>
      </c>
      <c r="H200" s="40" t="str">
        <f t="array" ref="H200">XLOOKUP(E200,FullStudentList!C:C,FullStudentList!G:G)</f>
        <v>9876967919, 9872460999</v>
      </c>
      <c r="I200" s="40" t="s">
        <v>5270</v>
      </c>
    </row>
    <row r="201" ht="22.5" customHeight="1">
      <c r="A201" s="39" t="s">
        <v>10150</v>
      </c>
      <c r="B201" s="40" t="s">
        <v>1211</v>
      </c>
      <c r="C201" s="40" t="s">
        <v>5272</v>
      </c>
      <c r="D201" s="41" t="s">
        <v>2469</v>
      </c>
      <c r="E201" s="39" t="s">
        <v>2475</v>
      </c>
      <c r="F201" s="40" t="s">
        <v>1071</v>
      </c>
      <c r="G201" s="39" t="str">
        <f t="array" ref="G201">XLOOKUP(E201,FullStudentList!C:C,FullStudentList!D:D)</f>
        <v>akshaygo848@gmail.com</v>
      </c>
      <c r="H201" s="40">
        <f t="array" ref="H201">XLOOKUP(E201,FullStudentList!C:C,FullStudentList!G:G)</f>
        <v>9839214640</v>
      </c>
      <c r="I201" s="40" t="s">
        <v>5272</v>
      </c>
    </row>
    <row r="202" ht="22.5" customHeight="1">
      <c r="A202" s="39" t="s">
        <v>10159</v>
      </c>
      <c r="B202" s="40" t="s">
        <v>1220</v>
      </c>
      <c r="C202" s="40" t="s">
        <v>5274</v>
      </c>
      <c r="D202" s="41" t="s">
        <v>5275</v>
      </c>
      <c r="E202" s="39" t="s">
        <v>2595</v>
      </c>
      <c r="F202" s="40" t="s">
        <v>1071</v>
      </c>
      <c r="G202" s="39" t="str">
        <f t="array" ref="G202">XLOOKUP(E202,FullStudentList!C:C,FullStudentList!D:D)</f>
        <v>asingh17_be25@thapar.edu</v>
      </c>
      <c r="H202" s="40">
        <f t="array" ref="H202">XLOOKUP(E202,FullStudentList!C:C,FullStudentList!G:G)</f>
        <v>9368312122</v>
      </c>
      <c r="I202" s="40" t="s">
        <v>5274</v>
      </c>
    </row>
    <row r="203" ht="22.5" customHeight="1">
      <c r="A203" s="39" t="s">
        <v>10174</v>
      </c>
      <c r="B203" s="40" t="s">
        <v>1237</v>
      </c>
      <c r="C203" s="40" t="s">
        <v>5277</v>
      </c>
      <c r="D203" s="41" t="s">
        <v>5278</v>
      </c>
      <c r="E203" s="39" t="s">
        <v>2604</v>
      </c>
      <c r="F203" s="40" t="s">
        <v>1071</v>
      </c>
      <c r="G203" s="39" t="str">
        <f t="array" ref="G203">XLOOKUP(E203,FullStudentList!C:C,FullStudentList!D:D)</f>
        <v>namankithania71@gmail.com</v>
      </c>
      <c r="H203" s="40">
        <f t="array" ref="H203">XLOOKUP(E203,FullStudentList!C:C,FullStudentList!G:G)</f>
        <v>8168265410</v>
      </c>
      <c r="I203" s="40" t="s">
        <v>5277</v>
      </c>
    </row>
    <row r="204" ht="22.5" customHeight="1">
      <c r="A204" s="39" t="s">
        <v>10193</v>
      </c>
      <c r="B204" s="40" t="s">
        <v>1249</v>
      </c>
      <c r="C204" s="40" t="s">
        <v>5279</v>
      </c>
      <c r="D204" s="41" t="s">
        <v>5280</v>
      </c>
      <c r="E204" s="39" t="s">
        <v>2612</v>
      </c>
      <c r="F204" s="40" t="s">
        <v>1071</v>
      </c>
      <c r="G204" s="39" t="str">
        <f t="array" ref="G204">XLOOKUP(E204,FullStudentList!C:C,FullStudentList!D:D)</f>
        <v>rjain3_be25@thapar.edu</v>
      </c>
      <c r="H204" s="40">
        <f t="array" ref="H204">XLOOKUP(E204,FullStudentList!C:C,FullStudentList!G:G)</f>
        <v>7340047317</v>
      </c>
      <c r="I204" s="40" t="s">
        <v>5279</v>
      </c>
    </row>
    <row r="205" ht="22.5" customHeight="1">
      <c r="A205" s="39" t="s">
        <v>10204</v>
      </c>
      <c r="B205" s="40" t="s">
        <v>1257</v>
      </c>
      <c r="C205" s="40" t="s">
        <v>5281</v>
      </c>
      <c r="D205" s="41" t="s">
        <v>5282</v>
      </c>
      <c r="E205" s="39" t="s">
        <v>2623</v>
      </c>
      <c r="F205" s="40" t="s">
        <v>1071</v>
      </c>
      <c r="G205" s="39" t="str">
        <f t="array" ref="G205">XLOOKUP(E205,FullStudentList!C:C,FullStudentList!D:D)</f>
        <v>vaanyac3108@gmail.con</v>
      </c>
      <c r="H205" s="40">
        <f t="array" ref="H205">XLOOKUP(E205,FullStudentList!C:C,FullStudentList!G:G)</f>
        <v>8800983307</v>
      </c>
      <c r="I205" s="40" t="s">
        <v>5281</v>
      </c>
    </row>
    <row r="206" ht="22.5" customHeight="1">
      <c r="A206" s="39" t="s">
        <v>10214</v>
      </c>
      <c r="B206" s="40" t="s">
        <v>1267</v>
      </c>
      <c r="C206" s="40" t="s">
        <v>5285</v>
      </c>
      <c r="D206" s="41" t="s">
        <v>5286</v>
      </c>
      <c r="E206" s="39" t="s">
        <v>2629</v>
      </c>
      <c r="F206" s="40" t="s">
        <v>1071</v>
      </c>
      <c r="G206" s="39" t="str">
        <f t="array" ref="G206">XLOOKUP(E206,FullStudentList!C:C,FullStudentList!D:D)</f>
        <v>hgoyal2_be25@thapar.edu</v>
      </c>
      <c r="H206" s="40">
        <f t="array" ref="H206">XLOOKUP(E206,FullStudentList!C:C,FullStudentList!G:G)</f>
        <v>7986796265</v>
      </c>
      <c r="I206" s="40" t="s">
        <v>5285</v>
      </c>
    </row>
    <row r="207" ht="22.5" customHeight="1">
      <c r="A207" s="39" t="s">
        <v>10223</v>
      </c>
      <c r="B207" s="40" t="s">
        <v>1276</v>
      </c>
      <c r="C207" s="40" t="s">
        <v>5289</v>
      </c>
      <c r="D207" s="41" t="s">
        <v>5290</v>
      </c>
      <c r="E207" s="39" t="s">
        <v>2635</v>
      </c>
      <c r="F207" s="40" t="s">
        <v>1071</v>
      </c>
      <c r="G207" s="39" t="str">
        <f t="array" ref="G207">XLOOKUP(E207,FullStudentList!C:C,FullStudentList!D:D)</f>
        <v>Ssharma3_be25@thapar.edu</v>
      </c>
      <c r="H207" s="40">
        <f t="array" ref="H207">XLOOKUP(E207,FullStudentList!C:C,FullStudentList!G:G)</f>
        <v>8968679587</v>
      </c>
      <c r="I207" s="40" t="s">
        <v>5289</v>
      </c>
    </row>
    <row r="208" ht="22.5" customHeight="1">
      <c r="A208" s="39" t="s">
        <v>10231</v>
      </c>
      <c r="B208" s="40" t="s">
        <v>1283</v>
      </c>
      <c r="C208" s="40" t="s">
        <v>5291</v>
      </c>
      <c r="D208" s="41" t="s">
        <v>5292</v>
      </c>
      <c r="E208" s="39" t="s">
        <v>2643</v>
      </c>
      <c r="F208" s="40" t="s">
        <v>1071</v>
      </c>
      <c r="G208" s="39" t="str">
        <f t="array" ref="G208">XLOOKUP(E208,FullStudentList!C:C,FullStudentList!D:D)</f>
        <v>lsingla2_be25@thapar.edu</v>
      </c>
      <c r="H208" s="40">
        <f t="array" ref="H208">XLOOKUP(E208,FullStudentList!C:C,FullStudentList!G:G)</f>
        <v>8685905000</v>
      </c>
      <c r="I208" s="40" t="s">
        <v>5291</v>
      </c>
    </row>
    <row r="209" ht="22.5" customHeight="1">
      <c r="A209" s="39" t="s">
        <v>10241</v>
      </c>
      <c r="B209" s="40" t="s">
        <v>1295</v>
      </c>
      <c r="C209" s="40" t="s">
        <v>5293</v>
      </c>
      <c r="D209" s="41" t="s">
        <v>5295</v>
      </c>
      <c r="E209" s="39" t="s">
        <v>2650</v>
      </c>
      <c r="F209" s="40" t="s">
        <v>1071</v>
      </c>
      <c r="G209" s="39" t="str">
        <f t="array" ref="G209">XLOOKUP(E209,FullStudentList!C:C,FullStudentList!D:D)</f>
        <v>namanbhutani88@gmail.com</v>
      </c>
      <c r="H209" s="40">
        <f t="array" ref="H209">XLOOKUP(E209,FullStudentList!C:C,FullStudentList!G:G)</f>
        <v>9710007250</v>
      </c>
      <c r="I209" s="40" t="s">
        <v>5293</v>
      </c>
    </row>
    <row r="210" ht="22.5" customHeight="1">
      <c r="A210" s="39" t="s">
        <v>10252</v>
      </c>
      <c r="B210" s="40" t="s">
        <v>1305</v>
      </c>
      <c r="C210" s="40" t="s">
        <v>5296</v>
      </c>
      <c r="D210" s="41" t="s">
        <v>5298</v>
      </c>
      <c r="E210" s="39" t="s">
        <v>2657</v>
      </c>
      <c r="F210" s="40" t="s">
        <v>1071</v>
      </c>
      <c r="G210" s="39" t="str">
        <f t="array" ref="G210">XLOOKUP(E210,FullStudentList!C:C,FullStudentList!D:D)</f>
        <v>bsharma1_be25@thapar.edu</v>
      </c>
      <c r="H210" s="40">
        <f t="array" ref="H210">XLOOKUP(E210,FullStudentList!C:C,FullStudentList!G:G)</f>
        <v>7973963747</v>
      </c>
      <c r="I210" s="40" t="s">
        <v>5296</v>
      </c>
    </row>
    <row r="211" ht="22.5" customHeight="1">
      <c r="A211" s="39" t="s">
        <v>10265</v>
      </c>
      <c r="B211" s="40" t="s">
        <v>1316</v>
      </c>
      <c r="C211" s="40" t="s">
        <v>5300</v>
      </c>
      <c r="D211" s="41" t="s">
        <v>5301</v>
      </c>
      <c r="E211" s="39" t="s">
        <v>2663</v>
      </c>
      <c r="F211" s="40" t="s">
        <v>1071</v>
      </c>
      <c r="G211" s="39" t="str">
        <f t="array" ref="G211">XLOOKUP(E211,FullStudentList!C:C,FullStudentList!D:D)</f>
        <v>Pkaur3_be25@thapar.edu</v>
      </c>
      <c r="H211" s="40">
        <f t="array" ref="H211">XLOOKUP(E211,FullStudentList!C:C,FullStudentList!G:G)</f>
        <v>6239275217</v>
      </c>
      <c r="I211" s="40" t="s">
        <v>5300</v>
      </c>
    </row>
    <row r="212" ht="22.5" customHeight="1">
      <c r="A212" s="39" t="s">
        <v>10282</v>
      </c>
      <c r="B212" s="40" t="s">
        <v>1325</v>
      </c>
      <c r="C212" s="40" t="s">
        <v>5303</v>
      </c>
      <c r="D212" s="41" t="s">
        <v>5304</v>
      </c>
      <c r="E212" s="39" t="s">
        <v>2210</v>
      </c>
      <c r="F212" s="40" t="s">
        <v>1071</v>
      </c>
      <c r="G212" s="39" t="str">
        <f t="array" ref="G212">XLOOKUP(E212,FullStudentList!C:C,FullStudentList!D:D)</f>
        <v>Agarg_be25@thapar.edu</v>
      </c>
      <c r="H212" s="40">
        <f t="array" ref="H212">XLOOKUP(E212,FullStudentList!C:C,FullStudentList!G:G)</f>
        <v>7888619024</v>
      </c>
      <c r="I212" s="40" t="s">
        <v>5303</v>
      </c>
    </row>
    <row r="213" ht="22.5" customHeight="1">
      <c r="A213" s="39" t="s">
        <v>10295</v>
      </c>
      <c r="B213" s="40" t="s">
        <v>1333</v>
      </c>
      <c r="C213" s="40" t="s">
        <v>5305</v>
      </c>
      <c r="D213" s="41" t="s">
        <v>5306</v>
      </c>
      <c r="E213" s="39" t="s">
        <v>2677</v>
      </c>
      <c r="F213" s="40" t="s">
        <v>1071</v>
      </c>
      <c r="G213" s="39" t="str">
        <f t="array" ref="G213">XLOOKUP(E213,FullStudentList!C:C,FullStudentList!D:D)</f>
        <v>Vpoonia_be25@thapar.edu</v>
      </c>
      <c r="H213" s="40">
        <f t="array" ref="H213">XLOOKUP(E213,FullStudentList!C:C,FullStudentList!G:G)</f>
        <v>8053954100</v>
      </c>
      <c r="I213" s="40" t="s">
        <v>5305</v>
      </c>
    </row>
    <row r="214" ht="22.5" customHeight="1">
      <c r="A214" s="39" t="s">
        <v>10305</v>
      </c>
      <c r="B214" s="40" t="s">
        <v>1344</v>
      </c>
      <c r="C214" s="40" t="s">
        <v>5308</v>
      </c>
      <c r="D214" s="41" t="s">
        <v>5309</v>
      </c>
      <c r="E214" s="39" t="s">
        <v>2683</v>
      </c>
      <c r="F214" s="40" t="s">
        <v>1071</v>
      </c>
      <c r="G214" s="39" t="str">
        <f t="array" ref="G214">XLOOKUP(E214,FullStudentList!C:C,FullStudentList!D:D)</f>
        <v>kanwardaksh07@gmail.com</v>
      </c>
      <c r="H214" s="40">
        <f t="array" ref="H214">XLOOKUP(E214,FullStudentList!C:C,FullStudentList!G:G)</f>
        <v>7986132499</v>
      </c>
      <c r="I214" s="40" t="s">
        <v>5308</v>
      </c>
    </row>
    <row r="215" ht="22.5" customHeight="1">
      <c r="A215" s="39" t="s">
        <v>10313</v>
      </c>
      <c r="B215" s="40" t="s">
        <v>5311</v>
      </c>
      <c r="C215" s="40" t="s">
        <v>5312</v>
      </c>
      <c r="D215" s="41" t="s">
        <v>5313</v>
      </c>
      <c r="E215" s="39" t="s">
        <v>2695</v>
      </c>
      <c r="F215" s="40" t="s">
        <v>1071</v>
      </c>
      <c r="G215" s="39" t="str">
        <f t="array" ref="G215">XLOOKUP(E215,FullStudentList!C:C,FullStudentList!D:D)</f>
        <v>Kangana7906@gmail.com</v>
      </c>
      <c r="H215" s="40">
        <f t="array" ref="H215">XLOOKUP(E215,FullStudentList!C:C,FullStudentList!G:G)</f>
        <v>8447644810</v>
      </c>
      <c r="I215" s="40" t="s">
        <v>5312</v>
      </c>
    </row>
    <row r="216" ht="22.5" customHeight="1">
      <c r="A216" s="39" t="s">
        <v>10323</v>
      </c>
      <c r="B216" s="40" t="s">
        <v>1359</v>
      </c>
      <c r="C216" s="40" t="s">
        <v>5314</v>
      </c>
      <c r="D216" s="41" t="s">
        <v>5315</v>
      </c>
      <c r="E216" s="39" t="s">
        <v>5316</v>
      </c>
      <c r="F216" s="40" t="s">
        <v>1071</v>
      </c>
      <c r="G216" s="39" t="str">
        <f t="array" ref="G216">XLOOKUP(E216,FullStudentList!C:C,FullStudentList!D:D)</f>
        <v>#N/A</v>
      </c>
      <c r="H216" s="40" t="str">
        <f t="array" ref="H216">XLOOKUP(E216,FullStudentList!C:C,FullStudentList!G:G)</f>
        <v>#N/A</v>
      </c>
      <c r="I216" s="40" t="s">
        <v>5314</v>
      </c>
    </row>
    <row r="217" ht="22.5" customHeight="1">
      <c r="A217" s="39" t="s">
        <v>10333</v>
      </c>
      <c r="B217" s="40" t="s">
        <v>1372</v>
      </c>
      <c r="C217" s="40" t="s">
        <v>5317</v>
      </c>
      <c r="D217" s="41" t="s">
        <v>5318</v>
      </c>
      <c r="E217" s="39" t="s">
        <v>2712</v>
      </c>
      <c r="F217" s="40" t="s">
        <v>1071</v>
      </c>
      <c r="G217" s="39" t="str">
        <f t="array" ref="G217">XLOOKUP(E217,FullStudentList!C:C,FullStudentList!D:D)</f>
        <v>#N/A</v>
      </c>
      <c r="H217" s="40" t="str">
        <f t="array" ref="H217">XLOOKUP(E217,FullStudentList!C:C,FullStudentList!G:G)</f>
        <v>#N/A</v>
      </c>
      <c r="I217" s="40" t="s">
        <v>5317</v>
      </c>
    </row>
    <row r="218" ht="22.5" customHeight="1">
      <c r="A218" s="39" t="s">
        <v>10342</v>
      </c>
      <c r="B218" s="40" t="s">
        <v>1378</v>
      </c>
      <c r="C218" s="40" t="s">
        <v>5319</v>
      </c>
      <c r="D218" s="41" t="s">
        <v>5320</v>
      </c>
      <c r="E218" s="39" t="s">
        <v>2721</v>
      </c>
      <c r="F218" s="40" t="s">
        <v>1379</v>
      </c>
      <c r="G218" s="39" t="str">
        <f t="array" ref="G218">XLOOKUP(E218,FullStudentList!C:C,FullStudentList!D:D)</f>
        <v>tanejasanvi07@gmail.com</v>
      </c>
      <c r="H218" s="40">
        <f t="array" ref="H218">XLOOKUP(E218,FullStudentList!C:C,FullStudentList!G:G)</f>
        <v>8448876744</v>
      </c>
      <c r="I218" s="40" t="s">
        <v>5319</v>
      </c>
    </row>
    <row r="219" ht="22.5" customHeight="1">
      <c r="A219" s="39" t="s">
        <v>10352</v>
      </c>
      <c r="B219" s="40" t="s">
        <v>1390</v>
      </c>
      <c r="C219" s="40" t="s">
        <v>5322</v>
      </c>
      <c r="D219" s="41" t="s">
        <v>5323</v>
      </c>
      <c r="E219" s="39" t="s">
        <v>2731</v>
      </c>
      <c r="F219" s="40" t="s">
        <v>1379</v>
      </c>
      <c r="G219" s="39" t="str">
        <f t="array" ref="G219">XLOOKUP(E219,FullStudentList!C:C,FullStudentList!D:D)</f>
        <v>kavisha.14pia@gmail.com</v>
      </c>
      <c r="H219" s="40">
        <f t="array" ref="H219">XLOOKUP(E219,FullStudentList!C:C,FullStudentList!G:G)</f>
        <v>9891714321</v>
      </c>
      <c r="I219" s="40" t="s">
        <v>5322</v>
      </c>
    </row>
    <row r="220" ht="22.5" customHeight="1">
      <c r="A220" s="39" t="s">
        <v>10362</v>
      </c>
      <c r="B220" s="40" t="s">
        <v>1400</v>
      </c>
      <c r="C220" s="40" t="s">
        <v>5324</v>
      </c>
      <c r="D220" s="41" t="s">
        <v>5325</v>
      </c>
      <c r="E220" s="39" t="s">
        <v>2743</v>
      </c>
      <c r="F220" s="40" t="s">
        <v>1379</v>
      </c>
      <c r="G220" s="39" t="str">
        <f t="array" ref="G220">XLOOKUP(E220,FullStudentList!C:C,FullStudentList!D:D)</f>
        <v>namangarg1611@gmail.com</v>
      </c>
      <c r="H220" s="40">
        <f t="array" ref="H220">XLOOKUP(E220,FullStudentList!C:C,FullStudentList!G:G)</f>
        <v>9873390894</v>
      </c>
      <c r="I220" s="40" t="s">
        <v>5324</v>
      </c>
    </row>
    <row r="221" ht="22.5" customHeight="1">
      <c r="A221" s="39" t="s">
        <v>10373</v>
      </c>
      <c r="B221" s="40" t="s">
        <v>1409</v>
      </c>
      <c r="C221" s="40" t="s">
        <v>5326</v>
      </c>
      <c r="D221" s="41" t="s">
        <v>5327</v>
      </c>
      <c r="E221" s="39" t="s">
        <v>2751</v>
      </c>
      <c r="F221" s="40" t="s">
        <v>1379</v>
      </c>
      <c r="G221" s="39" t="str">
        <f t="array" ref="G221">XLOOKUP(E221,FullStudentList!C:C,FullStudentList!D:D)</f>
        <v>Hardikkharbanda1803@gmail.con</v>
      </c>
      <c r="H221" s="40">
        <f t="array" ref="H221">XLOOKUP(E221,FullStudentList!C:C,FullStudentList!G:G)</f>
        <v>7302221579</v>
      </c>
      <c r="I221" s="40" t="s">
        <v>5326</v>
      </c>
    </row>
    <row r="222" ht="22.5" customHeight="1">
      <c r="A222" s="39" t="s">
        <v>10382</v>
      </c>
      <c r="B222" s="40" t="s">
        <v>1420</v>
      </c>
      <c r="C222" s="40" t="s">
        <v>5328</v>
      </c>
      <c r="D222" s="41" t="s">
        <v>5329</v>
      </c>
      <c r="E222" s="39" t="s">
        <v>2761</v>
      </c>
      <c r="F222" s="40" t="s">
        <v>1379</v>
      </c>
      <c r="G222" s="39" t="str">
        <f t="array" ref="G222">XLOOKUP(E222,FullStudentList!C:C,FullStudentList!D:D)</f>
        <v>jaideepsai2006@gmail.com</v>
      </c>
      <c r="H222" s="40">
        <f t="array" ref="H222">XLOOKUP(E222,FullStudentList!C:C,FullStudentList!G:G)</f>
        <v>7075764785</v>
      </c>
      <c r="I222" s="40" t="s">
        <v>5328</v>
      </c>
    </row>
    <row r="223" ht="22.5" customHeight="1">
      <c r="A223" s="39" t="s">
        <v>10391</v>
      </c>
      <c r="B223" s="40" t="s">
        <v>1429</v>
      </c>
      <c r="C223" s="40" t="s">
        <v>5331</v>
      </c>
      <c r="D223" s="41" t="s">
        <v>5332</v>
      </c>
      <c r="E223" s="39" t="s">
        <v>2766</v>
      </c>
      <c r="F223" s="40" t="s">
        <v>1379</v>
      </c>
      <c r="G223" s="39" t="str">
        <f t="array" ref="G223">XLOOKUP(E223,FullStudentList!C:C,FullStudentList!D:D)</f>
        <v>hammaddps90@gmail.com</v>
      </c>
      <c r="H223" s="40">
        <f t="array" ref="H223">XLOOKUP(E223,FullStudentList!C:C,FullStudentList!G:G)</f>
        <v>9877501823</v>
      </c>
      <c r="I223" s="40" t="s">
        <v>5331</v>
      </c>
    </row>
    <row r="224" ht="22.5" customHeight="1">
      <c r="A224" s="39" t="s">
        <v>10399</v>
      </c>
      <c r="B224" s="40" t="s">
        <v>1447</v>
      </c>
      <c r="C224" s="40" t="s">
        <v>5333</v>
      </c>
      <c r="D224" s="41" t="s">
        <v>5334</v>
      </c>
      <c r="E224" s="39" t="s">
        <v>2775</v>
      </c>
      <c r="F224" s="40" t="s">
        <v>1379</v>
      </c>
      <c r="G224" s="39" t="str">
        <f t="array" ref="G224">XLOOKUP(E224,FullStudentList!C:C,FullStudentList!D:D)</f>
        <v>ishitaarora1707@gmail.com</v>
      </c>
      <c r="H224" s="40">
        <f t="array" ref="H224">XLOOKUP(E224,FullStudentList!C:C,FullStudentList!G:G)</f>
        <v>9417447106</v>
      </c>
      <c r="I224" s="40" t="s">
        <v>5333</v>
      </c>
    </row>
    <row r="225" ht="22.5" customHeight="1">
      <c r="A225" s="39" t="s">
        <v>10407</v>
      </c>
      <c r="B225" s="40" t="s">
        <v>1461</v>
      </c>
      <c r="C225" s="40" t="s">
        <v>5336</v>
      </c>
      <c r="D225" s="41" t="s">
        <v>5337</v>
      </c>
      <c r="E225" s="39" t="s">
        <v>2782</v>
      </c>
      <c r="F225" s="40" t="s">
        <v>1379</v>
      </c>
      <c r="G225" s="39" t="str">
        <f t="array" ref="G225">XLOOKUP(E225,FullStudentList!C:C,FullStudentList!D:D)</f>
        <v>#N/A</v>
      </c>
      <c r="H225" s="40" t="str">
        <f t="array" ref="H225">XLOOKUP(E225,FullStudentList!C:C,FullStudentList!G:G)</f>
        <v>#N/A</v>
      </c>
      <c r="I225" s="40" t="s">
        <v>5336</v>
      </c>
    </row>
    <row r="226" ht="22.5" customHeight="1">
      <c r="A226" s="39" t="s">
        <v>10421</v>
      </c>
      <c r="B226" s="40" t="s">
        <v>1472</v>
      </c>
      <c r="C226" s="40" t="s">
        <v>5339</v>
      </c>
      <c r="D226" s="41" t="s">
        <v>5340</v>
      </c>
      <c r="E226" s="39" t="s">
        <v>2792</v>
      </c>
      <c r="F226" s="40" t="s">
        <v>1379</v>
      </c>
      <c r="G226" s="39" t="str">
        <f t="array" ref="G226">XLOOKUP(E226,FullStudentList!C:C,FullStudentList!D:D)</f>
        <v>akshsetti1@gmail.com</v>
      </c>
      <c r="H226" s="40">
        <f t="array" ref="H226">XLOOKUP(E226,FullStudentList!C:C,FullStudentList!G:G)</f>
        <v>9216200395</v>
      </c>
      <c r="I226" s="40" t="s">
        <v>5339</v>
      </c>
    </row>
    <row r="227" ht="22.5" customHeight="1">
      <c r="A227" s="39" t="s">
        <v>10433</v>
      </c>
      <c r="B227" s="40" t="s">
        <v>1481</v>
      </c>
      <c r="C227" s="40" t="s">
        <v>5341</v>
      </c>
      <c r="D227" s="41" t="s">
        <v>5342</v>
      </c>
      <c r="E227" s="39" t="s">
        <v>2800</v>
      </c>
      <c r="F227" s="40" t="s">
        <v>1379</v>
      </c>
      <c r="G227" s="39" t="str">
        <f t="array" ref="G227">XLOOKUP(E227,FullStudentList!C:C,FullStudentList!D:D)</f>
        <v>sejalnamya1618@gmail.com</v>
      </c>
      <c r="H227" s="40">
        <f t="array" ref="H227">XLOOKUP(E227,FullStudentList!C:C,FullStudentList!G:G)</f>
        <v>8847506683</v>
      </c>
      <c r="I227" s="40" t="s">
        <v>5341</v>
      </c>
    </row>
    <row r="228" ht="22.5" customHeight="1">
      <c r="A228" s="39" t="s">
        <v>10448</v>
      </c>
      <c r="B228" s="40" t="s">
        <v>1490</v>
      </c>
      <c r="C228" s="40" t="s">
        <v>5344</v>
      </c>
      <c r="D228" s="41" t="s">
        <v>5345</v>
      </c>
      <c r="E228" s="39" t="s">
        <v>2810</v>
      </c>
      <c r="F228" s="40" t="s">
        <v>1379</v>
      </c>
      <c r="G228" s="39" t="str">
        <f t="array" ref="G228">XLOOKUP(E228,FullStudentList!C:C,FullStudentList!D:D)</f>
        <v>jarora2_be25@thapar.edu</v>
      </c>
      <c r="H228" s="40">
        <f t="array" ref="H228">XLOOKUP(E228,FullStudentList!C:C,FullStudentList!G:G)</f>
        <v>8360706437</v>
      </c>
      <c r="I228" s="40" t="s">
        <v>5344</v>
      </c>
    </row>
    <row r="229" ht="22.5" customHeight="1">
      <c r="A229" s="39" t="s">
        <v>10460</v>
      </c>
      <c r="B229" s="40" t="s">
        <v>1500</v>
      </c>
      <c r="C229" s="40" t="s">
        <v>5347</v>
      </c>
      <c r="D229" s="41" t="s">
        <v>5348</v>
      </c>
      <c r="E229" s="39" t="s">
        <v>2821</v>
      </c>
      <c r="F229" s="40" t="s">
        <v>1379</v>
      </c>
      <c r="G229" s="39" t="str">
        <f t="array" ref="G229">XLOOKUP(E229,FullStudentList!C:C,FullStudentList!D:D)</f>
        <v>#N/A</v>
      </c>
      <c r="H229" s="40" t="str">
        <f t="array" ref="H229">XLOOKUP(E229,FullStudentList!C:C,FullStudentList!G:G)</f>
        <v>#N/A</v>
      </c>
      <c r="I229" s="40" t="s">
        <v>5347</v>
      </c>
    </row>
    <row r="230" ht="22.5" customHeight="1">
      <c r="A230" s="39" t="s">
        <v>10473</v>
      </c>
      <c r="B230" s="40" t="s">
        <v>1513</v>
      </c>
      <c r="C230" s="40" t="s">
        <v>5349</v>
      </c>
      <c r="D230" s="41" t="s">
        <v>5350</v>
      </c>
      <c r="E230" s="39" t="s">
        <v>2829</v>
      </c>
      <c r="F230" s="40" t="s">
        <v>1379</v>
      </c>
      <c r="G230" s="39" t="str">
        <f t="array" ref="G230">XLOOKUP(E230,FullStudentList!C:C,FullStudentList!D:D)</f>
        <v>kanikamahendru6@gmail.com</v>
      </c>
      <c r="H230" s="40">
        <f t="array" ref="H230">XLOOKUP(E230,FullStudentList!C:C,FullStudentList!G:G)</f>
        <v>7973421640</v>
      </c>
      <c r="I230" s="40" t="s">
        <v>5349</v>
      </c>
    </row>
    <row r="231" ht="22.5" customHeight="1">
      <c r="A231" s="39" t="s">
        <v>10485</v>
      </c>
      <c r="B231" s="40" t="s">
        <v>1521</v>
      </c>
      <c r="C231" s="40" t="s">
        <v>5352</v>
      </c>
      <c r="D231" s="41" t="s">
        <v>5353</v>
      </c>
      <c r="E231" s="39" t="s">
        <v>2836</v>
      </c>
      <c r="F231" s="40" t="s">
        <v>1379</v>
      </c>
      <c r="G231" s="39" t="str">
        <f t="array" ref="G231">XLOOKUP(E231,FullStudentList!C:C,FullStudentList!D:D)</f>
        <v>rajbantsingh03@gmail.com</v>
      </c>
      <c r="H231" s="40">
        <f t="array" ref="H231">XLOOKUP(E231,FullStudentList!C:C,FullStudentList!G:G)</f>
        <v>9530823991</v>
      </c>
      <c r="I231" s="40" t="s">
        <v>5352</v>
      </c>
    </row>
    <row r="232" ht="22.5" customHeight="1">
      <c r="A232" s="39" t="s">
        <v>10497</v>
      </c>
      <c r="B232" s="40" t="s">
        <v>1531</v>
      </c>
      <c r="C232" s="40" t="s">
        <v>5356</v>
      </c>
      <c r="D232" s="41" t="s">
        <v>5357</v>
      </c>
      <c r="E232" s="39" t="s">
        <v>2846</v>
      </c>
      <c r="F232" s="40" t="s">
        <v>1379</v>
      </c>
      <c r="G232" s="39" t="str">
        <f t="array" ref="G232">XLOOKUP(E232,FullStudentList!C:C,FullStudentList!D:D)</f>
        <v>#N/A</v>
      </c>
      <c r="H232" s="40" t="str">
        <f t="array" ref="H232">XLOOKUP(E232,FullStudentList!C:C,FullStudentList!G:G)</f>
        <v>#N/A</v>
      </c>
      <c r="I232" s="40" t="s">
        <v>5356</v>
      </c>
    </row>
    <row r="233" ht="22.5" customHeight="1">
      <c r="A233" s="39" t="s">
        <v>10509</v>
      </c>
      <c r="B233" s="40" t="s">
        <v>1538</v>
      </c>
      <c r="C233" s="40" t="s">
        <v>5359</v>
      </c>
      <c r="D233" s="41" t="s">
        <v>2975</v>
      </c>
      <c r="E233" s="39" t="s">
        <v>2850</v>
      </c>
      <c r="F233" s="40" t="s">
        <v>1379</v>
      </c>
      <c r="G233" s="39" t="str">
        <f t="array" ref="G233">XLOOKUP(E233,FullStudentList!C:C,FullStudentList!D:D)</f>
        <v>argupta355@gmail.com</v>
      </c>
      <c r="H233" s="40">
        <f t="array" ref="H233">XLOOKUP(E233,FullStudentList!C:C,FullStudentList!G:G)</f>
        <v>8360505875</v>
      </c>
      <c r="I233" s="40" t="s">
        <v>5359</v>
      </c>
    </row>
    <row r="234" ht="22.5" customHeight="1">
      <c r="A234" s="39" t="s">
        <v>10521</v>
      </c>
      <c r="B234" s="40" t="s">
        <v>1545</v>
      </c>
      <c r="C234" s="40" t="s">
        <v>5360</v>
      </c>
      <c r="D234" s="41" t="s">
        <v>5361</v>
      </c>
      <c r="E234" s="39" t="s">
        <v>2856</v>
      </c>
      <c r="F234" s="40" t="s">
        <v>1379</v>
      </c>
      <c r="G234" s="39" t="str">
        <f t="array" ref="G234">XLOOKUP(E234,FullStudentList!C:C,FullStudentList!D:D)</f>
        <v>Vg.codes2006@gmail.com</v>
      </c>
      <c r="H234" s="40">
        <f t="array" ref="H234">XLOOKUP(E234,FullStudentList!C:C,FullStudentList!G:G)</f>
        <v>8847597760</v>
      </c>
      <c r="I234" s="40" t="s">
        <v>5360</v>
      </c>
    </row>
    <row r="235" ht="22.5" customHeight="1">
      <c r="A235" s="39" t="s">
        <v>10533</v>
      </c>
      <c r="B235" s="40" t="s">
        <v>1552</v>
      </c>
      <c r="C235" s="40" t="s">
        <v>5362</v>
      </c>
      <c r="D235" s="41" t="s">
        <v>2808</v>
      </c>
      <c r="E235" s="39" t="s">
        <v>2816</v>
      </c>
      <c r="F235" s="40" t="s">
        <v>1379</v>
      </c>
      <c r="G235" s="39" t="str">
        <f t="array" ref="G235">XLOOKUP(E235,FullStudentList!C:C,FullStudentList!D:D)</f>
        <v>aryangupta1608@gmail.com</v>
      </c>
      <c r="H235" s="40">
        <f t="array" ref="H235">XLOOKUP(E235,FullStudentList!C:C,FullStudentList!G:G)</f>
        <v>9646203771</v>
      </c>
      <c r="I235" s="40" t="s">
        <v>5362</v>
      </c>
    </row>
    <row r="236" ht="22.5" customHeight="1">
      <c r="A236" s="39" t="s">
        <v>10546</v>
      </c>
      <c r="B236" s="40" t="s">
        <v>1560</v>
      </c>
      <c r="C236" s="40" t="s">
        <v>5364</v>
      </c>
      <c r="D236" s="41" t="s">
        <v>5365</v>
      </c>
      <c r="E236" s="39" t="s">
        <v>2868</v>
      </c>
      <c r="F236" s="40" t="s">
        <v>1379</v>
      </c>
      <c r="G236" s="39" t="str">
        <f t="array" ref="G236">XLOOKUP(E236,FullStudentList!C:C,FullStudentList!D:D)</f>
        <v>#N/A</v>
      </c>
      <c r="H236" s="40" t="str">
        <f t="array" ref="H236">XLOOKUP(E236,FullStudentList!C:C,FullStudentList!G:G)</f>
        <v>#N/A</v>
      </c>
      <c r="I236" s="40" t="s">
        <v>5364</v>
      </c>
    </row>
    <row r="237" ht="22.5" customHeight="1">
      <c r="A237" s="39" t="s">
        <v>10554</v>
      </c>
      <c r="B237" s="40" t="s">
        <v>914</v>
      </c>
      <c r="C237" s="40" t="s">
        <v>5367</v>
      </c>
      <c r="D237" s="41" t="s">
        <v>5368</v>
      </c>
      <c r="E237" s="39" t="s">
        <v>2876</v>
      </c>
      <c r="F237" s="40" t="s">
        <v>1379</v>
      </c>
      <c r="G237" s="39" t="str">
        <f t="array" ref="G237">XLOOKUP(E237,FullStudentList!C:C,FullStudentList!D:D)</f>
        <v>yyashika_be25@thapar.edu</v>
      </c>
      <c r="H237" s="40">
        <f t="array" ref="H237">XLOOKUP(E237,FullStudentList!C:C,FullStudentList!G:G)</f>
        <v>7814428504</v>
      </c>
      <c r="I237" s="40" t="s">
        <v>5367</v>
      </c>
    </row>
    <row r="238" ht="22.5" customHeight="1">
      <c r="A238" s="39" t="s">
        <v>10566</v>
      </c>
      <c r="B238" s="40" t="s">
        <v>1581</v>
      </c>
      <c r="C238" s="40" t="s">
        <v>5369</v>
      </c>
      <c r="D238" s="41" t="s">
        <v>5370</v>
      </c>
      <c r="E238" s="39" t="s">
        <v>2883</v>
      </c>
      <c r="F238" s="40" t="s">
        <v>1379</v>
      </c>
      <c r="G238" s="39" t="str">
        <f t="array" ref="G238">XLOOKUP(E238,FullStudentList!C:C,FullStudentList!D:D)</f>
        <v>satyamv2109@gmail.com</v>
      </c>
      <c r="H238" s="40">
        <f t="array" ref="H238">XLOOKUP(E238,FullStudentList!C:C,FullStudentList!G:G)</f>
        <v>7011769937</v>
      </c>
      <c r="I238" s="40" t="s">
        <v>5369</v>
      </c>
    </row>
    <row r="239" ht="22.5" customHeight="1">
      <c r="A239" s="39" t="s">
        <v>10576</v>
      </c>
      <c r="B239" s="40" t="s">
        <v>1591</v>
      </c>
      <c r="C239" s="40" t="s">
        <v>5371</v>
      </c>
      <c r="D239" s="41" t="s">
        <v>5372</v>
      </c>
      <c r="E239" s="39" t="s">
        <v>2888</v>
      </c>
      <c r="F239" s="40" t="s">
        <v>1379</v>
      </c>
      <c r="G239" s="39" t="str">
        <f t="array" ref="G239">XLOOKUP(E239,FullStudentList!C:C,FullStudentList!D:D)</f>
        <v>dhunnjain01@gmail.com</v>
      </c>
      <c r="H239" s="40">
        <f t="array" ref="H239">XLOOKUP(E239,FullStudentList!C:C,FullStudentList!G:G)</f>
        <v>9888693065</v>
      </c>
      <c r="I239" s="40" t="s">
        <v>5371</v>
      </c>
    </row>
    <row r="240" ht="22.5" customHeight="1">
      <c r="A240" s="39" t="s">
        <v>10587</v>
      </c>
      <c r="B240" s="40" t="s">
        <v>1601</v>
      </c>
      <c r="C240" s="40" t="s">
        <v>5374</v>
      </c>
      <c r="D240" s="41" t="s">
        <v>5375</v>
      </c>
      <c r="E240" s="39" t="s">
        <v>2897</v>
      </c>
      <c r="F240" s="40" t="s">
        <v>1379</v>
      </c>
      <c r="G240" s="39" t="str">
        <f t="array" ref="G240">XLOOKUP(E240,FullStudentList!C:C,FullStudentList!D:D)</f>
        <v>janya.gargg@gmail.com</v>
      </c>
      <c r="H240" s="40">
        <f t="array" ref="H240">XLOOKUP(E240,FullStudentList!C:C,FullStudentList!G:G)</f>
        <v>7973900427</v>
      </c>
      <c r="I240" s="40" t="s">
        <v>5374</v>
      </c>
    </row>
    <row r="241" ht="22.5" customHeight="1">
      <c r="A241" s="39" t="s">
        <v>10598</v>
      </c>
      <c r="B241" s="40" t="s">
        <v>1613</v>
      </c>
      <c r="C241" s="40" t="s">
        <v>5378</v>
      </c>
      <c r="D241" s="41" t="s">
        <v>5379</v>
      </c>
      <c r="E241" s="39" t="s">
        <v>2906</v>
      </c>
      <c r="F241" s="40" t="s">
        <v>1379</v>
      </c>
      <c r="G241" s="39" t="str">
        <f t="array" ref="G241">XLOOKUP(E241,FullStudentList!C:C,FullStudentList!D:D)</f>
        <v>kritikabansal301007@gmail.com</v>
      </c>
      <c r="H241" s="40">
        <f t="array" ref="H241">XLOOKUP(E241,FullStudentList!C:C,FullStudentList!G:G)</f>
        <v>9878914142</v>
      </c>
      <c r="I241" s="40" t="s">
        <v>5378</v>
      </c>
    </row>
    <row r="242" ht="22.5" customHeight="1">
      <c r="A242" s="39" t="s">
        <v>10608</v>
      </c>
      <c r="B242" s="40" t="s">
        <v>1620</v>
      </c>
      <c r="C242" s="40" t="s">
        <v>5380</v>
      </c>
      <c r="D242" s="41" t="s">
        <v>5381</v>
      </c>
      <c r="E242" s="39" t="s">
        <v>2912</v>
      </c>
      <c r="F242" s="40" t="s">
        <v>1622</v>
      </c>
      <c r="G242" s="39" t="str">
        <f t="array" ref="G242">XLOOKUP(E242,FullStudentList!C:C,FullStudentList!D:D)</f>
        <v>dhruvg1801@gmail.com</v>
      </c>
      <c r="H242" s="40">
        <f t="array" ref="H242">XLOOKUP(E242,FullStudentList!C:C,FullStudentList!G:G)</f>
        <v>9815934904</v>
      </c>
      <c r="I242" s="40" t="s">
        <v>5380</v>
      </c>
    </row>
    <row r="243" ht="22.5" customHeight="1">
      <c r="A243" s="39" t="s">
        <v>10614</v>
      </c>
      <c r="B243" s="40" t="s">
        <v>1632</v>
      </c>
      <c r="C243" s="40" t="s">
        <v>5382</v>
      </c>
      <c r="D243" s="41" t="s">
        <v>5384</v>
      </c>
      <c r="E243" s="39" t="s">
        <v>2920</v>
      </c>
      <c r="F243" s="40" t="s">
        <v>1622</v>
      </c>
      <c r="G243" s="39" t="str">
        <f t="array" ref="G243">XLOOKUP(E243,FullStudentList!C:C,FullStudentList!D:D)</f>
        <v>now0139@gmail.com</v>
      </c>
      <c r="H243" s="40">
        <f t="array" ref="H243">XLOOKUP(E243,FullStudentList!C:C,FullStudentList!G:G)</f>
        <v>6283433065</v>
      </c>
      <c r="I243" s="40" t="s">
        <v>5382</v>
      </c>
    </row>
    <row r="244" ht="22.5" customHeight="1">
      <c r="A244" s="39" t="s">
        <v>10623</v>
      </c>
      <c r="B244" s="40" t="s">
        <v>1640</v>
      </c>
      <c r="C244" s="40" t="s">
        <v>5387</v>
      </c>
      <c r="D244" s="41" t="s">
        <v>5388</v>
      </c>
      <c r="E244" s="39" t="s">
        <v>2927</v>
      </c>
      <c r="F244" s="40" t="s">
        <v>1622</v>
      </c>
      <c r="G244" s="39" t="str">
        <f t="array" ref="G244">XLOOKUP(E244,FullStudentList!C:C,FullStudentList!D:D)</f>
        <v>bajajmanyata8@gmail.com</v>
      </c>
      <c r="H244" s="40">
        <f t="array" ref="H244">XLOOKUP(E244,FullStudentList!C:C,FullStudentList!G:G)</f>
        <v>7973854663</v>
      </c>
      <c r="I244" s="40" t="s">
        <v>5387</v>
      </c>
    </row>
    <row r="245" ht="22.5" customHeight="1">
      <c r="A245" s="39" t="s">
        <v>10637</v>
      </c>
      <c r="B245" s="40" t="s">
        <v>1652</v>
      </c>
      <c r="C245" s="40" t="s">
        <v>5390</v>
      </c>
      <c r="D245" s="41" t="s">
        <v>5391</v>
      </c>
      <c r="E245" s="39" t="s">
        <v>2934</v>
      </c>
      <c r="F245" s="40" t="s">
        <v>1622</v>
      </c>
      <c r="G245" s="39" t="str">
        <f t="array" ref="G245">XLOOKUP(E245,FullStudentList!C:C,FullStudentList!D:D)</f>
        <v>krishnakatyal695@gmail.com</v>
      </c>
      <c r="H245" s="40">
        <f t="array" ref="H245">XLOOKUP(E245,FullStudentList!C:C,FullStudentList!G:G)</f>
        <v>9350153177</v>
      </c>
      <c r="I245" s="40" t="s">
        <v>5390</v>
      </c>
    </row>
    <row r="246" ht="22.5" customHeight="1">
      <c r="A246" s="39" t="s">
        <v>10645</v>
      </c>
      <c r="B246" s="40" t="s">
        <v>1662</v>
      </c>
      <c r="C246" s="40" t="s">
        <v>5392</v>
      </c>
      <c r="D246" s="41" t="s">
        <v>5393</v>
      </c>
      <c r="E246" s="39" t="s">
        <v>2941</v>
      </c>
      <c r="F246" s="40" t="s">
        <v>1622</v>
      </c>
      <c r="G246" s="39" t="str">
        <f t="array" ref="G246">XLOOKUP(E246,FullStudentList!C:C,FullStudentList!D:D)</f>
        <v>dibya47746@gmail.com</v>
      </c>
      <c r="H246" s="40" t="str">
        <f t="array" ref="H246">XLOOKUP(E246,FullStudentList!C:C,FullStudentList!G:G)</f>
        <v/>
      </c>
      <c r="I246" s="40" t="s">
        <v>5392</v>
      </c>
    </row>
    <row r="247" ht="22.5" customHeight="1">
      <c r="A247" s="39" t="s">
        <v>10659</v>
      </c>
      <c r="B247" s="40" t="s">
        <v>1673</v>
      </c>
      <c r="C247" s="40" t="s">
        <v>5394</v>
      </c>
      <c r="D247" s="41" t="s">
        <v>5395</v>
      </c>
      <c r="E247" s="39" t="s">
        <v>2946</v>
      </c>
      <c r="F247" s="40" t="s">
        <v>1622</v>
      </c>
      <c r="G247" s="39" t="str">
        <f t="array" ref="G247">XLOOKUP(E247,FullStudentList!C:C,FullStudentList!D:D)</f>
        <v>prachii.rana3@gmail.com</v>
      </c>
      <c r="H247" s="40">
        <f t="array" ref="H247">XLOOKUP(E247,FullStudentList!C:C,FullStudentList!G:G)</f>
        <v>8360868906</v>
      </c>
      <c r="I247" s="40" t="s">
        <v>5394</v>
      </c>
    </row>
    <row r="248" ht="22.5" customHeight="1">
      <c r="A248" s="39" t="s">
        <v>10671</v>
      </c>
      <c r="B248" s="40" t="s">
        <v>1680</v>
      </c>
      <c r="C248" s="40" t="s">
        <v>5397</v>
      </c>
      <c r="D248" s="41" t="s">
        <v>5398</v>
      </c>
      <c r="E248" s="39" t="s">
        <v>2953</v>
      </c>
      <c r="F248" s="40" t="s">
        <v>1622</v>
      </c>
      <c r="G248" s="39" t="str">
        <f t="array" ref="G248">XLOOKUP(E248,FullStudentList!C:C,FullStudentList!D:D)</f>
        <v>ritggzz@gmail.com</v>
      </c>
      <c r="H248" s="40">
        <f t="array" ref="H248">XLOOKUP(E248,FullStudentList!C:C,FullStudentList!G:G)</f>
        <v>9311105352</v>
      </c>
      <c r="I248" s="40" t="s">
        <v>5397</v>
      </c>
    </row>
    <row r="249" ht="22.5" customHeight="1">
      <c r="A249" s="39" t="s">
        <v>10681</v>
      </c>
      <c r="B249" s="40" t="s">
        <v>1692</v>
      </c>
      <c r="C249" s="40" t="s">
        <v>5400</v>
      </c>
      <c r="D249" s="41" t="s">
        <v>5401</v>
      </c>
      <c r="E249" s="39" t="s">
        <v>2962</v>
      </c>
      <c r="F249" s="40" t="s">
        <v>1622</v>
      </c>
      <c r="G249" s="39" t="str">
        <f t="array" ref="G249">XLOOKUP(E249,FullStudentList!C:C,FullStudentList!D:D)</f>
        <v>vaidehisingh2307@gmail.com</v>
      </c>
      <c r="H249" s="40">
        <f t="array" ref="H249">XLOOKUP(E249,FullStudentList!C:C,FullStudentList!G:G)</f>
        <v>8146232954</v>
      </c>
      <c r="I249" s="40" t="s">
        <v>5400</v>
      </c>
    </row>
    <row r="250" ht="22.5" customHeight="1">
      <c r="A250" s="39" t="s">
        <v>10692</v>
      </c>
      <c r="B250" s="40" t="s">
        <v>1702</v>
      </c>
      <c r="C250" s="40" t="s">
        <v>5402</v>
      </c>
      <c r="D250" s="41" t="s">
        <v>5403</v>
      </c>
      <c r="E250" s="39" t="s">
        <v>2972</v>
      </c>
      <c r="F250" s="40" t="s">
        <v>1622</v>
      </c>
      <c r="G250" s="39" t="str">
        <f t="array" ref="G250">XLOOKUP(E250,FullStudentList!C:C,FullStudentList!D:D)</f>
        <v>sethi19simran@gmail.com</v>
      </c>
      <c r="H250" s="40">
        <f t="array" ref="H250">XLOOKUP(E250,FullStudentList!C:C,FullStudentList!G:G)</f>
        <v>7657918467</v>
      </c>
      <c r="I250" s="40" t="s">
        <v>5402</v>
      </c>
    </row>
    <row r="251" ht="22.5" customHeight="1">
      <c r="A251" s="39" t="s">
        <v>10700</v>
      </c>
      <c r="B251" s="40" t="s">
        <v>1710</v>
      </c>
      <c r="C251" s="40" t="s">
        <v>5406</v>
      </c>
      <c r="D251" s="41" t="s">
        <v>3476</v>
      </c>
      <c r="E251" s="39" t="s">
        <v>2979</v>
      </c>
      <c r="F251" s="40" t="s">
        <v>1622</v>
      </c>
      <c r="G251" s="39" t="str">
        <f t="array" ref="G251">XLOOKUP(E251,FullStudentList!C:C,FullStudentList!D:D)</f>
        <v>aaditkhera4@gmail.com</v>
      </c>
      <c r="H251" s="40">
        <f t="array" ref="H251">XLOOKUP(E251,FullStudentList!C:C,FullStudentList!G:G)</f>
        <v>8950849334</v>
      </c>
      <c r="I251" s="40" t="s">
        <v>5406</v>
      </c>
    </row>
    <row r="252" ht="22.5" customHeight="1">
      <c r="A252" s="39" t="s">
        <v>10714</v>
      </c>
      <c r="B252" s="40" t="s">
        <v>1719</v>
      </c>
      <c r="C252" s="40" t="s">
        <v>5408</v>
      </c>
      <c r="D252" s="41" t="s">
        <v>5410</v>
      </c>
      <c r="E252" s="39" t="s">
        <v>2992</v>
      </c>
      <c r="F252" s="40" t="s">
        <v>1622</v>
      </c>
      <c r="G252" s="39" t="str">
        <f t="array" ref="G252">XLOOKUP(E252,FullStudentList!C:C,FullStudentList!D:D)</f>
        <v>#N/A</v>
      </c>
      <c r="H252" s="40" t="str">
        <f t="array" ref="H252">XLOOKUP(E252,FullStudentList!C:C,FullStudentList!G:G)</f>
        <v>#N/A</v>
      </c>
      <c r="I252" s="40" t="s">
        <v>5408</v>
      </c>
    </row>
    <row r="253" ht="22.5" customHeight="1">
      <c r="A253" s="39" t="s">
        <v>10725</v>
      </c>
      <c r="B253" s="40" t="s">
        <v>1728</v>
      </c>
      <c r="C253" s="40" t="s">
        <v>5412</v>
      </c>
      <c r="D253" s="41" t="s">
        <v>5413</v>
      </c>
      <c r="E253" s="39" t="s">
        <v>3004</v>
      </c>
      <c r="F253" s="40" t="s">
        <v>1622</v>
      </c>
      <c r="G253" s="39" t="str">
        <f t="array" ref="G253">XLOOKUP(E253,FullStudentList!C:C,FullStudentList!D:D)</f>
        <v>sshereen_be25@thapar.edu</v>
      </c>
      <c r="H253" s="40">
        <f t="array" ref="H253">XLOOKUP(E253,FullStudentList!C:C,FullStudentList!G:G)</f>
        <v>9115151556</v>
      </c>
      <c r="I253" s="40" t="s">
        <v>5412</v>
      </c>
    </row>
    <row r="254" ht="22.5" customHeight="1">
      <c r="A254" s="39" t="s">
        <v>10735</v>
      </c>
      <c r="B254" s="40" t="s">
        <v>1736</v>
      </c>
      <c r="C254" s="40" t="s">
        <v>5414</v>
      </c>
      <c r="D254" s="41" t="s">
        <v>5415</v>
      </c>
      <c r="E254" s="39" t="s">
        <v>3010</v>
      </c>
      <c r="F254" s="40" t="s">
        <v>1622</v>
      </c>
      <c r="G254" s="39" t="str">
        <f t="array" ref="G254">XLOOKUP(E254,FullStudentList!C:C,FullStudentList!D:D)</f>
        <v>#N/A</v>
      </c>
      <c r="H254" s="40" t="str">
        <f t="array" ref="H254">XLOOKUP(E254,FullStudentList!C:C,FullStudentList!G:G)</f>
        <v>#N/A</v>
      </c>
      <c r="I254" s="40" t="s">
        <v>5414</v>
      </c>
    </row>
    <row r="255" ht="22.5" customHeight="1">
      <c r="A255" s="39" t="s">
        <v>10747</v>
      </c>
      <c r="B255" s="40" t="s">
        <v>1744</v>
      </c>
      <c r="C255" s="40" t="s">
        <v>5416</v>
      </c>
      <c r="D255" s="41" t="s">
        <v>5417</v>
      </c>
      <c r="E255" s="39" t="s">
        <v>3020</v>
      </c>
      <c r="F255" s="40" t="s">
        <v>1622</v>
      </c>
      <c r="G255" s="39" t="str">
        <f t="array" ref="G255">XLOOKUP(E255,FullStudentList!C:C,FullStudentList!D:D)</f>
        <v>madalsasehgal17@gmail.com</v>
      </c>
      <c r="H255" s="40">
        <f t="array" ref="H255">XLOOKUP(E255,FullStudentList!C:C,FullStudentList!G:G)</f>
        <v>9888677820</v>
      </c>
      <c r="I255" s="40" t="s">
        <v>5416</v>
      </c>
    </row>
    <row r="256" ht="22.5" customHeight="1">
      <c r="A256" s="39" t="s">
        <v>10756</v>
      </c>
      <c r="B256" s="40" t="s">
        <v>1753</v>
      </c>
      <c r="C256" s="40" t="s">
        <v>5418</v>
      </c>
      <c r="D256" s="41" t="s">
        <v>3239</v>
      </c>
      <c r="E256" s="39" t="s">
        <v>3027</v>
      </c>
      <c r="F256" s="40" t="s">
        <v>1622</v>
      </c>
      <c r="G256" s="39" t="str">
        <f t="array" ref="G256">XLOOKUP(E256,FullStudentList!C:C,FullStudentList!D:D)</f>
        <v>akamboj_be25@thapar.edu</v>
      </c>
      <c r="H256" s="40">
        <f t="array" ref="H256">XLOOKUP(E256,FullStudentList!C:C,FullStudentList!G:G)</f>
        <v>6239220413</v>
      </c>
      <c r="I256" s="40" t="s">
        <v>5418</v>
      </c>
    </row>
    <row r="257" ht="22.5" customHeight="1">
      <c r="A257" s="39" t="s">
        <v>10766</v>
      </c>
      <c r="B257" s="40" t="s">
        <v>1759</v>
      </c>
      <c r="C257" s="40" t="s">
        <v>5420</v>
      </c>
      <c r="D257" s="41" t="s">
        <v>5421</v>
      </c>
      <c r="E257" s="39" t="s">
        <v>3032</v>
      </c>
      <c r="F257" s="40" t="s">
        <v>1622</v>
      </c>
      <c r="G257" s="39" t="str">
        <f t="array" ref="G257">XLOOKUP(E257,FullStudentList!C:C,FullStudentList!D:D)</f>
        <v>#N/A</v>
      </c>
      <c r="H257" s="40" t="str">
        <f t="array" ref="H257">XLOOKUP(E257,FullStudentList!C:C,FullStudentList!G:G)</f>
        <v>#N/A</v>
      </c>
      <c r="I257" s="40" t="s">
        <v>5420</v>
      </c>
    </row>
    <row r="258" ht="22.5" customHeight="1">
      <c r="A258" s="39" t="s">
        <v>10777</v>
      </c>
      <c r="B258" s="40" t="s">
        <v>1769</v>
      </c>
      <c r="C258" s="40" t="s">
        <v>5422</v>
      </c>
      <c r="D258" s="41" t="s">
        <v>5423</v>
      </c>
      <c r="E258" s="39" t="s">
        <v>3039</v>
      </c>
      <c r="F258" s="40" t="s">
        <v>1622</v>
      </c>
      <c r="G258" s="39" t="str">
        <f t="array" ref="G258">XLOOKUP(E258,FullStudentList!C:C,FullStudentList!D:D)</f>
        <v>Jayantmahajan985@gmail.com</v>
      </c>
      <c r="H258" s="40">
        <f t="array" ref="H258">XLOOKUP(E258,FullStudentList!C:C,FullStudentList!G:G)</f>
        <v>9779482275</v>
      </c>
      <c r="I258" s="40" t="s">
        <v>5422</v>
      </c>
    </row>
    <row r="259" ht="22.5" customHeight="1">
      <c r="A259" s="39" t="s">
        <v>10786</v>
      </c>
      <c r="B259" s="40" t="s">
        <v>1779</v>
      </c>
      <c r="C259" s="40" t="s">
        <v>5424</v>
      </c>
      <c r="D259" s="41" t="s">
        <v>5425</v>
      </c>
      <c r="E259" s="39" t="s">
        <v>3044</v>
      </c>
      <c r="F259" s="40" t="s">
        <v>1622</v>
      </c>
      <c r="G259" s="39" t="str">
        <f t="array" ref="G259">XLOOKUP(E259,FullStudentList!C:C,FullStudentList!D:D)</f>
        <v>#N/A</v>
      </c>
      <c r="H259" s="40" t="str">
        <f t="array" ref="H259">XLOOKUP(E259,FullStudentList!C:C,FullStudentList!G:G)</f>
        <v>#N/A</v>
      </c>
      <c r="I259" s="40" t="s">
        <v>5424</v>
      </c>
    </row>
    <row r="260" ht="22.5" customHeight="1">
      <c r="A260" s="39" t="s">
        <v>10796</v>
      </c>
      <c r="B260" s="40" t="s">
        <v>1785</v>
      </c>
      <c r="C260" s="40" t="s">
        <v>5427</v>
      </c>
      <c r="D260" s="41" t="s">
        <v>5428</v>
      </c>
      <c r="E260" s="39" t="s">
        <v>3048</v>
      </c>
      <c r="F260" s="40" t="s">
        <v>1622</v>
      </c>
      <c r="G260" s="39" t="str">
        <f t="array" ref="G260">XLOOKUP(E260,FullStudentList!C:C,FullStudentList!D:D)</f>
        <v>dalaljatin567@gmail.com</v>
      </c>
      <c r="H260" s="40">
        <f t="array" ref="H260">XLOOKUP(E260,FullStudentList!C:C,FullStudentList!G:G)</f>
        <v>7300717236</v>
      </c>
      <c r="I260" s="40" t="s">
        <v>5427</v>
      </c>
    </row>
    <row r="261" ht="22.5" customHeight="1">
      <c r="A261" s="39" t="s">
        <v>10804</v>
      </c>
      <c r="B261" s="40" t="s">
        <v>1793</v>
      </c>
      <c r="C261" s="40" t="s">
        <v>5429</v>
      </c>
      <c r="D261" s="41" t="s">
        <v>2016</v>
      </c>
      <c r="E261" s="39" t="s">
        <v>2023</v>
      </c>
      <c r="F261" s="40" t="s">
        <v>1622</v>
      </c>
      <c r="G261" s="39" t="str">
        <f t="array" ref="G261">XLOOKUP(E261,FullStudentList!C:C,FullStudentList!D:D)</f>
        <v>amitoj1680@gmail.com</v>
      </c>
      <c r="H261" s="40">
        <f t="array" ref="H261">XLOOKUP(E261,FullStudentList!C:C,FullStudentList!G:G)</f>
        <v>6284557931</v>
      </c>
      <c r="I261" s="40" t="s">
        <v>5429</v>
      </c>
    </row>
    <row r="262" ht="22.5" customHeight="1">
      <c r="A262" s="39" t="s">
        <v>10817</v>
      </c>
      <c r="B262" s="40" t="s">
        <v>1796</v>
      </c>
      <c r="C262" s="40" t="s">
        <v>5431</v>
      </c>
      <c r="D262" s="41" t="s">
        <v>5432</v>
      </c>
      <c r="E262" s="39" t="s">
        <v>3060</v>
      </c>
      <c r="F262" s="40" t="s">
        <v>1622</v>
      </c>
      <c r="G262" s="39" t="str">
        <f t="array" ref="G262">XLOOKUP(E262,FullStudentList!C:C,FullStudentList!D:D)</f>
        <v>gaurigoyal7817@gmail.com</v>
      </c>
      <c r="H262" s="40">
        <f t="array" ref="H262">XLOOKUP(E262,FullStudentList!C:C,FullStudentList!G:G)</f>
        <v>8572838367</v>
      </c>
      <c r="I262" s="40" t="s">
        <v>5431</v>
      </c>
    </row>
    <row r="263" ht="22.5" customHeight="1">
      <c r="A263" s="39" t="s">
        <v>10827</v>
      </c>
      <c r="B263" s="40" t="s">
        <v>1801</v>
      </c>
      <c r="C263" s="40" t="s">
        <v>5433</v>
      </c>
      <c r="D263" s="41" t="s">
        <v>5434</v>
      </c>
      <c r="E263" s="39" t="s">
        <v>3062</v>
      </c>
      <c r="F263" s="40" t="s">
        <v>1622</v>
      </c>
      <c r="G263" s="39" t="str">
        <f t="array" ref="G263">XLOOKUP(E263,FullStudentList!C:C,FullStudentList!D:D)</f>
        <v>Ravi208820@gmail.com</v>
      </c>
      <c r="H263" s="40">
        <f t="array" ref="H263">XLOOKUP(E263,FullStudentList!C:C,FullStudentList!G:G)</f>
        <v>9640424615</v>
      </c>
      <c r="I263" s="40" t="s">
        <v>5433</v>
      </c>
    </row>
    <row r="264" ht="22.5" customHeight="1">
      <c r="A264" s="39" t="s">
        <v>10839</v>
      </c>
      <c r="B264" s="40" t="s">
        <v>1808</v>
      </c>
      <c r="C264" s="40" t="s">
        <v>5437</v>
      </c>
      <c r="D264" s="41" t="s">
        <v>5438</v>
      </c>
      <c r="E264" s="39" t="s">
        <v>3068</v>
      </c>
      <c r="F264" s="40" t="s">
        <v>1622</v>
      </c>
      <c r="G264" s="39" t="str">
        <f t="array" ref="G264">XLOOKUP(E264,FullStudentList!C:C,FullStudentList!D:D)</f>
        <v>divishakumari411@gmail.com</v>
      </c>
      <c r="H264" s="40">
        <f t="array" ref="H264">XLOOKUP(E264,FullStudentList!C:C,FullStudentList!G:G)</f>
        <v>8287914652</v>
      </c>
      <c r="I264" s="40" t="s">
        <v>5437</v>
      </c>
    </row>
    <row r="265" ht="22.5" customHeight="1">
      <c r="A265" s="39" t="s">
        <v>10848</v>
      </c>
      <c r="B265" s="40" t="s">
        <v>1813</v>
      </c>
      <c r="C265" s="40" t="s">
        <v>5440</v>
      </c>
      <c r="D265" s="41" t="s">
        <v>5441</v>
      </c>
      <c r="E265" s="39" t="s">
        <v>3072</v>
      </c>
      <c r="F265" s="40" t="s">
        <v>1622</v>
      </c>
      <c r="G265" s="39" t="str">
        <f t="array" ref="G265">XLOOKUP(E265,FullStudentList!C:C,FullStudentList!D:D)</f>
        <v>vaibhav20070518@gmail.com</v>
      </c>
      <c r="H265" s="40">
        <f t="array" ref="H265">XLOOKUP(E265,FullStudentList!C:C,FullStudentList!G:G)</f>
        <v>8168067364</v>
      </c>
      <c r="I265" s="40" t="s">
        <v>5440</v>
      </c>
    </row>
    <row r="266" ht="22.5" customHeight="1">
      <c r="A266" s="39" t="s">
        <v>10858</v>
      </c>
      <c r="B266" s="40" t="s">
        <v>1820</v>
      </c>
      <c r="C266" s="40" t="s">
        <v>5442</v>
      </c>
      <c r="D266" s="41" t="s">
        <v>5443</v>
      </c>
      <c r="E266" s="39" t="s">
        <v>3074</v>
      </c>
      <c r="F266" s="40" t="s">
        <v>1622</v>
      </c>
      <c r="G266" s="39" t="str">
        <f t="array" ref="G266">XLOOKUP(E266,FullStudentList!C:C,FullStudentList!D:D)</f>
        <v>priyanshujindal06@gmail.com</v>
      </c>
      <c r="H266" s="40">
        <f t="array" ref="H266">XLOOKUP(E266,FullStudentList!C:C,FullStudentList!G:G)</f>
        <v>8437521473</v>
      </c>
      <c r="I266" s="40" t="s">
        <v>5442</v>
      </c>
    </row>
    <row r="267" ht="22.5" customHeight="1">
      <c r="A267" s="39" t="s">
        <v>10865</v>
      </c>
      <c r="B267" s="40" t="s">
        <v>1827</v>
      </c>
      <c r="C267" s="40" t="s">
        <v>5444</v>
      </c>
      <c r="D267" s="41" t="s">
        <v>5445</v>
      </c>
      <c r="E267" s="39" t="s">
        <v>3076</v>
      </c>
      <c r="F267" s="40" t="s">
        <v>1622</v>
      </c>
      <c r="G267" s="39" t="str">
        <f t="array" ref="G267">XLOOKUP(E267,FullStudentList!C:C,FullStudentList!D:D)</f>
        <v>brjpranav0@gmail.com</v>
      </c>
      <c r="H267" s="40">
        <f t="array" ref="H267">XLOOKUP(E267,FullStudentList!C:C,FullStudentList!G:G)</f>
        <v>9896404887</v>
      </c>
      <c r="I267" s="40" t="s">
        <v>5444</v>
      </c>
    </row>
    <row r="268" ht="22.5" customHeight="1">
      <c r="A268" s="39" t="s">
        <v>10872</v>
      </c>
      <c r="B268" s="40" t="s">
        <v>1832</v>
      </c>
      <c r="C268" s="40" t="s">
        <v>5448</v>
      </c>
      <c r="D268" s="41" t="s">
        <v>5449</v>
      </c>
      <c r="E268" s="39" t="s">
        <v>3080</v>
      </c>
      <c r="F268" s="40" t="s">
        <v>1622</v>
      </c>
      <c r="G268" s="39" t="str">
        <f t="array" ref="G268">XLOOKUP(E268,FullStudentList!C:C,FullStudentList!D:D)</f>
        <v>snehamonga0@gmail.com</v>
      </c>
      <c r="H268" s="40">
        <f t="array" ref="H268">XLOOKUP(E268,FullStudentList!C:C,FullStudentList!G:G)</f>
        <v>9815948703</v>
      </c>
      <c r="I268" s="40" t="s">
        <v>5448</v>
      </c>
    </row>
    <row r="269" ht="22.5" customHeight="1">
      <c r="A269" s="39" t="s">
        <v>10883</v>
      </c>
      <c r="B269" s="40" t="s">
        <v>1835</v>
      </c>
      <c r="C269" s="40" t="s">
        <v>5451</v>
      </c>
      <c r="D269" s="41" t="s">
        <v>5452</v>
      </c>
      <c r="E269" s="39" t="s">
        <v>3086</v>
      </c>
      <c r="F269" s="40" t="s">
        <v>1622</v>
      </c>
      <c r="G269" s="39" t="str">
        <f t="array" ref="G269">XLOOKUP(E269,FullStudentList!C:C,FullStudentList!D:D)</f>
        <v>#N/A</v>
      </c>
      <c r="H269" s="40" t="str">
        <f t="array" ref="H269">XLOOKUP(E269,FullStudentList!C:C,FullStudentList!G:G)</f>
        <v>#N/A</v>
      </c>
      <c r="I269" s="40" t="s">
        <v>5451</v>
      </c>
    </row>
    <row r="270" ht="22.5" customHeight="1">
      <c r="A270" s="39" t="s">
        <v>10895</v>
      </c>
      <c r="B270" s="40" t="s">
        <v>1347</v>
      </c>
      <c r="C270" s="40" t="s">
        <v>7655</v>
      </c>
      <c r="D270" s="41" t="s">
        <v>7656</v>
      </c>
      <c r="E270" s="39" t="s">
        <v>3835</v>
      </c>
      <c r="F270" s="40" t="s">
        <v>221</v>
      </c>
      <c r="G270" s="39" t="str">
        <f t="array" ref="G270">XLOOKUP(E270,FullStudentList!C:C,FullStudentList!D:D)</f>
        <v>#N/A</v>
      </c>
      <c r="H270" s="40" t="str">
        <f t="array" ref="H270">XLOOKUP(E270,FullStudentList!C:C,FullStudentList!G:G)</f>
        <v>#N/A</v>
      </c>
      <c r="I270" s="40" t="s">
        <v>7655</v>
      </c>
    </row>
    <row r="271" ht="22.5" customHeight="1">
      <c r="A271" s="39" t="s">
        <v>10907</v>
      </c>
      <c r="B271" s="40" t="s">
        <v>1458</v>
      </c>
      <c r="C271" s="40" t="s">
        <v>7658</v>
      </c>
      <c r="D271" s="41" t="s">
        <v>7659</v>
      </c>
      <c r="E271" s="39" t="s">
        <v>3880</v>
      </c>
      <c r="F271" s="40" t="s">
        <v>221</v>
      </c>
      <c r="G271" s="39" t="str">
        <f t="array" ref="G271">XLOOKUP(E271,FullStudentList!C:C,FullStudentList!D:D)</f>
        <v>harshpremchandani02@gmail.com</v>
      </c>
      <c r="H271" s="40" t="str">
        <f t="array" ref="H271">XLOOKUP(E271,FullStudentList!C:C,FullStudentList!G:G)</f>
        <v>#ERROR!</v>
      </c>
      <c r="I271" s="40" t="s">
        <v>7658</v>
      </c>
    </row>
    <row r="272" ht="22.5" customHeight="1">
      <c r="A272" s="39"/>
      <c r="B272" s="40"/>
      <c r="C272" s="40"/>
      <c r="D272" s="39"/>
      <c r="E272" s="39"/>
      <c r="F272" s="40"/>
      <c r="G272" s="39" t="str">
        <f t="array" ref="G272">XLOOKUP(E272,FullStudentList!C:C,FullStudentList!D:D)</f>
        <v>#N/A</v>
      </c>
      <c r="H272" s="40"/>
      <c r="I272" s="40"/>
    </row>
    <row r="273" ht="22.5" customHeight="1">
      <c r="A273" s="39"/>
      <c r="B273" s="40"/>
      <c r="C273" s="40"/>
      <c r="D273" s="39"/>
      <c r="E273" s="39"/>
      <c r="F273" s="40"/>
      <c r="G273" s="39" t="str">
        <f t="array" ref="G273">XLOOKUP(E273,FullStudentList!C:C,FullStudentList!D:D)</f>
        <v>#N/A</v>
      </c>
      <c r="H273" s="40"/>
      <c r="I273" s="40"/>
    </row>
    <row r="274" ht="22.5" customHeight="1">
      <c r="A274" s="39"/>
      <c r="B274" s="40"/>
      <c r="C274" s="40"/>
      <c r="D274" s="39"/>
      <c r="E274" s="39"/>
      <c r="F274" s="40"/>
      <c r="G274" s="39" t="str">
        <f t="array" ref="G274">XLOOKUP(E274,FullStudentList!C:C,FullStudentList!D:D)</f>
        <v>#N/A</v>
      </c>
      <c r="H274" s="40"/>
      <c r="I274" s="40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6892984-A67A-4BF2-BF5B-417318CD4702}" filter="1" showAutoFilter="1">
      <autoFilter ref="$A$1:$I$274"/>
    </customSheetView>
  </customSheetView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75"/>
    <col customWidth="1" min="2" max="2" width="21.5"/>
    <col customWidth="1" min="3" max="3" width="65.25"/>
    <col customWidth="1" min="4" max="4" width="21.88"/>
    <col customWidth="1" min="5" max="6" width="12.63"/>
  </cols>
  <sheetData>
    <row r="1" ht="15.75" customHeight="1">
      <c r="A1" s="42"/>
      <c r="B1" s="43" t="s">
        <v>4318</v>
      </c>
      <c r="C1" s="44" t="s">
        <v>4322</v>
      </c>
      <c r="D1" s="45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ht="22.5" customHeight="1">
      <c r="A2" s="47" t="s">
        <v>4358</v>
      </c>
      <c r="B2" s="47" t="s">
        <v>11</v>
      </c>
      <c r="C2" s="47" t="s">
        <v>4372</v>
      </c>
      <c r="D2" s="47" t="s">
        <v>4375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ht="22.5" customHeight="1">
      <c r="A3" s="48" t="s">
        <v>4388</v>
      </c>
      <c r="B3" s="48" t="s">
        <v>4394</v>
      </c>
      <c r="C3" s="49" t="str">
        <f>IFERROR(__xludf.DUMMYFUNCTION("ARRAYFORMULA(IF((A3:A1000&lt;&gt;"""")*(B3:B1000&lt;&gt;""""),
 ""https://raw.githubusercontent.com/""&amp;
 INDEX(REGEXEXTRACT($C$1,""https://([^./]+)\.github\.io/([^/]+)""),1,1)&amp;""/""&amp;
 INDEX(REGEXEXTRACT($C$1,""https://([^./]+)\.github\.io/([^/]+)""),1,2)&amp;
 ""/main/at"&amp;"tendance/Dataset/Preview/""&amp;
 A3:A1000&amp;""_""&amp;B3:B1000&amp;"".jpg"",
 """"))"),"https://raw.githubusercontent.com/subhrendu1987/course/main/attendance/Dataset/Preview/31_07_2026_2C7.jpg")</f>
        <v>https://raw.githubusercontent.com/subhrendu1987/course/main/attendance/Dataset/Preview/31_07_2026_2C7.jpg</v>
      </c>
      <c r="D3" s="50">
        <v>92.0</v>
      </c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ht="22.5" customHeight="1">
      <c r="A4" s="51" t="s">
        <v>4425</v>
      </c>
      <c r="B4" s="51" t="s">
        <v>4431</v>
      </c>
      <c r="C4" s="49" t="str">
        <f>IFERROR(__xludf.DUMMYFUNCTION("""COMPUTED_VALUE"""),"https://raw.githubusercontent.com/subhrendu1987/course/main/attendance/Dataset/Preview/04_08_2026_2C4.jpg")</f>
        <v>https://raw.githubusercontent.com/subhrendu1987/course/main/attendance/Dataset/Preview/04_08_2026_2C4.jpg</v>
      </c>
      <c r="D4" s="50">
        <v>23.0</v>
      </c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t="22.5" customHeight="1">
      <c r="A5" s="51" t="s">
        <v>4465</v>
      </c>
      <c r="B5" s="51" t="s">
        <v>4431</v>
      </c>
      <c r="C5" s="49" t="str">
        <f>IFERROR(__xludf.DUMMYFUNCTION("""COMPUTED_VALUE"""),"https://raw.githubusercontent.com/subhrendu1987/course/main/attendance/Dataset/Preview/test_2C4.jpg")</f>
        <v>https://raw.githubusercontent.com/subhrendu1987/course/main/attendance/Dataset/Preview/test_2C4.jpg</v>
      </c>
      <c r="D5" s="50">
        <v>79.0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ht="22.5" customHeight="1">
      <c r="A6" s="52"/>
      <c r="B6" s="52"/>
      <c r="C6" s="49" t="str">
        <f>IFERROR(__xludf.DUMMYFUNCTION("""COMPUTED_VALUE"""),"")</f>
        <v/>
      </c>
      <c r="D6" s="52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22.5" customHeight="1">
      <c r="A7" s="52"/>
      <c r="B7" s="52"/>
      <c r="C7" s="49" t="str">
        <f>IFERROR(__xludf.DUMMYFUNCTION("""COMPUTED_VALUE"""),"")</f>
        <v/>
      </c>
      <c r="D7" s="52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22.5" customHeight="1">
      <c r="A8" s="48"/>
      <c r="B8" s="52"/>
      <c r="C8" s="49" t="str">
        <f>IFERROR(__xludf.DUMMYFUNCTION("""COMPUTED_VALUE"""),"")</f>
        <v/>
      </c>
      <c r="D8" s="52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22.5" customHeight="1">
      <c r="A9" s="48"/>
      <c r="B9" s="52"/>
      <c r="C9" s="49" t="str">
        <f>IFERROR(__xludf.DUMMYFUNCTION("""COMPUTED_VALUE"""),"")</f>
        <v/>
      </c>
      <c r="D9" s="52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22.5" customHeight="1">
      <c r="A10" s="48"/>
      <c r="B10" s="52"/>
      <c r="C10" s="49" t="str">
        <f>IFERROR(__xludf.DUMMYFUNCTION("""COMPUTED_VALUE"""),"")</f>
        <v/>
      </c>
      <c r="D10" s="52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22.5" customHeight="1">
      <c r="A11" s="52"/>
      <c r="B11" s="52"/>
      <c r="C11" s="52" t="str">
        <f>IFERROR(__xludf.DUMMYFUNCTION("""COMPUTED_VALUE"""),"")</f>
        <v/>
      </c>
      <c r="D11" s="52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22.5" customHeight="1">
      <c r="A12" s="52"/>
      <c r="B12" s="52"/>
      <c r="C12" s="52" t="str">
        <f>IFERROR(__xludf.DUMMYFUNCTION("""COMPUTED_VALUE"""),"")</f>
        <v/>
      </c>
      <c r="D12" s="52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22.5" customHeight="1">
      <c r="A13" s="52"/>
      <c r="B13" s="52"/>
      <c r="C13" s="52" t="str">
        <f>IFERROR(__xludf.DUMMYFUNCTION("""COMPUTED_VALUE"""),"")</f>
        <v/>
      </c>
      <c r="D13" s="52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22.5" customHeight="1">
      <c r="A14" s="52"/>
      <c r="B14" s="52"/>
      <c r="C14" s="52" t="str">
        <f>IFERROR(__xludf.DUMMYFUNCTION("""COMPUTED_VALUE"""),"")</f>
        <v/>
      </c>
      <c r="D14" s="52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22.5" customHeight="1">
      <c r="A15" s="52"/>
      <c r="B15" s="52"/>
      <c r="C15" s="52" t="str">
        <f>IFERROR(__xludf.DUMMYFUNCTION("""COMPUTED_VALUE"""),"")</f>
        <v/>
      </c>
      <c r="D15" s="52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22.5" customHeight="1">
      <c r="A16" s="52"/>
      <c r="B16" s="52"/>
      <c r="C16" s="52" t="str">
        <f>IFERROR(__xludf.DUMMYFUNCTION("""COMPUTED_VALUE"""),"")</f>
        <v/>
      </c>
      <c r="D16" s="52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22.5" customHeight="1">
      <c r="A17" s="52"/>
      <c r="B17" s="52"/>
      <c r="C17" s="52" t="str">
        <f>IFERROR(__xludf.DUMMYFUNCTION("""COMPUTED_VALUE"""),"")</f>
        <v/>
      </c>
      <c r="D17" s="52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22.5" customHeight="1">
      <c r="A18" s="52"/>
      <c r="B18" s="52"/>
      <c r="C18" s="52" t="str">
        <f>IFERROR(__xludf.DUMMYFUNCTION("""COMPUTED_VALUE"""),"")</f>
        <v/>
      </c>
      <c r="D18" s="52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22.5" customHeight="1">
      <c r="A19" s="52"/>
      <c r="B19" s="52"/>
      <c r="C19" s="52" t="str">
        <f>IFERROR(__xludf.DUMMYFUNCTION("""COMPUTED_VALUE"""),"")</f>
        <v/>
      </c>
      <c r="D19" s="52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22.5" customHeight="1">
      <c r="A20" s="52"/>
      <c r="B20" s="52"/>
      <c r="C20" s="52" t="str">
        <f>IFERROR(__xludf.DUMMYFUNCTION("""COMPUTED_VALUE"""),"")</f>
        <v/>
      </c>
      <c r="D20" s="52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22.5" customHeight="1">
      <c r="A21" s="52"/>
      <c r="B21" s="52"/>
      <c r="C21" s="52" t="str">
        <f>IFERROR(__xludf.DUMMYFUNCTION("""COMPUTED_VALUE"""),"")</f>
        <v/>
      </c>
      <c r="D21" s="52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22.5" customHeight="1">
      <c r="A22" s="52"/>
      <c r="B22" s="52"/>
      <c r="C22" s="52" t="str">
        <f>IFERROR(__xludf.DUMMYFUNCTION("""COMPUTED_VALUE"""),"")</f>
        <v/>
      </c>
      <c r="D22" s="52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22.5" customHeight="1">
      <c r="A23" s="52"/>
      <c r="B23" s="52"/>
      <c r="C23" s="52" t="str">
        <f>IFERROR(__xludf.DUMMYFUNCTION("""COMPUTED_VALUE"""),"")</f>
        <v/>
      </c>
      <c r="D23" s="52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22.5" customHeight="1">
      <c r="A24" s="52"/>
      <c r="B24" s="52"/>
      <c r="C24" s="52" t="str">
        <f>IFERROR(__xludf.DUMMYFUNCTION("""COMPUTED_VALUE"""),"")</f>
        <v/>
      </c>
      <c r="D24" s="52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22.5" customHeight="1">
      <c r="A25" s="52"/>
      <c r="B25" s="52"/>
      <c r="C25" s="52" t="str">
        <f>IFERROR(__xludf.DUMMYFUNCTION("""COMPUTED_VALUE"""),"")</f>
        <v/>
      </c>
      <c r="D25" s="52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22.5" customHeight="1">
      <c r="A26" s="52"/>
      <c r="B26" s="52"/>
      <c r="C26" s="52" t="str">
        <f>IFERROR(__xludf.DUMMYFUNCTION("""COMPUTED_VALUE"""),"")</f>
        <v/>
      </c>
      <c r="D26" s="52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22.5" customHeight="1">
      <c r="A27" s="52"/>
      <c r="B27" s="52"/>
      <c r="C27" s="52" t="str">
        <f>IFERROR(__xludf.DUMMYFUNCTION("""COMPUTED_VALUE"""),"")</f>
        <v/>
      </c>
      <c r="D27" s="52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22.5" customHeight="1">
      <c r="A28" s="52"/>
      <c r="B28" s="52"/>
      <c r="C28" s="52" t="str">
        <f>IFERROR(__xludf.DUMMYFUNCTION("""COMPUTED_VALUE"""),"")</f>
        <v/>
      </c>
      <c r="D28" s="52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22.5" customHeight="1">
      <c r="A29" s="52"/>
      <c r="B29" s="52"/>
      <c r="C29" s="52" t="str">
        <f>IFERROR(__xludf.DUMMYFUNCTION("""COMPUTED_VALUE"""),"")</f>
        <v/>
      </c>
      <c r="D29" s="52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22.5" customHeight="1">
      <c r="A30" s="52"/>
      <c r="B30" s="52"/>
      <c r="C30" s="52" t="str">
        <f>IFERROR(__xludf.DUMMYFUNCTION("""COMPUTED_VALUE"""),"")</f>
        <v/>
      </c>
      <c r="D30" s="52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22.5" customHeight="1">
      <c r="A31" s="52"/>
      <c r="B31" s="52"/>
      <c r="C31" s="52" t="str">
        <f>IFERROR(__xludf.DUMMYFUNCTION("""COMPUTED_VALUE"""),"")</f>
        <v/>
      </c>
      <c r="D31" s="52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22.5" customHeight="1">
      <c r="A32" s="52"/>
      <c r="B32" s="52"/>
      <c r="C32" s="52" t="str">
        <f>IFERROR(__xludf.DUMMYFUNCTION("""COMPUTED_VALUE"""),"")</f>
        <v/>
      </c>
      <c r="D32" s="52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22.5" customHeight="1">
      <c r="A33" s="52"/>
      <c r="B33" s="52"/>
      <c r="C33" s="52" t="str">
        <f>IFERROR(__xludf.DUMMYFUNCTION("""COMPUTED_VALUE"""),"")</f>
        <v/>
      </c>
      <c r="D33" s="52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22.5" customHeight="1">
      <c r="A34" s="52"/>
      <c r="B34" s="52"/>
      <c r="C34" s="52" t="str">
        <f>IFERROR(__xludf.DUMMYFUNCTION("""COMPUTED_VALUE"""),"")</f>
        <v/>
      </c>
      <c r="D34" s="52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22.5" customHeight="1">
      <c r="A35" s="52"/>
      <c r="B35" s="52"/>
      <c r="C35" s="52" t="str">
        <f>IFERROR(__xludf.DUMMYFUNCTION("""COMPUTED_VALUE"""),"")</f>
        <v/>
      </c>
      <c r="D35" s="52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22.5" customHeight="1">
      <c r="A36" s="52"/>
      <c r="B36" s="52"/>
      <c r="C36" s="52" t="str">
        <f>IFERROR(__xludf.DUMMYFUNCTION("""COMPUTED_VALUE"""),"")</f>
        <v/>
      </c>
      <c r="D36" s="52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22.5" customHeight="1">
      <c r="A37" s="52"/>
      <c r="B37" s="52"/>
      <c r="C37" s="52" t="str">
        <f>IFERROR(__xludf.DUMMYFUNCTION("""COMPUTED_VALUE"""),"")</f>
        <v/>
      </c>
      <c r="D37" s="52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22.5" customHeight="1">
      <c r="A38" s="52"/>
      <c r="B38" s="52"/>
      <c r="C38" s="52" t="str">
        <f>IFERROR(__xludf.DUMMYFUNCTION("""COMPUTED_VALUE"""),"")</f>
        <v/>
      </c>
      <c r="D38" s="52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22.5" customHeight="1">
      <c r="A39" s="52"/>
      <c r="B39" s="52"/>
      <c r="C39" s="52" t="str">
        <f>IFERROR(__xludf.DUMMYFUNCTION("""COMPUTED_VALUE"""),"")</f>
        <v/>
      </c>
      <c r="D39" s="52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22.5" customHeight="1">
      <c r="A40" s="52"/>
      <c r="B40" s="52"/>
      <c r="C40" s="52" t="str">
        <f>IFERROR(__xludf.DUMMYFUNCTION("""COMPUTED_VALUE"""),"")</f>
        <v/>
      </c>
      <c r="D40" s="52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t="22.5" customHeight="1">
      <c r="A41" s="52"/>
      <c r="B41" s="52"/>
      <c r="C41" s="52" t="str">
        <f>IFERROR(__xludf.DUMMYFUNCTION("""COMPUTED_VALUE"""),"")</f>
        <v/>
      </c>
      <c r="D41" s="52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t="22.5" customHeight="1">
      <c r="A42" s="52"/>
      <c r="B42" s="52"/>
      <c r="C42" s="52" t="str">
        <f>IFERROR(__xludf.DUMMYFUNCTION("""COMPUTED_VALUE"""),"")</f>
        <v/>
      </c>
      <c r="D42" s="52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t="22.5" customHeight="1">
      <c r="A43" s="52"/>
      <c r="B43" s="52"/>
      <c r="C43" s="52" t="str">
        <f>IFERROR(__xludf.DUMMYFUNCTION("""COMPUTED_VALUE"""),"")</f>
        <v/>
      </c>
      <c r="D43" s="52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t="22.5" customHeight="1">
      <c r="A44" s="52"/>
      <c r="B44" s="52"/>
      <c r="C44" s="52" t="str">
        <f>IFERROR(__xludf.DUMMYFUNCTION("""COMPUTED_VALUE"""),"")</f>
        <v/>
      </c>
      <c r="D44" s="52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t="15.75" customHeight="1">
      <c r="A45" s="46"/>
      <c r="B45" s="46"/>
      <c r="C45" s="46" t="str">
        <f>IFERROR(__xludf.DUMMYFUNCTION("""COMPUTED_VALUE"""),"")</f>
        <v/>
      </c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t="15.75" customHeight="1">
      <c r="A46" s="46"/>
      <c r="B46" s="46"/>
      <c r="C46" s="46" t="str">
        <f>IFERROR(__xludf.DUMMYFUNCTION("""COMPUTED_VALUE"""),"")</f>
        <v/>
      </c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t="15.75" customHeight="1">
      <c r="A47" s="46"/>
      <c r="B47" s="46"/>
      <c r="C47" s="46" t="str">
        <f>IFERROR(__xludf.DUMMYFUNCTION("""COMPUTED_VALUE"""),"")</f>
        <v/>
      </c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t="15.75" customHeight="1">
      <c r="A48" s="46"/>
      <c r="B48" s="46"/>
      <c r="C48" s="46" t="str">
        <f>IFERROR(__xludf.DUMMYFUNCTION("""COMPUTED_VALUE"""),"")</f>
        <v/>
      </c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t="15.75" customHeight="1">
      <c r="A49" s="46"/>
      <c r="B49" s="46"/>
      <c r="C49" s="46" t="str">
        <f>IFERROR(__xludf.DUMMYFUNCTION("""COMPUTED_VALUE"""),"")</f>
        <v/>
      </c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t="15.75" customHeight="1">
      <c r="A50" s="46"/>
      <c r="B50" s="46"/>
      <c r="C50" s="46" t="str">
        <f>IFERROR(__xludf.DUMMYFUNCTION("""COMPUTED_VALUE"""),"")</f>
        <v/>
      </c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t="15.75" customHeight="1">
      <c r="A51" s="46"/>
      <c r="B51" s="46"/>
      <c r="C51" s="46" t="str">
        <f>IFERROR(__xludf.DUMMYFUNCTION("""COMPUTED_VALUE"""),"")</f>
        <v/>
      </c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15.75" customHeight="1">
      <c r="A52" s="46"/>
      <c r="B52" s="46"/>
      <c r="C52" s="46" t="str">
        <f>IFERROR(__xludf.DUMMYFUNCTION("""COMPUTED_VALUE"""),"")</f>
        <v/>
      </c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15.75" customHeight="1">
      <c r="A53" s="46"/>
      <c r="B53" s="46"/>
      <c r="C53" s="46" t="str">
        <f>IFERROR(__xludf.DUMMYFUNCTION("""COMPUTED_VALUE"""),"")</f>
        <v/>
      </c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5.75" customHeight="1">
      <c r="A54" s="46"/>
      <c r="B54" s="46"/>
      <c r="C54" s="46" t="str">
        <f>IFERROR(__xludf.DUMMYFUNCTION("""COMPUTED_VALUE"""),"")</f>
        <v/>
      </c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5.75" customHeight="1">
      <c r="A55" s="46"/>
      <c r="B55" s="46"/>
      <c r="C55" s="46" t="str">
        <f>IFERROR(__xludf.DUMMYFUNCTION("""COMPUTED_VALUE"""),"")</f>
        <v/>
      </c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5.75" customHeight="1">
      <c r="A56" s="46"/>
      <c r="B56" s="46"/>
      <c r="C56" s="46" t="str">
        <f>IFERROR(__xludf.DUMMYFUNCTION("""COMPUTED_VALUE"""),"")</f>
        <v/>
      </c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5.75" customHeight="1">
      <c r="A57" s="46"/>
      <c r="B57" s="46"/>
      <c r="C57" s="46" t="str">
        <f>IFERROR(__xludf.DUMMYFUNCTION("""COMPUTED_VALUE"""),"")</f>
        <v/>
      </c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5.75" customHeight="1">
      <c r="A58" s="46"/>
      <c r="B58" s="46"/>
      <c r="C58" s="46" t="str">
        <f>IFERROR(__xludf.DUMMYFUNCTION("""COMPUTED_VALUE"""),"")</f>
        <v/>
      </c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5.75" customHeight="1">
      <c r="A59" s="46"/>
      <c r="B59" s="46"/>
      <c r="C59" s="46" t="str">
        <f>IFERROR(__xludf.DUMMYFUNCTION("""COMPUTED_VALUE"""),"")</f>
        <v/>
      </c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5.75" customHeight="1">
      <c r="A60" s="46"/>
      <c r="B60" s="46"/>
      <c r="C60" s="46" t="str">
        <f>IFERROR(__xludf.DUMMYFUNCTION("""COMPUTED_VALUE"""),"")</f>
        <v/>
      </c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5.75" customHeight="1">
      <c r="A61" s="46"/>
      <c r="B61" s="46"/>
      <c r="C61" s="46" t="str">
        <f>IFERROR(__xludf.DUMMYFUNCTION("""COMPUTED_VALUE"""),"")</f>
        <v/>
      </c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5.75" customHeight="1">
      <c r="A62" s="46"/>
      <c r="B62" s="46"/>
      <c r="C62" s="46" t="str">
        <f>IFERROR(__xludf.DUMMYFUNCTION("""COMPUTED_VALUE"""),"")</f>
        <v/>
      </c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5.75" customHeight="1">
      <c r="A63" s="46"/>
      <c r="B63" s="46"/>
      <c r="C63" s="46" t="str">
        <f>IFERROR(__xludf.DUMMYFUNCTION("""COMPUTED_VALUE"""),"")</f>
        <v/>
      </c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5.75" customHeight="1">
      <c r="A64" s="46"/>
      <c r="B64" s="46"/>
      <c r="C64" s="46" t="str">
        <f>IFERROR(__xludf.DUMMYFUNCTION("""COMPUTED_VALUE"""),"")</f>
        <v/>
      </c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5.75" customHeight="1">
      <c r="A65" s="46"/>
      <c r="B65" s="46"/>
      <c r="C65" s="46" t="str">
        <f>IFERROR(__xludf.DUMMYFUNCTION("""COMPUTED_VALUE"""),"")</f>
        <v/>
      </c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5.75" customHeight="1">
      <c r="A66" s="46"/>
      <c r="B66" s="46"/>
      <c r="C66" s="46" t="str">
        <f>IFERROR(__xludf.DUMMYFUNCTION("""COMPUTED_VALUE"""),"")</f>
        <v/>
      </c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5.75" customHeight="1">
      <c r="A67" s="46"/>
      <c r="B67" s="46"/>
      <c r="C67" s="46" t="str">
        <f>IFERROR(__xludf.DUMMYFUNCTION("""COMPUTED_VALUE"""),"")</f>
        <v/>
      </c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5.75" customHeight="1">
      <c r="A68" s="46"/>
      <c r="B68" s="46"/>
      <c r="C68" s="46" t="str">
        <f>IFERROR(__xludf.DUMMYFUNCTION("""COMPUTED_VALUE"""),"")</f>
        <v/>
      </c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5.75" customHeight="1">
      <c r="A69" s="46"/>
      <c r="B69" s="46"/>
      <c r="C69" s="46" t="str">
        <f>IFERROR(__xludf.DUMMYFUNCTION("""COMPUTED_VALUE"""),"")</f>
        <v/>
      </c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15.75" customHeight="1">
      <c r="A70" s="46"/>
      <c r="B70" s="46"/>
      <c r="C70" s="46" t="str">
        <f>IFERROR(__xludf.DUMMYFUNCTION("""COMPUTED_VALUE"""),"")</f>
        <v/>
      </c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15.75" customHeight="1">
      <c r="A71" s="46"/>
      <c r="B71" s="46"/>
      <c r="C71" s="46" t="str">
        <f>IFERROR(__xludf.DUMMYFUNCTION("""COMPUTED_VALUE"""),"")</f>
        <v/>
      </c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15.75" customHeight="1">
      <c r="A72" s="46"/>
      <c r="B72" s="46"/>
      <c r="C72" s="46" t="str">
        <f>IFERROR(__xludf.DUMMYFUNCTION("""COMPUTED_VALUE"""),"")</f>
        <v/>
      </c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15.75" customHeight="1">
      <c r="A73" s="46"/>
      <c r="B73" s="46"/>
      <c r="C73" s="46" t="str">
        <f>IFERROR(__xludf.DUMMYFUNCTION("""COMPUTED_VALUE"""),"")</f>
        <v/>
      </c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5.75" customHeight="1">
      <c r="A74" s="46"/>
      <c r="B74" s="46"/>
      <c r="C74" s="46" t="str">
        <f>IFERROR(__xludf.DUMMYFUNCTION("""COMPUTED_VALUE"""),"")</f>
        <v/>
      </c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5.75" customHeight="1">
      <c r="A75" s="46"/>
      <c r="B75" s="46"/>
      <c r="C75" s="46" t="str">
        <f>IFERROR(__xludf.DUMMYFUNCTION("""COMPUTED_VALUE"""),"")</f>
        <v/>
      </c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5.75" customHeight="1">
      <c r="A76" s="46"/>
      <c r="B76" s="46"/>
      <c r="C76" s="46" t="str">
        <f>IFERROR(__xludf.DUMMYFUNCTION("""COMPUTED_VALUE"""),"")</f>
        <v/>
      </c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5.75" customHeight="1">
      <c r="A77" s="46"/>
      <c r="B77" s="46"/>
      <c r="C77" s="46" t="str">
        <f>IFERROR(__xludf.DUMMYFUNCTION("""COMPUTED_VALUE"""),"")</f>
        <v/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5.75" customHeight="1">
      <c r="A78" s="46"/>
      <c r="B78" s="46"/>
      <c r="C78" s="46" t="str">
        <f>IFERROR(__xludf.DUMMYFUNCTION("""COMPUTED_VALUE"""),"")</f>
        <v/>
      </c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5.75" customHeight="1">
      <c r="A79" s="46"/>
      <c r="B79" s="46"/>
      <c r="C79" s="46" t="str">
        <f>IFERROR(__xludf.DUMMYFUNCTION("""COMPUTED_VALUE"""),"")</f>
        <v/>
      </c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5.75" customHeight="1">
      <c r="A80" s="46"/>
      <c r="B80" s="46"/>
      <c r="C80" s="46" t="str">
        <f>IFERROR(__xludf.DUMMYFUNCTION("""COMPUTED_VALUE"""),"")</f>
        <v/>
      </c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5.75" customHeight="1">
      <c r="A81" s="46"/>
      <c r="B81" s="46"/>
      <c r="C81" s="46" t="str">
        <f>IFERROR(__xludf.DUMMYFUNCTION("""COMPUTED_VALUE"""),"")</f>
        <v/>
      </c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5.75" customHeight="1">
      <c r="A82" s="46"/>
      <c r="B82" s="46"/>
      <c r="C82" s="46" t="str">
        <f>IFERROR(__xludf.DUMMYFUNCTION("""COMPUTED_VALUE"""),"")</f>
        <v/>
      </c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5.75" customHeight="1">
      <c r="A83" s="46"/>
      <c r="B83" s="46"/>
      <c r="C83" s="46" t="str">
        <f>IFERROR(__xludf.DUMMYFUNCTION("""COMPUTED_VALUE"""),"")</f>
        <v/>
      </c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5.75" customHeight="1">
      <c r="A84" s="46"/>
      <c r="B84" s="46"/>
      <c r="C84" s="46" t="str">
        <f>IFERROR(__xludf.DUMMYFUNCTION("""COMPUTED_VALUE"""),"")</f>
        <v/>
      </c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5.75" customHeight="1">
      <c r="A85" s="46"/>
      <c r="B85" s="46"/>
      <c r="C85" s="46" t="str">
        <f>IFERROR(__xludf.DUMMYFUNCTION("""COMPUTED_VALUE"""),"")</f>
        <v/>
      </c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5.75" customHeight="1">
      <c r="A86" s="46"/>
      <c r="B86" s="46"/>
      <c r="C86" s="46" t="str">
        <f>IFERROR(__xludf.DUMMYFUNCTION("""COMPUTED_VALUE"""),"")</f>
        <v/>
      </c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5.75" customHeight="1">
      <c r="A87" s="46"/>
      <c r="B87" s="46"/>
      <c r="C87" s="46" t="str">
        <f>IFERROR(__xludf.DUMMYFUNCTION("""COMPUTED_VALUE"""),"")</f>
        <v/>
      </c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5.75" customHeight="1">
      <c r="A88" s="46"/>
      <c r="B88" s="46"/>
      <c r="C88" s="46" t="str">
        <f>IFERROR(__xludf.DUMMYFUNCTION("""COMPUTED_VALUE"""),"")</f>
        <v/>
      </c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5.75" customHeight="1">
      <c r="A89" s="46"/>
      <c r="B89" s="46"/>
      <c r="C89" s="46" t="str">
        <f>IFERROR(__xludf.DUMMYFUNCTION("""COMPUTED_VALUE"""),"")</f>
        <v/>
      </c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5.75" customHeight="1">
      <c r="A90" s="46"/>
      <c r="B90" s="46"/>
      <c r="C90" s="46" t="str">
        <f>IFERROR(__xludf.DUMMYFUNCTION("""COMPUTED_VALUE"""),"")</f>
        <v/>
      </c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5.75" customHeight="1">
      <c r="A91" s="46"/>
      <c r="B91" s="46"/>
      <c r="C91" s="46" t="str">
        <f>IFERROR(__xludf.DUMMYFUNCTION("""COMPUTED_VALUE"""),"")</f>
        <v/>
      </c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5.75" customHeight="1">
      <c r="A92" s="46"/>
      <c r="B92" s="46"/>
      <c r="C92" s="46" t="str">
        <f>IFERROR(__xludf.DUMMYFUNCTION("""COMPUTED_VALUE"""),"")</f>
        <v/>
      </c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5.75" customHeight="1">
      <c r="A93" s="46"/>
      <c r="B93" s="46"/>
      <c r="C93" s="46" t="str">
        <f>IFERROR(__xludf.DUMMYFUNCTION("""COMPUTED_VALUE"""),"")</f>
        <v/>
      </c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5.75" customHeight="1">
      <c r="A94" s="46"/>
      <c r="B94" s="46"/>
      <c r="C94" s="46" t="str">
        <f>IFERROR(__xludf.DUMMYFUNCTION("""COMPUTED_VALUE"""),"")</f>
        <v/>
      </c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5.75" customHeight="1">
      <c r="A95" s="46"/>
      <c r="B95" s="46"/>
      <c r="C95" s="46" t="str">
        <f>IFERROR(__xludf.DUMMYFUNCTION("""COMPUTED_VALUE"""),"")</f>
        <v/>
      </c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5.75" customHeight="1">
      <c r="A96" s="46"/>
      <c r="B96" s="46"/>
      <c r="C96" s="46" t="str">
        <f>IFERROR(__xludf.DUMMYFUNCTION("""COMPUTED_VALUE"""),"")</f>
        <v/>
      </c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5.75" customHeight="1">
      <c r="A97" s="46"/>
      <c r="B97" s="46"/>
      <c r="C97" s="46" t="str">
        <f>IFERROR(__xludf.DUMMYFUNCTION("""COMPUTED_VALUE"""),"")</f>
        <v/>
      </c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5.75" customHeight="1">
      <c r="A98" s="46"/>
      <c r="B98" s="46"/>
      <c r="C98" s="46" t="str">
        <f>IFERROR(__xludf.DUMMYFUNCTION("""COMPUTED_VALUE"""),"")</f>
        <v/>
      </c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5.75" customHeight="1">
      <c r="A99" s="46"/>
      <c r="B99" s="46"/>
      <c r="C99" s="46" t="str">
        <f>IFERROR(__xludf.DUMMYFUNCTION("""COMPUTED_VALUE"""),"")</f>
        <v/>
      </c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5.75" customHeight="1">
      <c r="A100" s="46"/>
      <c r="B100" s="46"/>
      <c r="C100" s="46" t="str">
        <f>IFERROR(__xludf.DUMMYFUNCTION("""COMPUTED_VALUE"""),"")</f>
        <v/>
      </c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5.75" customHeight="1">
      <c r="A101" s="46"/>
      <c r="B101" s="46"/>
      <c r="C101" s="46" t="str">
        <f>IFERROR(__xludf.DUMMYFUNCTION("""COMPUTED_VALUE"""),"")</f>
        <v/>
      </c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5.75" customHeight="1">
      <c r="A102" s="46"/>
      <c r="B102" s="46"/>
      <c r="C102" s="46" t="str">
        <f>IFERROR(__xludf.DUMMYFUNCTION("""COMPUTED_VALUE"""),"")</f>
        <v/>
      </c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5.75" customHeight="1">
      <c r="A103" s="46"/>
      <c r="B103" s="46"/>
      <c r="C103" s="46" t="str">
        <f>IFERROR(__xludf.DUMMYFUNCTION("""COMPUTED_VALUE"""),"")</f>
        <v/>
      </c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5.75" customHeight="1">
      <c r="A104" s="46"/>
      <c r="B104" s="46"/>
      <c r="C104" s="46" t="str">
        <f>IFERROR(__xludf.DUMMYFUNCTION("""COMPUTED_VALUE"""),"")</f>
        <v/>
      </c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5.75" customHeight="1">
      <c r="A105" s="46"/>
      <c r="B105" s="46"/>
      <c r="C105" s="46" t="str">
        <f>IFERROR(__xludf.DUMMYFUNCTION("""COMPUTED_VALUE"""),"")</f>
        <v/>
      </c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5.75" customHeight="1">
      <c r="A106" s="46"/>
      <c r="B106" s="46"/>
      <c r="C106" s="46" t="str">
        <f>IFERROR(__xludf.DUMMYFUNCTION("""COMPUTED_VALUE"""),"")</f>
        <v/>
      </c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5.75" customHeight="1">
      <c r="A107" s="46"/>
      <c r="B107" s="46"/>
      <c r="C107" s="46" t="str">
        <f>IFERROR(__xludf.DUMMYFUNCTION("""COMPUTED_VALUE"""),"")</f>
        <v/>
      </c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5.75" customHeight="1">
      <c r="A108" s="46"/>
      <c r="B108" s="46"/>
      <c r="C108" s="46" t="str">
        <f>IFERROR(__xludf.DUMMYFUNCTION("""COMPUTED_VALUE"""),"")</f>
        <v/>
      </c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5.75" customHeight="1">
      <c r="A109" s="46"/>
      <c r="B109" s="46"/>
      <c r="C109" s="46" t="str">
        <f>IFERROR(__xludf.DUMMYFUNCTION("""COMPUTED_VALUE"""),"")</f>
        <v/>
      </c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5.75" customHeight="1">
      <c r="A110" s="46"/>
      <c r="B110" s="46"/>
      <c r="C110" s="46" t="str">
        <f>IFERROR(__xludf.DUMMYFUNCTION("""COMPUTED_VALUE"""),"")</f>
        <v/>
      </c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5.75" customHeight="1">
      <c r="A111" s="46"/>
      <c r="B111" s="46"/>
      <c r="C111" s="46" t="str">
        <f>IFERROR(__xludf.DUMMYFUNCTION("""COMPUTED_VALUE"""),"")</f>
        <v/>
      </c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5.75" customHeight="1">
      <c r="A112" s="46"/>
      <c r="B112" s="46"/>
      <c r="C112" s="46" t="str">
        <f>IFERROR(__xludf.DUMMYFUNCTION("""COMPUTED_VALUE"""),"")</f>
        <v/>
      </c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5.75" customHeight="1">
      <c r="A113" s="46"/>
      <c r="B113" s="46"/>
      <c r="C113" s="46" t="str">
        <f>IFERROR(__xludf.DUMMYFUNCTION("""COMPUTED_VALUE"""),"")</f>
        <v/>
      </c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5.75" customHeight="1">
      <c r="A114" s="46"/>
      <c r="B114" s="46"/>
      <c r="C114" s="46" t="str">
        <f>IFERROR(__xludf.DUMMYFUNCTION("""COMPUTED_VALUE"""),"")</f>
        <v/>
      </c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5.75" customHeight="1">
      <c r="A115" s="46"/>
      <c r="B115" s="46"/>
      <c r="C115" s="46" t="str">
        <f>IFERROR(__xludf.DUMMYFUNCTION("""COMPUTED_VALUE"""),"")</f>
        <v/>
      </c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5.75" customHeight="1">
      <c r="A116" s="46"/>
      <c r="B116" s="46"/>
      <c r="C116" s="46" t="str">
        <f>IFERROR(__xludf.DUMMYFUNCTION("""COMPUTED_VALUE"""),"")</f>
        <v/>
      </c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5.75" customHeight="1">
      <c r="A117" s="46"/>
      <c r="B117" s="46"/>
      <c r="C117" s="46" t="str">
        <f>IFERROR(__xludf.DUMMYFUNCTION("""COMPUTED_VALUE"""),"")</f>
        <v/>
      </c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5.75" customHeight="1">
      <c r="A118" s="46"/>
      <c r="B118" s="46"/>
      <c r="C118" s="46" t="str">
        <f>IFERROR(__xludf.DUMMYFUNCTION("""COMPUTED_VALUE"""),"")</f>
        <v/>
      </c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5.75" customHeight="1">
      <c r="A119" s="46"/>
      <c r="B119" s="46"/>
      <c r="C119" s="46" t="str">
        <f>IFERROR(__xludf.DUMMYFUNCTION("""COMPUTED_VALUE"""),"")</f>
        <v/>
      </c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5.75" customHeight="1">
      <c r="A120" s="46"/>
      <c r="B120" s="46"/>
      <c r="C120" s="46" t="str">
        <f>IFERROR(__xludf.DUMMYFUNCTION("""COMPUTED_VALUE"""),"")</f>
        <v/>
      </c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5.75" customHeight="1">
      <c r="A121" s="46"/>
      <c r="B121" s="46"/>
      <c r="C121" s="46" t="str">
        <f>IFERROR(__xludf.DUMMYFUNCTION("""COMPUTED_VALUE"""),"")</f>
        <v/>
      </c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5.75" customHeight="1">
      <c r="A122" s="46"/>
      <c r="B122" s="46"/>
      <c r="C122" s="46" t="str">
        <f>IFERROR(__xludf.DUMMYFUNCTION("""COMPUTED_VALUE"""),"")</f>
        <v/>
      </c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5.75" customHeight="1">
      <c r="A123" s="46"/>
      <c r="B123" s="46"/>
      <c r="C123" s="46" t="str">
        <f>IFERROR(__xludf.DUMMYFUNCTION("""COMPUTED_VALUE"""),"")</f>
        <v/>
      </c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5.75" customHeight="1">
      <c r="A124" s="46"/>
      <c r="B124" s="46"/>
      <c r="C124" s="46" t="str">
        <f>IFERROR(__xludf.DUMMYFUNCTION("""COMPUTED_VALUE"""),"")</f>
        <v/>
      </c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5.75" customHeight="1">
      <c r="A125" s="46"/>
      <c r="B125" s="46"/>
      <c r="C125" s="46" t="str">
        <f>IFERROR(__xludf.DUMMYFUNCTION("""COMPUTED_VALUE"""),"")</f>
        <v/>
      </c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5.75" customHeight="1">
      <c r="A126" s="46"/>
      <c r="B126" s="46"/>
      <c r="C126" s="46" t="str">
        <f>IFERROR(__xludf.DUMMYFUNCTION("""COMPUTED_VALUE"""),"")</f>
        <v/>
      </c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5.75" customHeight="1">
      <c r="A127" s="46"/>
      <c r="B127" s="46"/>
      <c r="C127" s="46" t="str">
        <f>IFERROR(__xludf.DUMMYFUNCTION("""COMPUTED_VALUE"""),"")</f>
        <v/>
      </c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5.75" customHeight="1">
      <c r="A128" s="46"/>
      <c r="B128" s="46"/>
      <c r="C128" s="46" t="str">
        <f>IFERROR(__xludf.DUMMYFUNCTION("""COMPUTED_VALUE"""),"")</f>
        <v/>
      </c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5.75" customHeight="1">
      <c r="A129" s="46"/>
      <c r="B129" s="46"/>
      <c r="C129" s="46" t="str">
        <f>IFERROR(__xludf.DUMMYFUNCTION("""COMPUTED_VALUE"""),"")</f>
        <v/>
      </c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5.75" customHeight="1">
      <c r="A130" s="46"/>
      <c r="B130" s="46"/>
      <c r="C130" s="46" t="str">
        <f>IFERROR(__xludf.DUMMYFUNCTION("""COMPUTED_VALUE"""),"")</f>
        <v/>
      </c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5.75" customHeight="1">
      <c r="A131" s="46"/>
      <c r="B131" s="46"/>
      <c r="C131" s="46" t="str">
        <f>IFERROR(__xludf.DUMMYFUNCTION("""COMPUTED_VALUE"""),"")</f>
        <v/>
      </c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5.75" customHeight="1">
      <c r="A132" s="46"/>
      <c r="B132" s="46"/>
      <c r="C132" s="46" t="str">
        <f>IFERROR(__xludf.DUMMYFUNCTION("""COMPUTED_VALUE"""),"")</f>
        <v/>
      </c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5.75" customHeight="1">
      <c r="A133" s="46"/>
      <c r="B133" s="46"/>
      <c r="C133" s="46" t="str">
        <f>IFERROR(__xludf.DUMMYFUNCTION("""COMPUTED_VALUE"""),"")</f>
        <v/>
      </c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5.75" customHeight="1">
      <c r="A134" s="46"/>
      <c r="B134" s="46"/>
      <c r="C134" s="46" t="str">
        <f>IFERROR(__xludf.DUMMYFUNCTION("""COMPUTED_VALUE"""),"")</f>
        <v/>
      </c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5.75" customHeight="1">
      <c r="A135" s="46"/>
      <c r="B135" s="46"/>
      <c r="C135" s="46" t="str">
        <f>IFERROR(__xludf.DUMMYFUNCTION("""COMPUTED_VALUE"""),"")</f>
        <v/>
      </c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5.75" customHeight="1">
      <c r="A136" s="46"/>
      <c r="B136" s="46"/>
      <c r="C136" s="46" t="str">
        <f>IFERROR(__xludf.DUMMYFUNCTION("""COMPUTED_VALUE"""),"")</f>
        <v/>
      </c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5.75" customHeight="1">
      <c r="A137" s="46"/>
      <c r="B137" s="46"/>
      <c r="C137" s="46" t="str">
        <f>IFERROR(__xludf.DUMMYFUNCTION("""COMPUTED_VALUE"""),"")</f>
        <v/>
      </c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5.75" customHeight="1">
      <c r="A138" s="46"/>
      <c r="B138" s="46"/>
      <c r="C138" s="46" t="str">
        <f>IFERROR(__xludf.DUMMYFUNCTION("""COMPUTED_VALUE"""),"")</f>
        <v/>
      </c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5.75" customHeight="1">
      <c r="A139" s="46"/>
      <c r="B139" s="46"/>
      <c r="C139" s="46" t="str">
        <f>IFERROR(__xludf.DUMMYFUNCTION("""COMPUTED_VALUE"""),"")</f>
        <v/>
      </c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5.75" customHeight="1">
      <c r="A140" s="46"/>
      <c r="B140" s="46"/>
      <c r="C140" s="46" t="str">
        <f>IFERROR(__xludf.DUMMYFUNCTION("""COMPUTED_VALUE"""),"")</f>
        <v/>
      </c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5.75" customHeight="1">
      <c r="A141" s="46"/>
      <c r="B141" s="46"/>
      <c r="C141" s="46" t="str">
        <f>IFERROR(__xludf.DUMMYFUNCTION("""COMPUTED_VALUE"""),"")</f>
        <v/>
      </c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5.75" customHeight="1">
      <c r="A142" s="46"/>
      <c r="B142" s="46"/>
      <c r="C142" s="46" t="str">
        <f>IFERROR(__xludf.DUMMYFUNCTION("""COMPUTED_VALUE"""),"")</f>
        <v/>
      </c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5.75" customHeight="1">
      <c r="A143" s="46"/>
      <c r="B143" s="46"/>
      <c r="C143" s="46" t="str">
        <f>IFERROR(__xludf.DUMMYFUNCTION("""COMPUTED_VALUE"""),"")</f>
        <v/>
      </c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5.75" customHeight="1">
      <c r="A144" s="46"/>
      <c r="B144" s="46"/>
      <c r="C144" s="46" t="str">
        <f>IFERROR(__xludf.DUMMYFUNCTION("""COMPUTED_VALUE"""),"")</f>
        <v/>
      </c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5.75" customHeight="1">
      <c r="A145" s="46"/>
      <c r="B145" s="46"/>
      <c r="C145" s="46" t="str">
        <f>IFERROR(__xludf.DUMMYFUNCTION("""COMPUTED_VALUE"""),"")</f>
        <v/>
      </c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5.75" customHeight="1">
      <c r="A146" s="46"/>
      <c r="B146" s="46"/>
      <c r="C146" s="46" t="str">
        <f>IFERROR(__xludf.DUMMYFUNCTION("""COMPUTED_VALUE"""),"")</f>
        <v/>
      </c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5.75" customHeight="1">
      <c r="A147" s="46"/>
      <c r="B147" s="46"/>
      <c r="C147" s="46" t="str">
        <f>IFERROR(__xludf.DUMMYFUNCTION("""COMPUTED_VALUE"""),"")</f>
        <v/>
      </c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5.75" customHeight="1">
      <c r="A148" s="46"/>
      <c r="B148" s="46"/>
      <c r="C148" s="46" t="str">
        <f>IFERROR(__xludf.DUMMYFUNCTION("""COMPUTED_VALUE"""),"")</f>
        <v/>
      </c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5.75" customHeight="1">
      <c r="A149" s="46"/>
      <c r="B149" s="46"/>
      <c r="C149" s="46" t="str">
        <f>IFERROR(__xludf.DUMMYFUNCTION("""COMPUTED_VALUE"""),"")</f>
        <v/>
      </c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5.75" customHeight="1">
      <c r="A150" s="46"/>
      <c r="B150" s="46"/>
      <c r="C150" s="46" t="str">
        <f>IFERROR(__xludf.DUMMYFUNCTION("""COMPUTED_VALUE"""),"")</f>
        <v/>
      </c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5.75" customHeight="1">
      <c r="A151" s="46"/>
      <c r="B151" s="46"/>
      <c r="C151" s="46" t="str">
        <f>IFERROR(__xludf.DUMMYFUNCTION("""COMPUTED_VALUE"""),"")</f>
        <v/>
      </c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5.75" customHeight="1">
      <c r="A152" s="46"/>
      <c r="B152" s="46"/>
      <c r="C152" s="46" t="str">
        <f>IFERROR(__xludf.DUMMYFUNCTION("""COMPUTED_VALUE"""),"")</f>
        <v/>
      </c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5.75" customHeight="1">
      <c r="A153" s="46"/>
      <c r="B153" s="46"/>
      <c r="C153" s="46" t="str">
        <f>IFERROR(__xludf.DUMMYFUNCTION("""COMPUTED_VALUE"""),"")</f>
        <v/>
      </c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5.75" customHeight="1">
      <c r="A154" s="46"/>
      <c r="B154" s="46"/>
      <c r="C154" s="46" t="str">
        <f>IFERROR(__xludf.DUMMYFUNCTION("""COMPUTED_VALUE"""),"")</f>
        <v/>
      </c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5.75" customHeight="1">
      <c r="A155" s="46"/>
      <c r="B155" s="46"/>
      <c r="C155" s="46" t="str">
        <f>IFERROR(__xludf.DUMMYFUNCTION("""COMPUTED_VALUE"""),"")</f>
        <v/>
      </c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5.75" customHeight="1">
      <c r="A156" s="46"/>
      <c r="B156" s="46"/>
      <c r="C156" s="46" t="str">
        <f>IFERROR(__xludf.DUMMYFUNCTION("""COMPUTED_VALUE"""),"")</f>
        <v/>
      </c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5.75" customHeight="1">
      <c r="A157" s="46"/>
      <c r="B157" s="46"/>
      <c r="C157" s="46" t="str">
        <f>IFERROR(__xludf.DUMMYFUNCTION("""COMPUTED_VALUE"""),"")</f>
        <v/>
      </c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5.75" customHeight="1">
      <c r="A158" s="46"/>
      <c r="B158" s="46"/>
      <c r="C158" s="46" t="str">
        <f>IFERROR(__xludf.DUMMYFUNCTION("""COMPUTED_VALUE"""),"")</f>
        <v/>
      </c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5.75" customHeight="1">
      <c r="A159" s="46"/>
      <c r="B159" s="46"/>
      <c r="C159" s="46" t="str">
        <f>IFERROR(__xludf.DUMMYFUNCTION("""COMPUTED_VALUE"""),"")</f>
        <v/>
      </c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5.75" customHeight="1">
      <c r="A160" s="46"/>
      <c r="B160" s="46"/>
      <c r="C160" s="46" t="str">
        <f>IFERROR(__xludf.DUMMYFUNCTION("""COMPUTED_VALUE"""),"")</f>
        <v/>
      </c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5.75" customHeight="1">
      <c r="A161" s="46"/>
      <c r="B161" s="46"/>
      <c r="C161" s="46" t="str">
        <f>IFERROR(__xludf.DUMMYFUNCTION("""COMPUTED_VALUE"""),"")</f>
        <v/>
      </c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5.75" customHeight="1">
      <c r="A162" s="46"/>
      <c r="B162" s="46"/>
      <c r="C162" s="46" t="str">
        <f>IFERROR(__xludf.DUMMYFUNCTION("""COMPUTED_VALUE"""),"")</f>
        <v/>
      </c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5.75" customHeight="1">
      <c r="A163" s="46"/>
      <c r="B163" s="46"/>
      <c r="C163" s="46" t="str">
        <f>IFERROR(__xludf.DUMMYFUNCTION("""COMPUTED_VALUE"""),"")</f>
        <v/>
      </c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5.75" customHeight="1">
      <c r="A164" s="46"/>
      <c r="B164" s="46"/>
      <c r="C164" s="46" t="str">
        <f>IFERROR(__xludf.DUMMYFUNCTION("""COMPUTED_VALUE"""),"")</f>
        <v/>
      </c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5.75" customHeight="1">
      <c r="A165" s="46"/>
      <c r="B165" s="46"/>
      <c r="C165" s="46" t="str">
        <f>IFERROR(__xludf.DUMMYFUNCTION("""COMPUTED_VALUE"""),"")</f>
        <v/>
      </c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5.75" customHeight="1">
      <c r="A166" s="46"/>
      <c r="B166" s="46"/>
      <c r="C166" s="46" t="str">
        <f>IFERROR(__xludf.DUMMYFUNCTION("""COMPUTED_VALUE"""),"")</f>
        <v/>
      </c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5.75" customHeight="1">
      <c r="A167" s="46"/>
      <c r="B167" s="46"/>
      <c r="C167" s="46" t="str">
        <f>IFERROR(__xludf.DUMMYFUNCTION("""COMPUTED_VALUE"""),"")</f>
        <v/>
      </c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5.75" customHeight="1">
      <c r="A168" s="46"/>
      <c r="B168" s="46"/>
      <c r="C168" s="46" t="str">
        <f>IFERROR(__xludf.DUMMYFUNCTION("""COMPUTED_VALUE"""),"")</f>
        <v/>
      </c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5.75" customHeight="1">
      <c r="A169" s="46"/>
      <c r="B169" s="46"/>
      <c r="C169" s="46" t="str">
        <f>IFERROR(__xludf.DUMMYFUNCTION("""COMPUTED_VALUE"""),"")</f>
        <v/>
      </c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5.75" customHeight="1">
      <c r="A170" s="46"/>
      <c r="B170" s="46"/>
      <c r="C170" s="46" t="str">
        <f>IFERROR(__xludf.DUMMYFUNCTION("""COMPUTED_VALUE"""),"")</f>
        <v/>
      </c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5.75" customHeight="1">
      <c r="A171" s="46"/>
      <c r="B171" s="46"/>
      <c r="C171" s="46" t="str">
        <f>IFERROR(__xludf.DUMMYFUNCTION("""COMPUTED_VALUE"""),"")</f>
        <v/>
      </c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5.75" customHeight="1">
      <c r="A172" s="46"/>
      <c r="B172" s="46"/>
      <c r="C172" s="46" t="str">
        <f>IFERROR(__xludf.DUMMYFUNCTION("""COMPUTED_VALUE"""),"")</f>
        <v/>
      </c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5.75" customHeight="1">
      <c r="A173" s="46"/>
      <c r="B173" s="46"/>
      <c r="C173" s="46" t="str">
        <f>IFERROR(__xludf.DUMMYFUNCTION("""COMPUTED_VALUE"""),"")</f>
        <v/>
      </c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5.75" customHeight="1">
      <c r="A174" s="46"/>
      <c r="B174" s="46"/>
      <c r="C174" s="46" t="str">
        <f>IFERROR(__xludf.DUMMYFUNCTION("""COMPUTED_VALUE"""),"")</f>
        <v/>
      </c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5.75" customHeight="1">
      <c r="A175" s="46"/>
      <c r="B175" s="46"/>
      <c r="C175" s="46" t="str">
        <f>IFERROR(__xludf.DUMMYFUNCTION("""COMPUTED_VALUE"""),"")</f>
        <v/>
      </c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5.75" customHeight="1">
      <c r="A176" s="46"/>
      <c r="B176" s="46"/>
      <c r="C176" s="46" t="str">
        <f>IFERROR(__xludf.DUMMYFUNCTION("""COMPUTED_VALUE"""),"")</f>
        <v/>
      </c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5.75" customHeight="1">
      <c r="A177" s="46"/>
      <c r="B177" s="46"/>
      <c r="C177" s="46" t="str">
        <f>IFERROR(__xludf.DUMMYFUNCTION("""COMPUTED_VALUE"""),"")</f>
        <v/>
      </c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5.75" customHeight="1">
      <c r="A178" s="46"/>
      <c r="B178" s="46"/>
      <c r="C178" s="46" t="str">
        <f>IFERROR(__xludf.DUMMYFUNCTION("""COMPUTED_VALUE"""),"")</f>
        <v/>
      </c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5.75" customHeight="1">
      <c r="A179" s="46"/>
      <c r="B179" s="46"/>
      <c r="C179" s="46" t="str">
        <f>IFERROR(__xludf.DUMMYFUNCTION("""COMPUTED_VALUE"""),"")</f>
        <v/>
      </c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5.75" customHeight="1">
      <c r="A180" s="46"/>
      <c r="B180" s="46"/>
      <c r="C180" s="46" t="str">
        <f>IFERROR(__xludf.DUMMYFUNCTION("""COMPUTED_VALUE"""),"")</f>
        <v/>
      </c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5.75" customHeight="1">
      <c r="A181" s="46"/>
      <c r="B181" s="46"/>
      <c r="C181" s="46" t="str">
        <f>IFERROR(__xludf.DUMMYFUNCTION("""COMPUTED_VALUE"""),"")</f>
        <v/>
      </c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5.75" customHeight="1">
      <c r="A182" s="46"/>
      <c r="B182" s="46"/>
      <c r="C182" s="46" t="str">
        <f>IFERROR(__xludf.DUMMYFUNCTION("""COMPUTED_VALUE"""),"")</f>
        <v/>
      </c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5.75" customHeight="1">
      <c r="A183" s="46"/>
      <c r="B183" s="46"/>
      <c r="C183" s="46" t="str">
        <f>IFERROR(__xludf.DUMMYFUNCTION("""COMPUTED_VALUE"""),"")</f>
        <v/>
      </c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5.75" customHeight="1">
      <c r="A184" s="46"/>
      <c r="B184" s="46"/>
      <c r="C184" s="46" t="str">
        <f>IFERROR(__xludf.DUMMYFUNCTION("""COMPUTED_VALUE"""),"")</f>
        <v/>
      </c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5.75" customHeight="1">
      <c r="A185" s="46"/>
      <c r="B185" s="46"/>
      <c r="C185" s="46" t="str">
        <f>IFERROR(__xludf.DUMMYFUNCTION("""COMPUTED_VALUE"""),"")</f>
        <v/>
      </c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5.75" customHeight="1">
      <c r="A186" s="46"/>
      <c r="B186" s="46"/>
      <c r="C186" s="46" t="str">
        <f>IFERROR(__xludf.DUMMYFUNCTION("""COMPUTED_VALUE"""),"")</f>
        <v/>
      </c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5.75" customHeight="1">
      <c r="A187" s="46"/>
      <c r="B187" s="46"/>
      <c r="C187" s="46" t="str">
        <f>IFERROR(__xludf.DUMMYFUNCTION("""COMPUTED_VALUE"""),"")</f>
        <v/>
      </c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5.75" customHeight="1">
      <c r="A188" s="46"/>
      <c r="B188" s="46"/>
      <c r="C188" s="46" t="str">
        <f>IFERROR(__xludf.DUMMYFUNCTION("""COMPUTED_VALUE"""),"")</f>
        <v/>
      </c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5.75" customHeight="1">
      <c r="A189" s="46"/>
      <c r="B189" s="46"/>
      <c r="C189" s="46" t="str">
        <f>IFERROR(__xludf.DUMMYFUNCTION("""COMPUTED_VALUE"""),"")</f>
        <v/>
      </c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5.75" customHeight="1">
      <c r="A190" s="46"/>
      <c r="B190" s="46"/>
      <c r="C190" s="46" t="str">
        <f>IFERROR(__xludf.DUMMYFUNCTION("""COMPUTED_VALUE"""),"")</f>
        <v/>
      </c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5.75" customHeight="1">
      <c r="A191" s="46"/>
      <c r="B191" s="46"/>
      <c r="C191" s="46" t="str">
        <f>IFERROR(__xludf.DUMMYFUNCTION("""COMPUTED_VALUE"""),"")</f>
        <v/>
      </c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5.75" customHeight="1">
      <c r="A192" s="46"/>
      <c r="B192" s="46"/>
      <c r="C192" s="46" t="str">
        <f>IFERROR(__xludf.DUMMYFUNCTION("""COMPUTED_VALUE"""),"")</f>
        <v/>
      </c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5.75" customHeight="1">
      <c r="A193" s="46"/>
      <c r="B193" s="46"/>
      <c r="C193" s="46" t="str">
        <f>IFERROR(__xludf.DUMMYFUNCTION("""COMPUTED_VALUE"""),"")</f>
        <v/>
      </c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5.75" customHeight="1">
      <c r="A194" s="46"/>
      <c r="B194" s="46"/>
      <c r="C194" s="46" t="str">
        <f>IFERROR(__xludf.DUMMYFUNCTION("""COMPUTED_VALUE"""),"")</f>
        <v/>
      </c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5.75" customHeight="1">
      <c r="A195" s="46"/>
      <c r="B195" s="46"/>
      <c r="C195" s="46" t="str">
        <f>IFERROR(__xludf.DUMMYFUNCTION("""COMPUTED_VALUE"""),"")</f>
        <v/>
      </c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5.75" customHeight="1">
      <c r="A196" s="46"/>
      <c r="B196" s="46"/>
      <c r="C196" s="46" t="str">
        <f>IFERROR(__xludf.DUMMYFUNCTION("""COMPUTED_VALUE"""),"")</f>
        <v/>
      </c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5.75" customHeight="1">
      <c r="A197" s="46"/>
      <c r="B197" s="46"/>
      <c r="C197" s="46" t="str">
        <f>IFERROR(__xludf.DUMMYFUNCTION("""COMPUTED_VALUE"""),"")</f>
        <v/>
      </c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5.75" customHeight="1">
      <c r="A198" s="46"/>
      <c r="B198" s="46"/>
      <c r="C198" s="46" t="str">
        <f>IFERROR(__xludf.DUMMYFUNCTION("""COMPUTED_VALUE"""),"")</f>
        <v/>
      </c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5.75" customHeight="1">
      <c r="A199" s="46"/>
      <c r="B199" s="46"/>
      <c r="C199" s="46" t="str">
        <f>IFERROR(__xludf.DUMMYFUNCTION("""COMPUTED_VALUE"""),"")</f>
        <v/>
      </c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5.75" customHeight="1">
      <c r="A200" s="46"/>
      <c r="B200" s="46"/>
      <c r="C200" s="46" t="str">
        <f>IFERROR(__xludf.DUMMYFUNCTION("""COMPUTED_VALUE"""),"")</f>
        <v/>
      </c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5.75" customHeight="1">
      <c r="A201" s="46"/>
      <c r="B201" s="46"/>
      <c r="C201" s="46" t="str">
        <f>IFERROR(__xludf.DUMMYFUNCTION("""COMPUTED_VALUE"""),"")</f>
        <v/>
      </c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5.75" customHeight="1">
      <c r="A202" s="46"/>
      <c r="B202" s="46"/>
      <c r="C202" s="46" t="str">
        <f>IFERROR(__xludf.DUMMYFUNCTION("""COMPUTED_VALUE"""),"")</f>
        <v/>
      </c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5.75" customHeight="1">
      <c r="A203" s="46"/>
      <c r="B203" s="46"/>
      <c r="C203" s="46" t="str">
        <f>IFERROR(__xludf.DUMMYFUNCTION("""COMPUTED_VALUE"""),"")</f>
        <v/>
      </c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5.75" customHeight="1">
      <c r="A204" s="46"/>
      <c r="B204" s="46"/>
      <c r="C204" s="46" t="str">
        <f>IFERROR(__xludf.DUMMYFUNCTION("""COMPUTED_VALUE"""),"")</f>
        <v/>
      </c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5.75" customHeight="1">
      <c r="A205" s="46"/>
      <c r="B205" s="46"/>
      <c r="C205" s="46" t="str">
        <f>IFERROR(__xludf.DUMMYFUNCTION("""COMPUTED_VALUE"""),"")</f>
        <v/>
      </c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5.75" customHeight="1">
      <c r="A206" s="46"/>
      <c r="B206" s="46"/>
      <c r="C206" s="46" t="str">
        <f>IFERROR(__xludf.DUMMYFUNCTION("""COMPUTED_VALUE"""),"")</f>
        <v/>
      </c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5.75" customHeight="1">
      <c r="A207" s="46"/>
      <c r="B207" s="46"/>
      <c r="C207" s="46" t="str">
        <f>IFERROR(__xludf.DUMMYFUNCTION("""COMPUTED_VALUE"""),"")</f>
        <v/>
      </c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5.75" customHeight="1">
      <c r="A208" s="46"/>
      <c r="B208" s="46"/>
      <c r="C208" s="46" t="str">
        <f>IFERROR(__xludf.DUMMYFUNCTION("""COMPUTED_VALUE"""),"")</f>
        <v/>
      </c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5.75" customHeight="1">
      <c r="A209" s="46"/>
      <c r="B209" s="46"/>
      <c r="C209" s="46" t="str">
        <f>IFERROR(__xludf.DUMMYFUNCTION("""COMPUTED_VALUE"""),"")</f>
        <v/>
      </c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5.75" customHeight="1">
      <c r="A210" s="46"/>
      <c r="B210" s="46"/>
      <c r="C210" s="46" t="str">
        <f>IFERROR(__xludf.DUMMYFUNCTION("""COMPUTED_VALUE"""),"")</f>
        <v/>
      </c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5.75" customHeight="1">
      <c r="A211" s="46"/>
      <c r="B211" s="46"/>
      <c r="C211" s="46" t="str">
        <f>IFERROR(__xludf.DUMMYFUNCTION("""COMPUTED_VALUE"""),"")</f>
        <v/>
      </c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5.75" customHeight="1">
      <c r="A212" s="46"/>
      <c r="B212" s="46"/>
      <c r="C212" s="46" t="str">
        <f>IFERROR(__xludf.DUMMYFUNCTION("""COMPUTED_VALUE"""),"")</f>
        <v/>
      </c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5.75" customHeight="1">
      <c r="A213" s="46"/>
      <c r="B213" s="46"/>
      <c r="C213" s="46" t="str">
        <f>IFERROR(__xludf.DUMMYFUNCTION("""COMPUTED_VALUE"""),"")</f>
        <v/>
      </c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5.75" customHeight="1">
      <c r="A214" s="46"/>
      <c r="B214" s="46"/>
      <c r="C214" s="46" t="str">
        <f>IFERROR(__xludf.DUMMYFUNCTION("""COMPUTED_VALUE"""),"")</f>
        <v/>
      </c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5.75" customHeight="1">
      <c r="A215" s="46"/>
      <c r="B215" s="46"/>
      <c r="C215" s="46" t="str">
        <f>IFERROR(__xludf.DUMMYFUNCTION("""COMPUTED_VALUE"""),"")</f>
        <v/>
      </c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5.75" customHeight="1">
      <c r="A216" s="46"/>
      <c r="B216" s="46"/>
      <c r="C216" s="46" t="str">
        <f>IFERROR(__xludf.DUMMYFUNCTION("""COMPUTED_VALUE"""),"")</f>
        <v/>
      </c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5.75" customHeight="1">
      <c r="A217" s="46"/>
      <c r="B217" s="46"/>
      <c r="C217" s="46" t="str">
        <f>IFERROR(__xludf.DUMMYFUNCTION("""COMPUTED_VALUE"""),"")</f>
        <v/>
      </c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5.75" customHeight="1">
      <c r="A218" s="46"/>
      <c r="B218" s="46"/>
      <c r="C218" s="46" t="str">
        <f>IFERROR(__xludf.DUMMYFUNCTION("""COMPUTED_VALUE"""),"")</f>
        <v/>
      </c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5.75" customHeight="1">
      <c r="A219" s="46"/>
      <c r="B219" s="46"/>
      <c r="C219" s="46" t="str">
        <f>IFERROR(__xludf.DUMMYFUNCTION("""COMPUTED_VALUE"""),"")</f>
        <v/>
      </c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5.75" customHeight="1">
      <c r="A220" s="46"/>
      <c r="B220" s="46"/>
      <c r="C220" s="46" t="str">
        <f>IFERROR(__xludf.DUMMYFUNCTION("""COMPUTED_VALUE"""),"")</f>
        <v/>
      </c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5.75" customHeight="1">
      <c r="C221" s="58" t="str">
        <f>IFERROR(__xludf.DUMMYFUNCTION("""COMPUTED_VALUE"""),"")</f>
        <v/>
      </c>
    </row>
    <row r="222" ht="15.75" customHeight="1">
      <c r="C222" s="58" t="str">
        <f>IFERROR(__xludf.DUMMYFUNCTION("""COMPUTED_VALUE"""),"")</f>
        <v/>
      </c>
    </row>
    <row r="223" ht="15.75" customHeight="1">
      <c r="C223" s="58" t="str">
        <f>IFERROR(__xludf.DUMMYFUNCTION("""COMPUTED_VALUE"""),"")</f>
        <v/>
      </c>
    </row>
    <row r="224" ht="15.75" customHeight="1">
      <c r="C224" s="58" t="str">
        <f>IFERROR(__xludf.DUMMYFUNCTION("""COMPUTED_VALUE"""),"")</f>
        <v/>
      </c>
    </row>
    <row r="225" ht="15.75" customHeight="1">
      <c r="C225" s="58" t="str">
        <f>IFERROR(__xludf.DUMMYFUNCTION("""COMPUTED_VALUE"""),"")</f>
        <v/>
      </c>
    </row>
    <row r="226" ht="15.75" customHeight="1">
      <c r="C226" s="58" t="str">
        <f>IFERROR(__xludf.DUMMYFUNCTION("""COMPUTED_VALUE"""),"")</f>
        <v/>
      </c>
    </row>
    <row r="227" ht="15.75" customHeight="1">
      <c r="C227" s="58" t="str">
        <f>IFERROR(__xludf.DUMMYFUNCTION("""COMPUTED_VALUE"""),"")</f>
        <v/>
      </c>
    </row>
    <row r="228" ht="15.75" customHeight="1">
      <c r="C228" s="58" t="str">
        <f>IFERROR(__xludf.DUMMYFUNCTION("""COMPUTED_VALUE"""),"")</f>
        <v/>
      </c>
    </row>
    <row r="229" ht="15.75" customHeight="1">
      <c r="C229" s="58" t="str">
        <f>IFERROR(__xludf.DUMMYFUNCTION("""COMPUTED_VALUE"""),"")</f>
        <v/>
      </c>
    </row>
    <row r="230" ht="15.75" customHeight="1">
      <c r="C230" s="58" t="str">
        <f>IFERROR(__xludf.DUMMYFUNCTION("""COMPUTED_VALUE"""),"")</f>
        <v/>
      </c>
    </row>
    <row r="231" ht="15.75" customHeight="1">
      <c r="C231" s="58" t="str">
        <f>IFERROR(__xludf.DUMMYFUNCTION("""COMPUTED_VALUE"""),"")</f>
        <v/>
      </c>
    </row>
    <row r="232" ht="15.75" customHeight="1">
      <c r="C232" s="58" t="str">
        <f>IFERROR(__xludf.DUMMYFUNCTION("""COMPUTED_VALUE"""),"")</f>
        <v/>
      </c>
    </row>
    <row r="233" ht="15.75" customHeight="1">
      <c r="C233" s="58" t="str">
        <f>IFERROR(__xludf.DUMMYFUNCTION("""COMPUTED_VALUE"""),"")</f>
        <v/>
      </c>
    </row>
    <row r="234" ht="15.75" customHeight="1">
      <c r="C234" s="58" t="str">
        <f>IFERROR(__xludf.DUMMYFUNCTION("""COMPUTED_VALUE"""),"")</f>
        <v/>
      </c>
    </row>
    <row r="235" ht="15.75" customHeight="1">
      <c r="C235" s="58" t="str">
        <f>IFERROR(__xludf.DUMMYFUNCTION("""COMPUTED_VALUE"""),"")</f>
        <v/>
      </c>
    </row>
    <row r="236" ht="15.75" customHeight="1">
      <c r="C236" s="58" t="str">
        <f>IFERROR(__xludf.DUMMYFUNCTION("""COMPUTED_VALUE"""),"")</f>
        <v/>
      </c>
    </row>
    <row r="237" ht="15.75" customHeight="1">
      <c r="C237" s="58" t="str">
        <f>IFERROR(__xludf.DUMMYFUNCTION("""COMPUTED_VALUE"""),"")</f>
        <v/>
      </c>
    </row>
    <row r="238" ht="15.75" customHeight="1">
      <c r="C238" s="58" t="str">
        <f>IFERROR(__xludf.DUMMYFUNCTION("""COMPUTED_VALUE"""),"")</f>
        <v/>
      </c>
    </row>
    <row r="239" ht="15.75" customHeight="1">
      <c r="C239" s="58" t="str">
        <f>IFERROR(__xludf.DUMMYFUNCTION("""COMPUTED_VALUE"""),"")</f>
        <v/>
      </c>
    </row>
    <row r="240" ht="15.75" customHeight="1">
      <c r="C240" s="58" t="str">
        <f>IFERROR(__xludf.DUMMYFUNCTION("""COMPUTED_VALUE"""),"")</f>
        <v/>
      </c>
    </row>
    <row r="241" ht="15.75" customHeight="1">
      <c r="C241" s="58" t="str">
        <f>IFERROR(__xludf.DUMMYFUNCTION("""COMPUTED_VALUE"""),"")</f>
        <v/>
      </c>
    </row>
    <row r="242" ht="15.75" customHeight="1">
      <c r="C242" s="58" t="str">
        <f>IFERROR(__xludf.DUMMYFUNCTION("""COMPUTED_VALUE"""),"")</f>
        <v/>
      </c>
    </row>
    <row r="243" ht="15.75" customHeight="1">
      <c r="C243" s="58" t="str">
        <f>IFERROR(__xludf.DUMMYFUNCTION("""COMPUTED_VALUE"""),"")</f>
        <v/>
      </c>
    </row>
    <row r="244" ht="15.75" customHeight="1">
      <c r="C244" s="58" t="str">
        <f>IFERROR(__xludf.DUMMYFUNCTION("""COMPUTED_VALUE"""),"")</f>
        <v/>
      </c>
    </row>
    <row r="245" ht="15.75" customHeight="1">
      <c r="C245" s="58" t="str">
        <f>IFERROR(__xludf.DUMMYFUNCTION("""COMPUTED_VALUE"""),"")</f>
        <v/>
      </c>
    </row>
    <row r="246" ht="15.75" customHeight="1">
      <c r="C246" s="58" t="str">
        <f>IFERROR(__xludf.DUMMYFUNCTION("""COMPUTED_VALUE"""),"")</f>
        <v/>
      </c>
    </row>
    <row r="247" ht="15.75" customHeight="1">
      <c r="C247" s="58" t="str">
        <f>IFERROR(__xludf.DUMMYFUNCTION("""COMPUTED_VALUE"""),"")</f>
        <v/>
      </c>
    </row>
    <row r="248" ht="15.75" customHeight="1">
      <c r="C248" s="58" t="str">
        <f>IFERROR(__xludf.DUMMYFUNCTION("""COMPUTED_VALUE"""),"")</f>
        <v/>
      </c>
    </row>
    <row r="249" ht="15.75" customHeight="1">
      <c r="C249" s="58" t="str">
        <f>IFERROR(__xludf.DUMMYFUNCTION("""COMPUTED_VALUE"""),"")</f>
        <v/>
      </c>
    </row>
    <row r="250" ht="15.75" customHeight="1">
      <c r="C250" s="58" t="str">
        <f>IFERROR(__xludf.DUMMYFUNCTION("""COMPUTED_VALUE"""),"")</f>
        <v/>
      </c>
    </row>
    <row r="251" ht="15.75" customHeight="1">
      <c r="C251" s="58" t="str">
        <f>IFERROR(__xludf.DUMMYFUNCTION("""COMPUTED_VALUE"""),"")</f>
        <v/>
      </c>
    </row>
    <row r="252" ht="15.75" customHeight="1">
      <c r="C252" s="58" t="str">
        <f>IFERROR(__xludf.DUMMYFUNCTION("""COMPUTED_VALUE"""),"")</f>
        <v/>
      </c>
    </row>
    <row r="253" ht="15.75" customHeight="1">
      <c r="C253" s="58" t="str">
        <f>IFERROR(__xludf.DUMMYFUNCTION("""COMPUTED_VALUE"""),"")</f>
        <v/>
      </c>
    </row>
    <row r="254" ht="15.75" customHeight="1">
      <c r="C254" s="58" t="str">
        <f>IFERROR(__xludf.DUMMYFUNCTION("""COMPUTED_VALUE"""),"")</f>
        <v/>
      </c>
    </row>
    <row r="255" ht="15.75" customHeight="1">
      <c r="C255" s="58" t="str">
        <f>IFERROR(__xludf.DUMMYFUNCTION("""COMPUTED_VALUE"""),"")</f>
        <v/>
      </c>
    </row>
    <row r="256" ht="15.75" customHeight="1">
      <c r="C256" s="58" t="str">
        <f>IFERROR(__xludf.DUMMYFUNCTION("""COMPUTED_VALUE"""),"")</f>
        <v/>
      </c>
    </row>
    <row r="257" ht="15.75" customHeight="1">
      <c r="C257" s="58" t="str">
        <f>IFERROR(__xludf.DUMMYFUNCTION("""COMPUTED_VALUE"""),"")</f>
        <v/>
      </c>
    </row>
    <row r="258" ht="15.75" customHeight="1">
      <c r="C258" s="58" t="str">
        <f>IFERROR(__xludf.DUMMYFUNCTION("""COMPUTED_VALUE"""),"")</f>
        <v/>
      </c>
    </row>
    <row r="259" ht="15.75" customHeight="1">
      <c r="C259" s="58" t="str">
        <f>IFERROR(__xludf.DUMMYFUNCTION("""COMPUTED_VALUE"""),"")</f>
        <v/>
      </c>
    </row>
    <row r="260" ht="15.75" customHeight="1">
      <c r="C260" s="58" t="str">
        <f>IFERROR(__xludf.DUMMYFUNCTION("""COMPUTED_VALUE"""),"")</f>
        <v/>
      </c>
    </row>
    <row r="261" ht="15.75" customHeight="1">
      <c r="C261" s="58" t="str">
        <f>IFERROR(__xludf.DUMMYFUNCTION("""COMPUTED_VALUE"""),"")</f>
        <v/>
      </c>
    </row>
    <row r="262" ht="15.75" customHeight="1">
      <c r="C262" s="58" t="str">
        <f>IFERROR(__xludf.DUMMYFUNCTION("""COMPUTED_VALUE"""),"")</f>
        <v/>
      </c>
    </row>
    <row r="263" ht="15.75" customHeight="1">
      <c r="C263" s="58" t="str">
        <f>IFERROR(__xludf.DUMMYFUNCTION("""COMPUTED_VALUE"""),"")</f>
        <v/>
      </c>
    </row>
    <row r="264" ht="15.75" customHeight="1">
      <c r="C264" s="58" t="str">
        <f>IFERROR(__xludf.DUMMYFUNCTION("""COMPUTED_VALUE"""),"")</f>
        <v/>
      </c>
    </row>
    <row r="265" ht="15.75" customHeight="1">
      <c r="C265" s="58" t="str">
        <f>IFERROR(__xludf.DUMMYFUNCTION("""COMPUTED_VALUE"""),"")</f>
        <v/>
      </c>
    </row>
    <row r="266" ht="15.75" customHeight="1">
      <c r="C266" s="58" t="str">
        <f>IFERROR(__xludf.DUMMYFUNCTION("""COMPUTED_VALUE"""),"")</f>
        <v/>
      </c>
    </row>
    <row r="267" ht="15.75" customHeight="1">
      <c r="C267" s="58" t="str">
        <f>IFERROR(__xludf.DUMMYFUNCTION("""COMPUTED_VALUE"""),"")</f>
        <v/>
      </c>
    </row>
    <row r="268" ht="15.75" customHeight="1">
      <c r="C268" s="58" t="str">
        <f>IFERROR(__xludf.DUMMYFUNCTION("""COMPUTED_VALUE"""),"")</f>
        <v/>
      </c>
    </row>
    <row r="269" ht="15.75" customHeight="1">
      <c r="C269" s="58" t="str">
        <f>IFERROR(__xludf.DUMMYFUNCTION("""COMPUTED_VALUE"""),"")</f>
        <v/>
      </c>
    </row>
    <row r="270" ht="15.75" customHeight="1">
      <c r="C270" s="58" t="str">
        <f>IFERROR(__xludf.DUMMYFUNCTION("""COMPUTED_VALUE"""),"")</f>
        <v/>
      </c>
    </row>
    <row r="271" ht="15.75" customHeight="1">
      <c r="C271" s="58" t="str">
        <f>IFERROR(__xludf.DUMMYFUNCTION("""COMPUTED_VALUE"""),"")</f>
        <v/>
      </c>
    </row>
    <row r="272" ht="15.75" customHeight="1">
      <c r="C272" s="58" t="str">
        <f>IFERROR(__xludf.DUMMYFUNCTION("""COMPUTED_VALUE"""),"")</f>
        <v/>
      </c>
    </row>
    <row r="273" ht="15.75" customHeight="1">
      <c r="C273" s="58" t="str">
        <f>IFERROR(__xludf.DUMMYFUNCTION("""COMPUTED_VALUE"""),"")</f>
        <v/>
      </c>
    </row>
    <row r="274" ht="15.75" customHeight="1">
      <c r="C274" s="58" t="str">
        <f>IFERROR(__xludf.DUMMYFUNCTION("""COMPUTED_VALUE"""),"")</f>
        <v/>
      </c>
    </row>
    <row r="275" ht="15.75" customHeight="1">
      <c r="C275" s="58" t="str">
        <f>IFERROR(__xludf.DUMMYFUNCTION("""COMPUTED_VALUE"""),"")</f>
        <v/>
      </c>
    </row>
    <row r="276" ht="15.75" customHeight="1">
      <c r="C276" s="58" t="str">
        <f>IFERROR(__xludf.DUMMYFUNCTION("""COMPUTED_VALUE"""),"")</f>
        <v/>
      </c>
    </row>
    <row r="277" ht="15.75" customHeight="1">
      <c r="C277" s="58" t="str">
        <f>IFERROR(__xludf.DUMMYFUNCTION("""COMPUTED_VALUE"""),"")</f>
        <v/>
      </c>
    </row>
    <row r="278" ht="15.75" customHeight="1">
      <c r="C278" s="58" t="str">
        <f>IFERROR(__xludf.DUMMYFUNCTION("""COMPUTED_VALUE"""),"")</f>
        <v/>
      </c>
    </row>
    <row r="279" ht="15.75" customHeight="1">
      <c r="C279" s="58" t="str">
        <f>IFERROR(__xludf.DUMMYFUNCTION("""COMPUTED_VALUE"""),"")</f>
        <v/>
      </c>
    </row>
    <row r="280" ht="15.75" customHeight="1">
      <c r="C280" s="58" t="str">
        <f>IFERROR(__xludf.DUMMYFUNCTION("""COMPUTED_VALUE"""),"")</f>
        <v/>
      </c>
    </row>
    <row r="281" ht="15.75" customHeight="1">
      <c r="C281" s="58" t="str">
        <f>IFERROR(__xludf.DUMMYFUNCTION("""COMPUTED_VALUE"""),"")</f>
        <v/>
      </c>
    </row>
    <row r="282" ht="15.75" customHeight="1">
      <c r="C282" s="58" t="str">
        <f>IFERROR(__xludf.DUMMYFUNCTION("""COMPUTED_VALUE"""),"")</f>
        <v/>
      </c>
    </row>
    <row r="283" ht="15.75" customHeight="1">
      <c r="C283" s="58" t="str">
        <f>IFERROR(__xludf.DUMMYFUNCTION("""COMPUTED_VALUE"""),"")</f>
        <v/>
      </c>
    </row>
    <row r="284" ht="15.75" customHeight="1">
      <c r="C284" s="58" t="str">
        <f>IFERROR(__xludf.DUMMYFUNCTION("""COMPUTED_VALUE"""),"")</f>
        <v/>
      </c>
    </row>
    <row r="285" ht="15.75" customHeight="1">
      <c r="C285" s="58" t="str">
        <f>IFERROR(__xludf.DUMMYFUNCTION("""COMPUTED_VALUE"""),"")</f>
        <v/>
      </c>
    </row>
    <row r="286" ht="15.75" customHeight="1">
      <c r="C286" s="58" t="str">
        <f>IFERROR(__xludf.DUMMYFUNCTION("""COMPUTED_VALUE"""),"")</f>
        <v/>
      </c>
    </row>
    <row r="287" ht="15.75" customHeight="1">
      <c r="C287" s="58" t="str">
        <f>IFERROR(__xludf.DUMMYFUNCTION("""COMPUTED_VALUE"""),"")</f>
        <v/>
      </c>
    </row>
    <row r="288" ht="15.75" customHeight="1">
      <c r="C288" s="58" t="str">
        <f>IFERROR(__xludf.DUMMYFUNCTION("""COMPUTED_VALUE"""),"")</f>
        <v/>
      </c>
    </row>
    <row r="289" ht="15.75" customHeight="1">
      <c r="C289" s="58" t="str">
        <f>IFERROR(__xludf.DUMMYFUNCTION("""COMPUTED_VALUE"""),"")</f>
        <v/>
      </c>
    </row>
    <row r="290" ht="15.75" customHeight="1">
      <c r="C290" s="58" t="str">
        <f>IFERROR(__xludf.DUMMYFUNCTION("""COMPUTED_VALUE"""),"")</f>
        <v/>
      </c>
    </row>
    <row r="291" ht="15.75" customHeight="1">
      <c r="C291" s="58" t="str">
        <f>IFERROR(__xludf.DUMMYFUNCTION("""COMPUTED_VALUE"""),"")</f>
        <v/>
      </c>
    </row>
    <row r="292" ht="15.75" customHeight="1">
      <c r="C292" s="58" t="str">
        <f>IFERROR(__xludf.DUMMYFUNCTION("""COMPUTED_VALUE"""),"")</f>
        <v/>
      </c>
    </row>
    <row r="293" ht="15.75" customHeight="1">
      <c r="C293" s="58" t="str">
        <f>IFERROR(__xludf.DUMMYFUNCTION("""COMPUTED_VALUE"""),"")</f>
        <v/>
      </c>
    </row>
    <row r="294" ht="15.75" customHeight="1">
      <c r="C294" s="58" t="str">
        <f>IFERROR(__xludf.DUMMYFUNCTION("""COMPUTED_VALUE"""),"")</f>
        <v/>
      </c>
    </row>
    <row r="295" ht="15.75" customHeight="1">
      <c r="C295" s="58" t="str">
        <f>IFERROR(__xludf.DUMMYFUNCTION("""COMPUTED_VALUE"""),"")</f>
        <v/>
      </c>
    </row>
    <row r="296" ht="15.75" customHeight="1">
      <c r="C296" s="58" t="str">
        <f>IFERROR(__xludf.DUMMYFUNCTION("""COMPUTED_VALUE"""),"")</f>
        <v/>
      </c>
    </row>
    <row r="297" ht="15.75" customHeight="1">
      <c r="C297" s="58" t="str">
        <f>IFERROR(__xludf.DUMMYFUNCTION("""COMPUTED_VALUE"""),"")</f>
        <v/>
      </c>
    </row>
    <row r="298" ht="15.75" customHeight="1">
      <c r="C298" s="58" t="str">
        <f>IFERROR(__xludf.DUMMYFUNCTION("""COMPUTED_VALUE"""),"")</f>
        <v/>
      </c>
    </row>
    <row r="299" ht="15.75" customHeight="1">
      <c r="C299" s="58" t="str">
        <f>IFERROR(__xludf.DUMMYFUNCTION("""COMPUTED_VALUE"""),"")</f>
        <v/>
      </c>
    </row>
    <row r="300" ht="15.75" customHeight="1">
      <c r="C300" s="58" t="str">
        <f>IFERROR(__xludf.DUMMYFUNCTION("""COMPUTED_VALUE"""),"")</f>
        <v/>
      </c>
    </row>
    <row r="301" ht="15.75" customHeight="1">
      <c r="C301" s="58" t="str">
        <f>IFERROR(__xludf.DUMMYFUNCTION("""COMPUTED_VALUE"""),"")</f>
        <v/>
      </c>
    </row>
    <row r="302" ht="15.75" customHeight="1">
      <c r="C302" s="58" t="str">
        <f>IFERROR(__xludf.DUMMYFUNCTION("""COMPUTED_VALUE"""),"")</f>
        <v/>
      </c>
    </row>
    <row r="303" ht="15.75" customHeight="1">
      <c r="C303" s="58" t="str">
        <f>IFERROR(__xludf.DUMMYFUNCTION("""COMPUTED_VALUE"""),"")</f>
        <v/>
      </c>
    </row>
    <row r="304" ht="15.75" customHeight="1">
      <c r="C304" s="58" t="str">
        <f>IFERROR(__xludf.DUMMYFUNCTION("""COMPUTED_VALUE"""),"")</f>
        <v/>
      </c>
    </row>
    <row r="305" ht="15.75" customHeight="1">
      <c r="C305" s="58" t="str">
        <f>IFERROR(__xludf.DUMMYFUNCTION("""COMPUTED_VALUE"""),"")</f>
        <v/>
      </c>
    </row>
    <row r="306" ht="15.75" customHeight="1">
      <c r="C306" s="58" t="str">
        <f>IFERROR(__xludf.DUMMYFUNCTION("""COMPUTED_VALUE"""),"")</f>
        <v/>
      </c>
    </row>
    <row r="307" ht="15.75" customHeight="1">
      <c r="C307" s="58" t="str">
        <f>IFERROR(__xludf.DUMMYFUNCTION("""COMPUTED_VALUE"""),"")</f>
        <v/>
      </c>
    </row>
    <row r="308" ht="15.75" customHeight="1">
      <c r="C308" s="58" t="str">
        <f>IFERROR(__xludf.DUMMYFUNCTION("""COMPUTED_VALUE"""),"")</f>
        <v/>
      </c>
    </row>
    <row r="309" ht="15.75" customHeight="1">
      <c r="C309" s="58" t="str">
        <f>IFERROR(__xludf.DUMMYFUNCTION("""COMPUTED_VALUE"""),"")</f>
        <v/>
      </c>
    </row>
    <row r="310" ht="15.75" customHeight="1">
      <c r="C310" s="58" t="str">
        <f>IFERROR(__xludf.DUMMYFUNCTION("""COMPUTED_VALUE"""),"")</f>
        <v/>
      </c>
    </row>
    <row r="311" ht="15.75" customHeight="1">
      <c r="C311" s="58" t="str">
        <f>IFERROR(__xludf.DUMMYFUNCTION("""COMPUTED_VALUE"""),"")</f>
        <v/>
      </c>
    </row>
    <row r="312" ht="15.75" customHeight="1">
      <c r="C312" s="58" t="str">
        <f>IFERROR(__xludf.DUMMYFUNCTION("""COMPUTED_VALUE"""),"")</f>
        <v/>
      </c>
    </row>
    <row r="313" ht="15.75" customHeight="1">
      <c r="C313" s="58" t="str">
        <f>IFERROR(__xludf.DUMMYFUNCTION("""COMPUTED_VALUE"""),"")</f>
        <v/>
      </c>
    </row>
    <row r="314" ht="15.75" customHeight="1">
      <c r="C314" s="58" t="str">
        <f>IFERROR(__xludf.DUMMYFUNCTION("""COMPUTED_VALUE"""),"")</f>
        <v/>
      </c>
    </row>
    <row r="315" ht="15.75" customHeight="1">
      <c r="C315" s="58" t="str">
        <f>IFERROR(__xludf.DUMMYFUNCTION("""COMPUTED_VALUE"""),"")</f>
        <v/>
      </c>
    </row>
    <row r="316" ht="15.75" customHeight="1">
      <c r="C316" s="58" t="str">
        <f>IFERROR(__xludf.DUMMYFUNCTION("""COMPUTED_VALUE"""),"")</f>
        <v/>
      </c>
    </row>
    <row r="317" ht="15.75" customHeight="1">
      <c r="C317" s="58" t="str">
        <f>IFERROR(__xludf.DUMMYFUNCTION("""COMPUTED_VALUE"""),"")</f>
        <v/>
      </c>
    </row>
    <row r="318" ht="15.75" customHeight="1">
      <c r="C318" s="58" t="str">
        <f>IFERROR(__xludf.DUMMYFUNCTION("""COMPUTED_VALUE"""),"")</f>
        <v/>
      </c>
    </row>
    <row r="319" ht="15.75" customHeight="1">
      <c r="C319" s="58" t="str">
        <f>IFERROR(__xludf.DUMMYFUNCTION("""COMPUTED_VALUE"""),"")</f>
        <v/>
      </c>
    </row>
    <row r="320" ht="15.75" customHeight="1">
      <c r="C320" s="58" t="str">
        <f>IFERROR(__xludf.DUMMYFUNCTION("""COMPUTED_VALUE"""),"")</f>
        <v/>
      </c>
    </row>
    <row r="321" ht="15.75" customHeight="1">
      <c r="C321" s="58" t="str">
        <f>IFERROR(__xludf.DUMMYFUNCTION("""COMPUTED_VALUE"""),"")</f>
        <v/>
      </c>
    </row>
    <row r="322" ht="15.75" customHeight="1">
      <c r="C322" s="58" t="str">
        <f>IFERROR(__xludf.DUMMYFUNCTION("""COMPUTED_VALUE"""),"")</f>
        <v/>
      </c>
    </row>
    <row r="323" ht="15.75" customHeight="1">
      <c r="C323" s="58" t="str">
        <f>IFERROR(__xludf.DUMMYFUNCTION("""COMPUTED_VALUE"""),"")</f>
        <v/>
      </c>
    </row>
    <row r="324" ht="15.75" customHeight="1">
      <c r="C324" s="58" t="str">
        <f>IFERROR(__xludf.DUMMYFUNCTION("""COMPUTED_VALUE"""),"")</f>
        <v/>
      </c>
    </row>
    <row r="325" ht="15.75" customHeight="1">
      <c r="C325" s="58" t="str">
        <f>IFERROR(__xludf.DUMMYFUNCTION("""COMPUTED_VALUE"""),"")</f>
        <v/>
      </c>
    </row>
    <row r="326" ht="15.75" customHeight="1">
      <c r="C326" s="58" t="str">
        <f>IFERROR(__xludf.DUMMYFUNCTION("""COMPUTED_VALUE"""),"")</f>
        <v/>
      </c>
    </row>
    <row r="327" ht="15.75" customHeight="1">
      <c r="C327" s="58" t="str">
        <f>IFERROR(__xludf.DUMMYFUNCTION("""COMPUTED_VALUE"""),"")</f>
        <v/>
      </c>
    </row>
    <row r="328" ht="15.75" customHeight="1">
      <c r="C328" s="58" t="str">
        <f>IFERROR(__xludf.DUMMYFUNCTION("""COMPUTED_VALUE"""),"")</f>
        <v/>
      </c>
    </row>
    <row r="329" ht="15.75" customHeight="1">
      <c r="C329" s="58" t="str">
        <f>IFERROR(__xludf.DUMMYFUNCTION("""COMPUTED_VALUE"""),"")</f>
        <v/>
      </c>
    </row>
    <row r="330" ht="15.75" customHeight="1">
      <c r="C330" s="58" t="str">
        <f>IFERROR(__xludf.DUMMYFUNCTION("""COMPUTED_VALUE"""),"")</f>
        <v/>
      </c>
    </row>
    <row r="331" ht="15.75" customHeight="1">
      <c r="C331" s="58" t="str">
        <f>IFERROR(__xludf.DUMMYFUNCTION("""COMPUTED_VALUE"""),"")</f>
        <v/>
      </c>
    </row>
    <row r="332" ht="15.75" customHeight="1">
      <c r="C332" s="58" t="str">
        <f>IFERROR(__xludf.DUMMYFUNCTION("""COMPUTED_VALUE"""),"")</f>
        <v/>
      </c>
    </row>
    <row r="333" ht="15.75" customHeight="1">
      <c r="C333" s="58" t="str">
        <f>IFERROR(__xludf.DUMMYFUNCTION("""COMPUTED_VALUE"""),"")</f>
        <v/>
      </c>
    </row>
    <row r="334" ht="15.75" customHeight="1">
      <c r="C334" s="58" t="str">
        <f>IFERROR(__xludf.DUMMYFUNCTION("""COMPUTED_VALUE"""),"")</f>
        <v/>
      </c>
    </row>
    <row r="335" ht="15.75" customHeight="1">
      <c r="C335" s="58" t="str">
        <f>IFERROR(__xludf.DUMMYFUNCTION("""COMPUTED_VALUE"""),"")</f>
        <v/>
      </c>
    </row>
    <row r="336" ht="15.75" customHeight="1">
      <c r="C336" s="58" t="str">
        <f>IFERROR(__xludf.DUMMYFUNCTION("""COMPUTED_VALUE"""),"")</f>
        <v/>
      </c>
    </row>
    <row r="337" ht="15.75" customHeight="1">
      <c r="C337" s="58" t="str">
        <f>IFERROR(__xludf.DUMMYFUNCTION("""COMPUTED_VALUE"""),"")</f>
        <v/>
      </c>
    </row>
    <row r="338" ht="15.75" customHeight="1">
      <c r="C338" s="58" t="str">
        <f>IFERROR(__xludf.DUMMYFUNCTION("""COMPUTED_VALUE"""),"")</f>
        <v/>
      </c>
    </row>
    <row r="339" ht="15.75" customHeight="1">
      <c r="C339" s="58" t="str">
        <f>IFERROR(__xludf.DUMMYFUNCTION("""COMPUTED_VALUE"""),"")</f>
        <v/>
      </c>
    </row>
    <row r="340" ht="15.75" customHeight="1">
      <c r="C340" s="58" t="str">
        <f>IFERROR(__xludf.DUMMYFUNCTION("""COMPUTED_VALUE"""),"")</f>
        <v/>
      </c>
    </row>
    <row r="341" ht="15.75" customHeight="1">
      <c r="C341" s="58" t="str">
        <f>IFERROR(__xludf.DUMMYFUNCTION("""COMPUTED_VALUE"""),"")</f>
        <v/>
      </c>
    </row>
    <row r="342" ht="15.75" customHeight="1">
      <c r="C342" s="58" t="str">
        <f>IFERROR(__xludf.DUMMYFUNCTION("""COMPUTED_VALUE"""),"")</f>
        <v/>
      </c>
    </row>
    <row r="343" ht="15.75" customHeight="1">
      <c r="C343" s="58" t="str">
        <f>IFERROR(__xludf.DUMMYFUNCTION("""COMPUTED_VALUE"""),"")</f>
        <v/>
      </c>
    </row>
    <row r="344" ht="15.75" customHeight="1">
      <c r="C344" s="58" t="str">
        <f>IFERROR(__xludf.DUMMYFUNCTION("""COMPUTED_VALUE"""),"")</f>
        <v/>
      </c>
    </row>
    <row r="345" ht="15.75" customHeight="1">
      <c r="C345" s="58" t="str">
        <f>IFERROR(__xludf.DUMMYFUNCTION("""COMPUTED_VALUE"""),"")</f>
        <v/>
      </c>
    </row>
    <row r="346" ht="15.75" customHeight="1">
      <c r="C346" s="58" t="str">
        <f>IFERROR(__xludf.DUMMYFUNCTION("""COMPUTED_VALUE"""),"")</f>
        <v/>
      </c>
    </row>
    <row r="347" ht="15.75" customHeight="1">
      <c r="C347" s="58" t="str">
        <f>IFERROR(__xludf.DUMMYFUNCTION("""COMPUTED_VALUE"""),"")</f>
        <v/>
      </c>
    </row>
    <row r="348" ht="15.75" customHeight="1">
      <c r="C348" s="58" t="str">
        <f>IFERROR(__xludf.DUMMYFUNCTION("""COMPUTED_VALUE"""),"")</f>
        <v/>
      </c>
    </row>
    <row r="349" ht="15.75" customHeight="1">
      <c r="C349" s="58" t="str">
        <f>IFERROR(__xludf.DUMMYFUNCTION("""COMPUTED_VALUE"""),"")</f>
        <v/>
      </c>
    </row>
    <row r="350" ht="15.75" customHeight="1">
      <c r="C350" s="58" t="str">
        <f>IFERROR(__xludf.DUMMYFUNCTION("""COMPUTED_VALUE"""),"")</f>
        <v/>
      </c>
    </row>
    <row r="351" ht="15.75" customHeight="1">
      <c r="C351" s="58" t="str">
        <f>IFERROR(__xludf.DUMMYFUNCTION("""COMPUTED_VALUE"""),"")</f>
        <v/>
      </c>
    </row>
    <row r="352" ht="15.75" customHeight="1">
      <c r="C352" s="58" t="str">
        <f>IFERROR(__xludf.DUMMYFUNCTION("""COMPUTED_VALUE"""),"")</f>
        <v/>
      </c>
    </row>
    <row r="353" ht="15.75" customHeight="1">
      <c r="C353" s="58" t="str">
        <f>IFERROR(__xludf.DUMMYFUNCTION("""COMPUTED_VALUE"""),"")</f>
        <v/>
      </c>
    </row>
    <row r="354" ht="15.75" customHeight="1">
      <c r="C354" s="58" t="str">
        <f>IFERROR(__xludf.DUMMYFUNCTION("""COMPUTED_VALUE"""),"")</f>
        <v/>
      </c>
    </row>
    <row r="355" ht="15.75" customHeight="1">
      <c r="C355" s="58" t="str">
        <f>IFERROR(__xludf.DUMMYFUNCTION("""COMPUTED_VALUE"""),"")</f>
        <v/>
      </c>
    </row>
    <row r="356" ht="15.75" customHeight="1">
      <c r="C356" s="58" t="str">
        <f>IFERROR(__xludf.DUMMYFUNCTION("""COMPUTED_VALUE"""),"")</f>
        <v/>
      </c>
    </row>
    <row r="357" ht="15.75" customHeight="1">
      <c r="C357" s="58" t="str">
        <f>IFERROR(__xludf.DUMMYFUNCTION("""COMPUTED_VALUE"""),"")</f>
        <v/>
      </c>
    </row>
    <row r="358" ht="15.75" customHeight="1">
      <c r="C358" s="58" t="str">
        <f>IFERROR(__xludf.DUMMYFUNCTION("""COMPUTED_VALUE"""),"")</f>
        <v/>
      </c>
    </row>
    <row r="359" ht="15.75" customHeight="1">
      <c r="C359" s="58" t="str">
        <f>IFERROR(__xludf.DUMMYFUNCTION("""COMPUTED_VALUE"""),"")</f>
        <v/>
      </c>
    </row>
    <row r="360" ht="15.75" customHeight="1">
      <c r="C360" s="58" t="str">
        <f>IFERROR(__xludf.DUMMYFUNCTION("""COMPUTED_VALUE"""),"")</f>
        <v/>
      </c>
    </row>
    <row r="361" ht="15.75" customHeight="1">
      <c r="C361" s="58" t="str">
        <f>IFERROR(__xludf.DUMMYFUNCTION("""COMPUTED_VALUE"""),"")</f>
        <v/>
      </c>
    </row>
    <row r="362" ht="15.75" customHeight="1">
      <c r="C362" s="58" t="str">
        <f>IFERROR(__xludf.DUMMYFUNCTION("""COMPUTED_VALUE"""),"")</f>
        <v/>
      </c>
    </row>
    <row r="363" ht="15.75" customHeight="1">
      <c r="C363" s="58" t="str">
        <f>IFERROR(__xludf.DUMMYFUNCTION("""COMPUTED_VALUE"""),"")</f>
        <v/>
      </c>
    </row>
    <row r="364" ht="15.75" customHeight="1">
      <c r="C364" s="58" t="str">
        <f>IFERROR(__xludf.DUMMYFUNCTION("""COMPUTED_VALUE"""),"")</f>
        <v/>
      </c>
    </row>
    <row r="365" ht="15.75" customHeight="1">
      <c r="C365" s="58" t="str">
        <f>IFERROR(__xludf.DUMMYFUNCTION("""COMPUTED_VALUE"""),"")</f>
        <v/>
      </c>
    </row>
    <row r="366" ht="15.75" customHeight="1">
      <c r="C366" s="58" t="str">
        <f>IFERROR(__xludf.DUMMYFUNCTION("""COMPUTED_VALUE"""),"")</f>
        <v/>
      </c>
    </row>
    <row r="367" ht="15.75" customHeight="1">
      <c r="C367" s="58" t="str">
        <f>IFERROR(__xludf.DUMMYFUNCTION("""COMPUTED_VALUE"""),"")</f>
        <v/>
      </c>
    </row>
    <row r="368" ht="15.75" customHeight="1">
      <c r="C368" s="58" t="str">
        <f>IFERROR(__xludf.DUMMYFUNCTION("""COMPUTED_VALUE"""),"")</f>
        <v/>
      </c>
    </row>
    <row r="369" ht="15.75" customHeight="1">
      <c r="C369" s="58" t="str">
        <f>IFERROR(__xludf.DUMMYFUNCTION("""COMPUTED_VALUE"""),"")</f>
        <v/>
      </c>
    </row>
    <row r="370" ht="15.75" customHeight="1">
      <c r="C370" s="58" t="str">
        <f>IFERROR(__xludf.DUMMYFUNCTION("""COMPUTED_VALUE"""),"")</f>
        <v/>
      </c>
    </row>
    <row r="371" ht="15.75" customHeight="1">
      <c r="C371" s="58" t="str">
        <f>IFERROR(__xludf.DUMMYFUNCTION("""COMPUTED_VALUE"""),"")</f>
        <v/>
      </c>
    </row>
    <row r="372" ht="15.75" customHeight="1">
      <c r="C372" s="58" t="str">
        <f>IFERROR(__xludf.DUMMYFUNCTION("""COMPUTED_VALUE"""),"")</f>
        <v/>
      </c>
    </row>
    <row r="373" ht="15.75" customHeight="1">
      <c r="C373" s="58" t="str">
        <f>IFERROR(__xludf.DUMMYFUNCTION("""COMPUTED_VALUE"""),"")</f>
        <v/>
      </c>
    </row>
    <row r="374" ht="15.75" customHeight="1">
      <c r="C374" s="58" t="str">
        <f>IFERROR(__xludf.DUMMYFUNCTION("""COMPUTED_VALUE"""),"")</f>
        <v/>
      </c>
    </row>
    <row r="375" ht="15.75" customHeight="1">
      <c r="C375" s="58" t="str">
        <f>IFERROR(__xludf.DUMMYFUNCTION("""COMPUTED_VALUE"""),"")</f>
        <v/>
      </c>
    </row>
    <row r="376" ht="15.75" customHeight="1">
      <c r="C376" s="58" t="str">
        <f>IFERROR(__xludf.DUMMYFUNCTION("""COMPUTED_VALUE"""),"")</f>
        <v/>
      </c>
    </row>
    <row r="377" ht="15.75" customHeight="1">
      <c r="C377" s="58" t="str">
        <f>IFERROR(__xludf.DUMMYFUNCTION("""COMPUTED_VALUE"""),"")</f>
        <v/>
      </c>
    </row>
    <row r="378" ht="15.75" customHeight="1">
      <c r="C378" s="58" t="str">
        <f>IFERROR(__xludf.DUMMYFUNCTION("""COMPUTED_VALUE"""),"")</f>
        <v/>
      </c>
    </row>
    <row r="379" ht="15.75" customHeight="1">
      <c r="C379" s="58" t="str">
        <f>IFERROR(__xludf.DUMMYFUNCTION("""COMPUTED_VALUE"""),"")</f>
        <v/>
      </c>
    </row>
    <row r="380" ht="15.75" customHeight="1">
      <c r="C380" s="58" t="str">
        <f>IFERROR(__xludf.DUMMYFUNCTION("""COMPUTED_VALUE"""),"")</f>
        <v/>
      </c>
    </row>
    <row r="381" ht="15.75" customHeight="1">
      <c r="C381" s="58" t="str">
        <f>IFERROR(__xludf.DUMMYFUNCTION("""COMPUTED_VALUE"""),"")</f>
        <v/>
      </c>
    </row>
    <row r="382" ht="15.75" customHeight="1">
      <c r="C382" s="58" t="str">
        <f>IFERROR(__xludf.DUMMYFUNCTION("""COMPUTED_VALUE"""),"")</f>
        <v/>
      </c>
    </row>
    <row r="383" ht="15.75" customHeight="1">
      <c r="C383" s="58" t="str">
        <f>IFERROR(__xludf.DUMMYFUNCTION("""COMPUTED_VALUE"""),"")</f>
        <v/>
      </c>
    </row>
    <row r="384" ht="15.75" customHeight="1">
      <c r="C384" s="58" t="str">
        <f>IFERROR(__xludf.DUMMYFUNCTION("""COMPUTED_VALUE"""),"")</f>
        <v/>
      </c>
    </row>
    <row r="385" ht="15.75" customHeight="1">
      <c r="C385" s="58" t="str">
        <f>IFERROR(__xludf.DUMMYFUNCTION("""COMPUTED_VALUE"""),"")</f>
        <v/>
      </c>
    </row>
    <row r="386" ht="15.75" customHeight="1">
      <c r="C386" s="58" t="str">
        <f>IFERROR(__xludf.DUMMYFUNCTION("""COMPUTED_VALUE"""),"")</f>
        <v/>
      </c>
    </row>
    <row r="387" ht="15.75" customHeight="1">
      <c r="C387" s="58" t="str">
        <f>IFERROR(__xludf.DUMMYFUNCTION("""COMPUTED_VALUE"""),"")</f>
        <v/>
      </c>
    </row>
    <row r="388" ht="15.75" customHeight="1">
      <c r="C388" s="58" t="str">
        <f>IFERROR(__xludf.DUMMYFUNCTION("""COMPUTED_VALUE"""),"")</f>
        <v/>
      </c>
    </row>
    <row r="389" ht="15.75" customHeight="1">
      <c r="C389" s="58" t="str">
        <f>IFERROR(__xludf.DUMMYFUNCTION("""COMPUTED_VALUE"""),"")</f>
        <v/>
      </c>
    </row>
    <row r="390" ht="15.75" customHeight="1">
      <c r="C390" s="58" t="str">
        <f>IFERROR(__xludf.DUMMYFUNCTION("""COMPUTED_VALUE"""),"")</f>
        <v/>
      </c>
    </row>
    <row r="391" ht="15.75" customHeight="1">
      <c r="C391" s="58" t="str">
        <f>IFERROR(__xludf.DUMMYFUNCTION("""COMPUTED_VALUE"""),"")</f>
        <v/>
      </c>
    </row>
    <row r="392" ht="15.75" customHeight="1">
      <c r="C392" s="58" t="str">
        <f>IFERROR(__xludf.DUMMYFUNCTION("""COMPUTED_VALUE"""),"")</f>
        <v/>
      </c>
    </row>
    <row r="393" ht="15.75" customHeight="1">
      <c r="C393" s="58" t="str">
        <f>IFERROR(__xludf.DUMMYFUNCTION("""COMPUTED_VALUE"""),"")</f>
        <v/>
      </c>
    </row>
    <row r="394" ht="15.75" customHeight="1">
      <c r="C394" s="58" t="str">
        <f>IFERROR(__xludf.DUMMYFUNCTION("""COMPUTED_VALUE"""),"")</f>
        <v/>
      </c>
    </row>
    <row r="395" ht="15.75" customHeight="1">
      <c r="C395" s="58" t="str">
        <f>IFERROR(__xludf.DUMMYFUNCTION("""COMPUTED_VALUE"""),"")</f>
        <v/>
      </c>
    </row>
    <row r="396" ht="15.75" customHeight="1">
      <c r="C396" s="58" t="str">
        <f>IFERROR(__xludf.DUMMYFUNCTION("""COMPUTED_VALUE"""),"")</f>
        <v/>
      </c>
    </row>
    <row r="397" ht="15.75" customHeight="1">
      <c r="C397" s="58" t="str">
        <f>IFERROR(__xludf.DUMMYFUNCTION("""COMPUTED_VALUE"""),"")</f>
        <v/>
      </c>
    </row>
    <row r="398" ht="15.75" customHeight="1">
      <c r="C398" s="58" t="str">
        <f>IFERROR(__xludf.DUMMYFUNCTION("""COMPUTED_VALUE"""),"")</f>
        <v/>
      </c>
    </row>
    <row r="399" ht="15.75" customHeight="1">
      <c r="C399" s="58" t="str">
        <f>IFERROR(__xludf.DUMMYFUNCTION("""COMPUTED_VALUE"""),"")</f>
        <v/>
      </c>
    </row>
    <row r="400" ht="15.75" customHeight="1">
      <c r="C400" s="58" t="str">
        <f>IFERROR(__xludf.DUMMYFUNCTION("""COMPUTED_VALUE"""),"")</f>
        <v/>
      </c>
    </row>
    <row r="401" ht="15.75" customHeight="1">
      <c r="C401" s="58" t="str">
        <f>IFERROR(__xludf.DUMMYFUNCTION("""COMPUTED_VALUE"""),"")</f>
        <v/>
      </c>
    </row>
    <row r="402" ht="15.75" customHeight="1">
      <c r="C402" s="58" t="str">
        <f>IFERROR(__xludf.DUMMYFUNCTION("""COMPUTED_VALUE"""),"")</f>
        <v/>
      </c>
    </row>
    <row r="403" ht="15.75" customHeight="1">
      <c r="C403" s="58" t="str">
        <f>IFERROR(__xludf.DUMMYFUNCTION("""COMPUTED_VALUE"""),"")</f>
        <v/>
      </c>
    </row>
    <row r="404" ht="15.75" customHeight="1">
      <c r="C404" s="58" t="str">
        <f>IFERROR(__xludf.DUMMYFUNCTION("""COMPUTED_VALUE"""),"")</f>
        <v/>
      </c>
    </row>
    <row r="405" ht="15.75" customHeight="1">
      <c r="C405" s="58" t="str">
        <f>IFERROR(__xludf.DUMMYFUNCTION("""COMPUTED_VALUE"""),"")</f>
        <v/>
      </c>
    </row>
    <row r="406" ht="15.75" customHeight="1">
      <c r="C406" s="58" t="str">
        <f>IFERROR(__xludf.DUMMYFUNCTION("""COMPUTED_VALUE"""),"")</f>
        <v/>
      </c>
    </row>
    <row r="407" ht="15.75" customHeight="1">
      <c r="C407" s="58" t="str">
        <f>IFERROR(__xludf.DUMMYFUNCTION("""COMPUTED_VALUE"""),"")</f>
        <v/>
      </c>
    </row>
    <row r="408" ht="15.75" customHeight="1">
      <c r="C408" s="58" t="str">
        <f>IFERROR(__xludf.DUMMYFUNCTION("""COMPUTED_VALUE"""),"")</f>
        <v/>
      </c>
    </row>
    <row r="409" ht="15.75" customHeight="1">
      <c r="C409" s="58" t="str">
        <f>IFERROR(__xludf.DUMMYFUNCTION("""COMPUTED_VALUE"""),"")</f>
        <v/>
      </c>
    </row>
    <row r="410" ht="15.75" customHeight="1">
      <c r="C410" s="58" t="str">
        <f>IFERROR(__xludf.DUMMYFUNCTION("""COMPUTED_VALUE"""),"")</f>
        <v/>
      </c>
    </row>
    <row r="411" ht="15.75" customHeight="1">
      <c r="C411" s="58" t="str">
        <f>IFERROR(__xludf.DUMMYFUNCTION("""COMPUTED_VALUE"""),"")</f>
        <v/>
      </c>
    </row>
    <row r="412" ht="15.75" customHeight="1">
      <c r="C412" s="58" t="str">
        <f>IFERROR(__xludf.DUMMYFUNCTION("""COMPUTED_VALUE"""),"")</f>
        <v/>
      </c>
    </row>
    <row r="413" ht="15.75" customHeight="1">
      <c r="C413" s="58" t="str">
        <f>IFERROR(__xludf.DUMMYFUNCTION("""COMPUTED_VALUE"""),"")</f>
        <v/>
      </c>
    </row>
    <row r="414" ht="15.75" customHeight="1">
      <c r="C414" s="58" t="str">
        <f>IFERROR(__xludf.DUMMYFUNCTION("""COMPUTED_VALUE"""),"")</f>
        <v/>
      </c>
    </row>
    <row r="415" ht="15.75" customHeight="1">
      <c r="C415" s="58" t="str">
        <f>IFERROR(__xludf.DUMMYFUNCTION("""COMPUTED_VALUE"""),"")</f>
        <v/>
      </c>
    </row>
    <row r="416" ht="15.75" customHeight="1">
      <c r="C416" s="58" t="str">
        <f>IFERROR(__xludf.DUMMYFUNCTION("""COMPUTED_VALUE"""),"")</f>
        <v/>
      </c>
    </row>
    <row r="417" ht="15.75" customHeight="1">
      <c r="C417" s="58" t="str">
        <f>IFERROR(__xludf.DUMMYFUNCTION("""COMPUTED_VALUE"""),"")</f>
        <v/>
      </c>
    </row>
    <row r="418" ht="15.75" customHeight="1">
      <c r="C418" s="58" t="str">
        <f>IFERROR(__xludf.DUMMYFUNCTION("""COMPUTED_VALUE"""),"")</f>
        <v/>
      </c>
    </row>
    <row r="419" ht="15.75" customHeight="1">
      <c r="C419" s="58" t="str">
        <f>IFERROR(__xludf.DUMMYFUNCTION("""COMPUTED_VALUE"""),"")</f>
        <v/>
      </c>
    </row>
    <row r="420" ht="15.75" customHeight="1">
      <c r="C420" s="58" t="str">
        <f>IFERROR(__xludf.DUMMYFUNCTION("""COMPUTED_VALUE"""),"")</f>
        <v/>
      </c>
    </row>
    <row r="421" ht="15.75" customHeight="1">
      <c r="C421" s="58" t="str">
        <f>IFERROR(__xludf.DUMMYFUNCTION("""COMPUTED_VALUE"""),"")</f>
        <v/>
      </c>
    </row>
    <row r="422" ht="15.75" customHeight="1">
      <c r="C422" s="58" t="str">
        <f>IFERROR(__xludf.DUMMYFUNCTION("""COMPUTED_VALUE"""),"")</f>
        <v/>
      </c>
    </row>
    <row r="423" ht="15.75" customHeight="1">
      <c r="C423" s="58" t="str">
        <f>IFERROR(__xludf.DUMMYFUNCTION("""COMPUTED_VALUE"""),"")</f>
        <v/>
      </c>
    </row>
    <row r="424" ht="15.75" customHeight="1">
      <c r="C424" s="58" t="str">
        <f>IFERROR(__xludf.DUMMYFUNCTION("""COMPUTED_VALUE"""),"")</f>
        <v/>
      </c>
    </row>
    <row r="425" ht="15.75" customHeight="1">
      <c r="C425" s="58" t="str">
        <f>IFERROR(__xludf.DUMMYFUNCTION("""COMPUTED_VALUE"""),"")</f>
        <v/>
      </c>
    </row>
    <row r="426" ht="15.75" customHeight="1">
      <c r="C426" s="58" t="str">
        <f>IFERROR(__xludf.DUMMYFUNCTION("""COMPUTED_VALUE"""),"")</f>
        <v/>
      </c>
    </row>
    <row r="427" ht="15.75" customHeight="1">
      <c r="C427" s="58" t="str">
        <f>IFERROR(__xludf.DUMMYFUNCTION("""COMPUTED_VALUE"""),"")</f>
        <v/>
      </c>
    </row>
    <row r="428" ht="15.75" customHeight="1">
      <c r="C428" s="58" t="str">
        <f>IFERROR(__xludf.DUMMYFUNCTION("""COMPUTED_VALUE"""),"")</f>
        <v/>
      </c>
    </row>
    <row r="429" ht="15.75" customHeight="1">
      <c r="C429" s="58" t="str">
        <f>IFERROR(__xludf.DUMMYFUNCTION("""COMPUTED_VALUE"""),"")</f>
        <v/>
      </c>
    </row>
    <row r="430" ht="15.75" customHeight="1">
      <c r="C430" s="58" t="str">
        <f>IFERROR(__xludf.DUMMYFUNCTION("""COMPUTED_VALUE"""),"")</f>
        <v/>
      </c>
    </row>
    <row r="431" ht="15.75" customHeight="1">
      <c r="C431" s="58" t="str">
        <f>IFERROR(__xludf.DUMMYFUNCTION("""COMPUTED_VALUE"""),"")</f>
        <v/>
      </c>
    </row>
    <row r="432" ht="15.75" customHeight="1">
      <c r="C432" s="58" t="str">
        <f>IFERROR(__xludf.DUMMYFUNCTION("""COMPUTED_VALUE"""),"")</f>
        <v/>
      </c>
    </row>
    <row r="433" ht="15.75" customHeight="1">
      <c r="C433" s="58" t="str">
        <f>IFERROR(__xludf.DUMMYFUNCTION("""COMPUTED_VALUE"""),"")</f>
        <v/>
      </c>
    </row>
    <row r="434" ht="15.75" customHeight="1">
      <c r="C434" s="58" t="str">
        <f>IFERROR(__xludf.DUMMYFUNCTION("""COMPUTED_VALUE"""),"")</f>
        <v/>
      </c>
    </row>
    <row r="435" ht="15.75" customHeight="1">
      <c r="C435" s="58" t="str">
        <f>IFERROR(__xludf.DUMMYFUNCTION("""COMPUTED_VALUE"""),"")</f>
        <v/>
      </c>
    </row>
    <row r="436" ht="15.75" customHeight="1">
      <c r="C436" s="58" t="str">
        <f>IFERROR(__xludf.DUMMYFUNCTION("""COMPUTED_VALUE"""),"")</f>
        <v/>
      </c>
    </row>
    <row r="437" ht="15.75" customHeight="1">
      <c r="C437" s="58" t="str">
        <f>IFERROR(__xludf.DUMMYFUNCTION("""COMPUTED_VALUE"""),"")</f>
        <v/>
      </c>
    </row>
    <row r="438" ht="15.75" customHeight="1">
      <c r="C438" s="58" t="str">
        <f>IFERROR(__xludf.DUMMYFUNCTION("""COMPUTED_VALUE"""),"")</f>
        <v/>
      </c>
    </row>
    <row r="439" ht="15.75" customHeight="1">
      <c r="C439" s="58" t="str">
        <f>IFERROR(__xludf.DUMMYFUNCTION("""COMPUTED_VALUE"""),"")</f>
        <v/>
      </c>
    </row>
    <row r="440" ht="15.75" customHeight="1">
      <c r="C440" s="58" t="str">
        <f>IFERROR(__xludf.DUMMYFUNCTION("""COMPUTED_VALUE"""),"")</f>
        <v/>
      </c>
    </row>
    <row r="441" ht="15.75" customHeight="1">
      <c r="C441" s="58" t="str">
        <f>IFERROR(__xludf.DUMMYFUNCTION("""COMPUTED_VALUE"""),"")</f>
        <v/>
      </c>
    </row>
    <row r="442" ht="15.75" customHeight="1">
      <c r="C442" s="58" t="str">
        <f>IFERROR(__xludf.DUMMYFUNCTION("""COMPUTED_VALUE"""),"")</f>
        <v/>
      </c>
    </row>
    <row r="443" ht="15.75" customHeight="1">
      <c r="C443" s="58" t="str">
        <f>IFERROR(__xludf.DUMMYFUNCTION("""COMPUTED_VALUE"""),"")</f>
        <v/>
      </c>
    </row>
    <row r="444" ht="15.75" customHeight="1">
      <c r="C444" s="58" t="str">
        <f>IFERROR(__xludf.DUMMYFUNCTION("""COMPUTED_VALUE"""),"")</f>
        <v/>
      </c>
    </row>
    <row r="445" ht="15.75" customHeight="1">
      <c r="C445" s="58" t="str">
        <f>IFERROR(__xludf.DUMMYFUNCTION("""COMPUTED_VALUE"""),"")</f>
        <v/>
      </c>
    </row>
    <row r="446" ht="15.75" customHeight="1">
      <c r="C446" s="58" t="str">
        <f>IFERROR(__xludf.DUMMYFUNCTION("""COMPUTED_VALUE"""),"")</f>
        <v/>
      </c>
    </row>
    <row r="447" ht="15.75" customHeight="1">
      <c r="C447" s="58" t="str">
        <f>IFERROR(__xludf.DUMMYFUNCTION("""COMPUTED_VALUE"""),"")</f>
        <v/>
      </c>
    </row>
    <row r="448" ht="15.75" customHeight="1">
      <c r="C448" s="58" t="str">
        <f>IFERROR(__xludf.DUMMYFUNCTION("""COMPUTED_VALUE"""),"")</f>
        <v/>
      </c>
    </row>
    <row r="449" ht="15.75" customHeight="1">
      <c r="C449" s="58" t="str">
        <f>IFERROR(__xludf.DUMMYFUNCTION("""COMPUTED_VALUE"""),"")</f>
        <v/>
      </c>
    </row>
    <row r="450" ht="15.75" customHeight="1">
      <c r="C450" s="58" t="str">
        <f>IFERROR(__xludf.DUMMYFUNCTION("""COMPUTED_VALUE"""),"")</f>
        <v/>
      </c>
    </row>
    <row r="451" ht="15.75" customHeight="1">
      <c r="C451" s="58" t="str">
        <f>IFERROR(__xludf.DUMMYFUNCTION("""COMPUTED_VALUE"""),"")</f>
        <v/>
      </c>
    </row>
    <row r="452" ht="15.75" customHeight="1">
      <c r="C452" s="58" t="str">
        <f>IFERROR(__xludf.DUMMYFUNCTION("""COMPUTED_VALUE"""),"")</f>
        <v/>
      </c>
    </row>
    <row r="453" ht="15.75" customHeight="1">
      <c r="C453" s="58" t="str">
        <f>IFERROR(__xludf.DUMMYFUNCTION("""COMPUTED_VALUE"""),"")</f>
        <v/>
      </c>
    </row>
    <row r="454" ht="15.75" customHeight="1">
      <c r="C454" s="58" t="str">
        <f>IFERROR(__xludf.DUMMYFUNCTION("""COMPUTED_VALUE"""),"")</f>
        <v/>
      </c>
    </row>
    <row r="455" ht="15.75" customHeight="1">
      <c r="C455" s="58" t="str">
        <f>IFERROR(__xludf.DUMMYFUNCTION("""COMPUTED_VALUE"""),"")</f>
        <v/>
      </c>
    </row>
    <row r="456" ht="15.75" customHeight="1">
      <c r="C456" s="58" t="str">
        <f>IFERROR(__xludf.DUMMYFUNCTION("""COMPUTED_VALUE"""),"")</f>
        <v/>
      </c>
    </row>
    <row r="457" ht="15.75" customHeight="1">
      <c r="C457" s="58" t="str">
        <f>IFERROR(__xludf.DUMMYFUNCTION("""COMPUTED_VALUE"""),"")</f>
        <v/>
      </c>
    </row>
    <row r="458" ht="15.75" customHeight="1">
      <c r="C458" s="58" t="str">
        <f>IFERROR(__xludf.DUMMYFUNCTION("""COMPUTED_VALUE"""),"")</f>
        <v/>
      </c>
    </row>
    <row r="459" ht="15.75" customHeight="1">
      <c r="C459" s="58" t="str">
        <f>IFERROR(__xludf.DUMMYFUNCTION("""COMPUTED_VALUE"""),"")</f>
        <v/>
      </c>
    </row>
    <row r="460" ht="15.75" customHeight="1">
      <c r="C460" s="58" t="str">
        <f>IFERROR(__xludf.DUMMYFUNCTION("""COMPUTED_VALUE"""),"")</f>
        <v/>
      </c>
    </row>
    <row r="461" ht="15.75" customHeight="1">
      <c r="C461" s="58" t="str">
        <f>IFERROR(__xludf.DUMMYFUNCTION("""COMPUTED_VALUE"""),"")</f>
        <v/>
      </c>
    </row>
    <row r="462" ht="15.75" customHeight="1">
      <c r="C462" s="58" t="str">
        <f>IFERROR(__xludf.DUMMYFUNCTION("""COMPUTED_VALUE"""),"")</f>
        <v/>
      </c>
    </row>
    <row r="463" ht="15.75" customHeight="1">
      <c r="C463" s="58" t="str">
        <f>IFERROR(__xludf.DUMMYFUNCTION("""COMPUTED_VALUE"""),"")</f>
        <v/>
      </c>
    </row>
    <row r="464" ht="15.75" customHeight="1">
      <c r="C464" s="58" t="str">
        <f>IFERROR(__xludf.DUMMYFUNCTION("""COMPUTED_VALUE"""),"")</f>
        <v/>
      </c>
    </row>
    <row r="465" ht="15.75" customHeight="1">
      <c r="C465" s="58" t="str">
        <f>IFERROR(__xludf.DUMMYFUNCTION("""COMPUTED_VALUE"""),"")</f>
        <v/>
      </c>
    </row>
    <row r="466" ht="15.75" customHeight="1">
      <c r="C466" s="58" t="str">
        <f>IFERROR(__xludf.DUMMYFUNCTION("""COMPUTED_VALUE"""),"")</f>
        <v/>
      </c>
    </row>
    <row r="467" ht="15.75" customHeight="1">
      <c r="C467" s="58" t="str">
        <f>IFERROR(__xludf.DUMMYFUNCTION("""COMPUTED_VALUE"""),"")</f>
        <v/>
      </c>
    </row>
    <row r="468" ht="15.75" customHeight="1">
      <c r="C468" s="58" t="str">
        <f>IFERROR(__xludf.DUMMYFUNCTION("""COMPUTED_VALUE"""),"")</f>
        <v/>
      </c>
    </row>
    <row r="469" ht="15.75" customHeight="1">
      <c r="C469" s="58" t="str">
        <f>IFERROR(__xludf.DUMMYFUNCTION("""COMPUTED_VALUE"""),"")</f>
        <v/>
      </c>
    </row>
    <row r="470" ht="15.75" customHeight="1">
      <c r="C470" s="58" t="str">
        <f>IFERROR(__xludf.DUMMYFUNCTION("""COMPUTED_VALUE"""),"")</f>
        <v/>
      </c>
    </row>
    <row r="471" ht="15.75" customHeight="1">
      <c r="C471" s="58" t="str">
        <f>IFERROR(__xludf.DUMMYFUNCTION("""COMPUTED_VALUE"""),"")</f>
        <v/>
      </c>
    </row>
    <row r="472" ht="15.75" customHeight="1">
      <c r="C472" s="58" t="str">
        <f>IFERROR(__xludf.DUMMYFUNCTION("""COMPUTED_VALUE"""),"")</f>
        <v/>
      </c>
    </row>
    <row r="473" ht="15.75" customHeight="1">
      <c r="C473" s="58" t="str">
        <f>IFERROR(__xludf.DUMMYFUNCTION("""COMPUTED_VALUE"""),"")</f>
        <v/>
      </c>
    </row>
    <row r="474" ht="15.75" customHeight="1">
      <c r="C474" s="58" t="str">
        <f>IFERROR(__xludf.DUMMYFUNCTION("""COMPUTED_VALUE"""),"")</f>
        <v/>
      </c>
    </row>
    <row r="475" ht="15.75" customHeight="1">
      <c r="C475" s="58" t="str">
        <f>IFERROR(__xludf.DUMMYFUNCTION("""COMPUTED_VALUE"""),"")</f>
        <v/>
      </c>
    </row>
    <row r="476" ht="15.75" customHeight="1">
      <c r="C476" s="58" t="str">
        <f>IFERROR(__xludf.DUMMYFUNCTION("""COMPUTED_VALUE"""),"")</f>
        <v/>
      </c>
    </row>
    <row r="477" ht="15.75" customHeight="1">
      <c r="C477" s="58" t="str">
        <f>IFERROR(__xludf.DUMMYFUNCTION("""COMPUTED_VALUE"""),"")</f>
        <v/>
      </c>
    </row>
    <row r="478" ht="15.75" customHeight="1">
      <c r="C478" s="58" t="str">
        <f>IFERROR(__xludf.DUMMYFUNCTION("""COMPUTED_VALUE"""),"")</f>
        <v/>
      </c>
    </row>
    <row r="479" ht="15.75" customHeight="1">
      <c r="C479" s="58" t="str">
        <f>IFERROR(__xludf.DUMMYFUNCTION("""COMPUTED_VALUE"""),"")</f>
        <v/>
      </c>
    </row>
    <row r="480" ht="15.75" customHeight="1">
      <c r="C480" s="58" t="str">
        <f>IFERROR(__xludf.DUMMYFUNCTION("""COMPUTED_VALUE"""),"")</f>
        <v/>
      </c>
    </row>
    <row r="481" ht="15.75" customHeight="1">
      <c r="C481" s="58" t="str">
        <f>IFERROR(__xludf.DUMMYFUNCTION("""COMPUTED_VALUE"""),"")</f>
        <v/>
      </c>
    </row>
    <row r="482" ht="15.75" customHeight="1">
      <c r="C482" s="58" t="str">
        <f>IFERROR(__xludf.DUMMYFUNCTION("""COMPUTED_VALUE"""),"")</f>
        <v/>
      </c>
    </row>
    <row r="483" ht="15.75" customHeight="1">
      <c r="C483" s="58" t="str">
        <f>IFERROR(__xludf.DUMMYFUNCTION("""COMPUTED_VALUE"""),"")</f>
        <v/>
      </c>
    </row>
    <row r="484" ht="15.75" customHeight="1">
      <c r="C484" s="58" t="str">
        <f>IFERROR(__xludf.DUMMYFUNCTION("""COMPUTED_VALUE"""),"")</f>
        <v/>
      </c>
    </row>
    <row r="485" ht="15.75" customHeight="1">
      <c r="C485" s="58" t="str">
        <f>IFERROR(__xludf.DUMMYFUNCTION("""COMPUTED_VALUE"""),"")</f>
        <v/>
      </c>
    </row>
    <row r="486" ht="15.75" customHeight="1">
      <c r="C486" s="58" t="str">
        <f>IFERROR(__xludf.DUMMYFUNCTION("""COMPUTED_VALUE"""),"")</f>
        <v/>
      </c>
    </row>
    <row r="487" ht="15.75" customHeight="1">
      <c r="C487" s="58" t="str">
        <f>IFERROR(__xludf.DUMMYFUNCTION("""COMPUTED_VALUE"""),"")</f>
        <v/>
      </c>
    </row>
    <row r="488" ht="15.75" customHeight="1">
      <c r="C488" s="58" t="str">
        <f>IFERROR(__xludf.DUMMYFUNCTION("""COMPUTED_VALUE"""),"")</f>
        <v/>
      </c>
    </row>
    <row r="489" ht="15.75" customHeight="1">
      <c r="C489" s="58" t="str">
        <f>IFERROR(__xludf.DUMMYFUNCTION("""COMPUTED_VALUE"""),"")</f>
        <v/>
      </c>
    </row>
    <row r="490" ht="15.75" customHeight="1">
      <c r="C490" s="58" t="str">
        <f>IFERROR(__xludf.DUMMYFUNCTION("""COMPUTED_VALUE"""),"")</f>
        <v/>
      </c>
    </row>
    <row r="491" ht="15.75" customHeight="1">
      <c r="C491" s="58" t="str">
        <f>IFERROR(__xludf.DUMMYFUNCTION("""COMPUTED_VALUE"""),"")</f>
        <v/>
      </c>
    </row>
    <row r="492" ht="15.75" customHeight="1">
      <c r="C492" s="58" t="str">
        <f>IFERROR(__xludf.DUMMYFUNCTION("""COMPUTED_VALUE"""),"")</f>
        <v/>
      </c>
    </row>
    <row r="493" ht="15.75" customHeight="1">
      <c r="C493" s="58" t="str">
        <f>IFERROR(__xludf.DUMMYFUNCTION("""COMPUTED_VALUE"""),"")</f>
        <v/>
      </c>
    </row>
    <row r="494" ht="15.75" customHeight="1">
      <c r="C494" s="58" t="str">
        <f>IFERROR(__xludf.DUMMYFUNCTION("""COMPUTED_VALUE"""),"")</f>
        <v/>
      </c>
    </row>
    <row r="495" ht="15.75" customHeight="1">
      <c r="C495" s="58" t="str">
        <f>IFERROR(__xludf.DUMMYFUNCTION("""COMPUTED_VALUE"""),"")</f>
        <v/>
      </c>
    </row>
    <row r="496" ht="15.75" customHeight="1">
      <c r="C496" s="58" t="str">
        <f>IFERROR(__xludf.DUMMYFUNCTION("""COMPUTED_VALUE"""),"")</f>
        <v/>
      </c>
    </row>
    <row r="497" ht="15.75" customHeight="1">
      <c r="C497" s="58" t="str">
        <f>IFERROR(__xludf.DUMMYFUNCTION("""COMPUTED_VALUE"""),"")</f>
        <v/>
      </c>
    </row>
    <row r="498" ht="15.75" customHeight="1">
      <c r="C498" s="58" t="str">
        <f>IFERROR(__xludf.DUMMYFUNCTION("""COMPUTED_VALUE"""),"")</f>
        <v/>
      </c>
    </row>
    <row r="499" ht="15.75" customHeight="1">
      <c r="C499" s="58" t="str">
        <f>IFERROR(__xludf.DUMMYFUNCTION("""COMPUTED_VALUE"""),"")</f>
        <v/>
      </c>
    </row>
    <row r="500" ht="15.75" customHeight="1">
      <c r="C500" s="58" t="str">
        <f>IFERROR(__xludf.DUMMYFUNCTION("""COMPUTED_VALUE"""),"")</f>
        <v/>
      </c>
    </row>
    <row r="501" ht="15.75" customHeight="1">
      <c r="C501" s="58" t="str">
        <f>IFERROR(__xludf.DUMMYFUNCTION("""COMPUTED_VALUE"""),"")</f>
        <v/>
      </c>
    </row>
    <row r="502" ht="15.75" customHeight="1">
      <c r="C502" s="58" t="str">
        <f>IFERROR(__xludf.DUMMYFUNCTION("""COMPUTED_VALUE"""),"")</f>
        <v/>
      </c>
    </row>
    <row r="503" ht="15.75" customHeight="1">
      <c r="C503" s="58" t="str">
        <f>IFERROR(__xludf.DUMMYFUNCTION("""COMPUTED_VALUE"""),"")</f>
        <v/>
      </c>
    </row>
    <row r="504" ht="15.75" customHeight="1">
      <c r="C504" s="58" t="str">
        <f>IFERROR(__xludf.DUMMYFUNCTION("""COMPUTED_VALUE"""),"")</f>
        <v/>
      </c>
    </row>
    <row r="505" ht="15.75" customHeight="1">
      <c r="C505" s="58" t="str">
        <f>IFERROR(__xludf.DUMMYFUNCTION("""COMPUTED_VALUE"""),"")</f>
        <v/>
      </c>
    </row>
    <row r="506" ht="15.75" customHeight="1">
      <c r="C506" s="58" t="str">
        <f>IFERROR(__xludf.DUMMYFUNCTION("""COMPUTED_VALUE"""),"")</f>
        <v/>
      </c>
    </row>
    <row r="507" ht="15.75" customHeight="1">
      <c r="C507" s="58" t="str">
        <f>IFERROR(__xludf.DUMMYFUNCTION("""COMPUTED_VALUE"""),"")</f>
        <v/>
      </c>
    </row>
    <row r="508" ht="15.75" customHeight="1">
      <c r="C508" s="58" t="str">
        <f>IFERROR(__xludf.DUMMYFUNCTION("""COMPUTED_VALUE"""),"")</f>
        <v/>
      </c>
    </row>
    <row r="509" ht="15.75" customHeight="1">
      <c r="C509" s="58" t="str">
        <f>IFERROR(__xludf.DUMMYFUNCTION("""COMPUTED_VALUE"""),"")</f>
        <v/>
      </c>
    </row>
    <row r="510" ht="15.75" customHeight="1">
      <c r="C510" s="58" t="str">
        <f>IFERROR(__xludf.DUMMYFUNCTION("""COMPUTED_VALUE"""),"")</f>
        <v/>
      </c>
    </row>
    <row r="511" ht="15.75" customHeight="1">
      <c r="C511" s="58" t="str">
        <f>IFERROR(__xludf.DUMMYFUNCTION("""COMPUTED_VALUE"""),"")</f>
        <v/>
      </c>
    </row>
    <row r="512" ht="15.75" customHeight="1">
      <c r="C512" s="58" t="str">
        <f>IFERROR(__xludf.DUMMYFUNCTION("""COMPUTED_VALUE"""),"")</f>
        <v/>
      </c>
    </row>
    <row r="513" ht="15.75" customHeight="1">
      <c r="C513" s="58" t="str">
        <f>IFERROR(__xludf.DUMMYFUNCTION("""COMPUTED_VALUE"""),"")</f>
        <v/>
      </c>
    </row>
    <row r="514" ht="15.75" customHeight="1">
      <c r="C514" s="58" t="str">
        <f>IFERROR(__xludf.DUMMYFUNCTION("""COMPUTED_VALUE"""),"")</f>
        <v/>
      </c>
    </row>
    <row r="515" ht="15.75" customHeight="1">
      <c r="C515" s="58" t="str">
        <f>IFERROR(__xludf.DUMMYFUNCTION("""COMPUTED_VALUE"""),"")</f>
        <v/>
      </c>
    </row>
    <row r="516" ht="15.75" customHeight="1">
      <c r="C516" s="58" t="str">
        <f>IFERROR(__xludf.DUMMYFUNCTION("""COMPUTED_VALUE"""),"")</f>
        <v/>
      </c>
    </row>
    <row r="517" ht="15.75" customHeight="1">
      <c r="C517" s="58" t="str">
        <f>IFERROR(__xludf.DUMMYFUNCTION("""COMPUTED_VALUE"""),"")</f>
        <v/>
      </c>
    </row>
    <row r="518" ht="15.75" customHeight="1">
      <c r="C518" s="58" t="str">
        <f>IFERROR(__xludf.DUMMYFUNCTION("""COMPUTED_VALUE"""),"")</f>
        <v/>
      </c>
    </row>
    <row r="519" ht="15.75" customHeight="1">
      <c r="C519" s="58" t="str">
        <f>IFERROR(__xludf.DUMMYFUNCTION("""COMPUTED_VALUE"""),"")</f>
        <v/>
      </c>
    </row>
    <row r="520" ht="15.75" customHeight="1">
      <c r="C520" s="58" t="str">
        <f>IFERROR(__xludf.DUMMYFUNCTION("""COMPUTED_VALUE"""),"")</f>
        <v/>
      </c>
    </row>
    <row r="521" ht="15.75" customHeight="1">
      <c r="C521" s="58" t="str">
        <f>IFERROR(__xludf.DUMMYFUNCTION("""COMPUTED_VALUE"""),"")</f>
        <v/>
      </c>
    </row>
    <row r="522" ht="15.75" customHeight="1">
      <c r="C522" s="58" t="str">
        <f>IFERROR(__xludf.DUMMYFUNCTION("""COMPUTED_VALUE"""),"")</f>
        <v/>
      </c>
    </row>
    <row r="523" ht="15.75" customHeight="1">
      <c r="C523" s="58" t="str">
        <f>IFERROR(__xludf.DUMMYFUNCTION("""COMPUTED_VALUE"""),"")</f>
        <v/>
      </c>
    </row>
    <row r="524" ht="15.75" customHeight="1">
      <c r="C524" s="58" t="str">
        <f>IFERROR(__xludf.DUMMYFUNCTION("""COMPUTED_VALUE"""),"")</f>
        <v/>
      </c>
    </row>
    <row r="525" ht="15.75" customHeight="1">
      <c r="C525" s="58" t="str">
        <f>IFERROR(__xludf.DUMMYFUNCTION("""COMPUTED_VALUE"""),"")</f>
        <v/>
      </c>
    </row>
    <row r="526" ht="15.75" customHeight="1">
      <c r="C526" s="58" t="str">
        <f>IFERROR(__xludf.DUMMYFUNCTION("""COMPUTED_VALUE"""),"")</f>
        <v/>
      </c>
    </row>
    <row r="527" ht="15.75" customHeight="1">
      <c r="C527" s="58" t="str">
        <f>IFERROR(__xludf.DUMMYFUNCTION("""COMPUTED_VALUE"""),"")</f>
        <v/>
      </c>
    </row>
    <row r="528" ht="15.75" customHeight="1">
      <c r="C528" s="58" t="str">
        <f>IFERROR(__xludf.DUMMYFUNCTION("""COMPUTED_VALUE"""),"")</f>
        <v/>
      </c>
    </row>
    <row r="529" ht="15.75" customHeight="1">
      <c r="C529" s="58" t="str">
        <f>IFERROR(__xludf.DUMMYFUNCTION("""COMPUTED_VALUE"""),"")</f>
        <v/>
      </c>
    </row>
    <row r="530" ht="15.75" customHeight="1">
      <c r="C530" s="58" t="str">
        <f>IFERROR(__xludf.DUMMYFUNCTION("""COMPUTED_VALUE"""),"")</f>
        <v/>
      </c>
    </row>
    <row r="531" ht="15.75" customHeight="1">
      <c r="C531" s="58" t="str">
        <f>IFERROR(__xludf.DUMMYFUNCTION("""COMPUTED_VALUE"""),"")</f>
        <v/>
      </c>
    </row>
    <row r="532" ht="15.75" customHeight="1">
      <c r="C532" s="58" t="str">
        <f>IFERROR(__xludf.DUMMYFUNCTION("""COMPUTED_VALUE"""),"")</f>
        <v/>
      </c>
    </row>
    <row r="533" ht="15.75" customHeight="1">
      <c r="C533" s="58" t="str">
        <f>IFERROR(__xludf.DUMMYFUNCTION("""COMPUTED_VALUE"""),"")</f>
        <v/>
      </c>
    </row>
    <row r="534" ht="15.75" customHeight="1">
      <c r="C534" s="58" t="str">
        <f>IFERROR(__xludf.DUMMYFUNCTION("""COMPUTED_VALUE"""),"")</f>
        <v/>
      </c>
    </row>
    <row r="535" ht="15.75" customHeight="1">
      <c r="C535" s="58" t="str">
        <f>IFERROR(__xludf.DUMMYFUNCTION("""COMPUTED_VALUE"""),"")</f>
        <v/>
      </c>
    </row>
    <row r="536" ht="15.75" customHeight="1">
      <c r="C536" s="58" t="str">
        <f>IFERROR(__xludf.DUMMYFUNCTION("""COMPUTED_VALUE"""),"")</f>
        <v/>
      </c>
    </row>
    <row r="537" ht="15.75" customHeight="1">
      <c r="C537" s="58" t="str">
        <f>IFERROR(__xludf.DUMMYFUNCTION("""COMPUTED_VALUE"""),"")</f>
        <v/>
      </c>
    </row>
    <row r="538" ht="15.75" customHeight="1">
      <c r="C538" s="58" t="str">
        <f>IFERROR(__xludf.DUMMYFUNCTION("""COMPUTED_VALUE"""),"")</f>
        <v/>
      </c>
    </row>
    <row r="539" ht="15.75" customHeight="1">
      <c r="C539" s="58" t="str">
        <f>IFERROR(__xludf.DUMMYFUNCTION("""COMPUTED_VALUE"""),"")</f>
        <v/>
      </c>
    </row>
    <row r="540" ht="15.75" customHeight="1">
      <c r="C540" s="58" t="str">
        <f>IFERROR(__xludf.DUMMYFUNCTION("""COMPUTED_VALUE"""),"")</f>
        <v/>
      </c>
    </row>
    <row r="541" ht="15.75" customHeight="1">
      <c r="C541" s="58" t="str">
        <f>IFERROR(__xludf.DUMMYFUNCTION("""COMPUTED_VALUE"""),"")</f>
        <v/>
      </c>
    </row>
    <row r="542" ht="15.75" customHeight="1">
      <c r="C542" s="58" t="str">
        <f>IFERROR(__xludf.DUMMYFUNCTION("""COMPUTED_VALUE"""),"")</f>
        <v/>
      </c>
    </row>
    <row r="543" ht="15.75" customHeight="1">
      <c r="C543" s="58" t="str">
        <f>IFERROR(__xludf.DUMMYFUNCTION("""COMPUTED_VALUE"""),"")</f>
        <v/>
      </c>
    </row>
    <row r="544" ht="15.75" customHeight="1">
      <c r="C544" s="58" t="str">
        <f>IFERROR(__xludf.DUMMYFUNCTION("""COMPUTED_VALUE"""),"")</f>
        <v/>
      </c>
    </row>
    <row r="545" ht="15.75" customHeight="1">
      <c r="C545" s="58" t="str">
        <f>IFERROR(__xludf.DUMMYFUNCTION("""COMPUTED_VALUE"""),"")</f>
        <v/>
      </c>
    </row>
    <row r="546" ht="15.75" customHeight="1">
      <c r="C546" s="58" t="str">
        <f>IFERROR(__xludf.DUMMYFUNCTION("""COMPUTED_VALUE"""),"")</f>
        <v/>
      </c>
    </row>
    <row r="547" ht="15.75" customHeight="1">
      <c r="C547" s="58" t="str">
        <f>IFERROR(__xludf.DUMMYFUNCTION("""COMPUTED_VALUE"""),"")</f>
        <v/>
      </c>
    </row>
    <row r="548" ht="15.75" customHeight="1">
      <c r="C548" s="58" t="str">
        <f>IFERROR(__xludf.DUMMYFUNCTION("""COMPUTED_VALUE"""),"")</f>
        <v/>
      </c>
    </row>
    <row r="549" ht="15.75" customHeight="1">
      <c r="C549" s="58" t="str">
        <f>IFERROR(__xludf.DUMMYFUNCTION("""COMPUTED_VALUE"""),"")</f>
        <v/>
      </c>
    </row>
    <row r="550" ht="15.75" customHeight="1">
      <c r="C550" s="58" t="str">
        <f>IFERROR(__xludf.DUMMYFUNCTION("""COMPUTED_VALUE"""),"")</f>
        <v/>
      </c>
    </row>
    <row r="551" ht="15.75" customHeight="1">
      <c r="C551" s="58" t="str">
        <f>IFERROR(__xludf.DUMMYFUNCTION("""COMPUTED_VALUE"""),"")</f>
        <v/>
      </c>
    </row>
    <row r="552" ht="15.75" customHeight="1">
      <c r="C552" s="58" t="str">
        <f>IFERROR(__xludf.DUMMYFUNCTION("""COMPUTED_VALUE"""),"")</f>
        <v/>
      </c>
    </row>
    <row r="553" ht="15.75" customHeight="1">
      <c r="C553" s="58" t="str">
        <f>IFERROR(__xludf.DUMMYFUNCTION("""COMPUTED_VALUE"""),"")</f>
        <v/>
      </c>
    </row>
    <row r="554" ht="15.75" customHeight="1">
      <c r="C554" s="58" t="str">
        <f>IFERROR(__xludf.DUMMYFUNCTION("""COMPUTED_VALUE"""),"")</f>
        <v/>
      </c>
    </row>
    <row r="555" ht="15.75" customHeight="1">
      <c r="C555" s="58" t="str">
        <f>IFERROR(__xludf.DUMMYFUNCTION("""COMPUTED_VALUE"""),"")</f>
        <v/>
      </c>
    </row>
    <row r="556" ht="15.75" customHeight="1">
      <c r="C556" s="58" t="str">
        <f>IFERROR(__xludf.DUMMYFUNCTION("""COMPUTED_VALUE"""),"")</f>
        <v/>
      </c>
    </row>
    <row r="557" ht="15.75" customHeight="1">
      <c r="C557" s="58" t="str">
        <f>IFERROR(__xludf.DUMMYFUNCTION("""COMPUTED_VALUE"""),"")</f>
        <v/>
      </c>
    </row>
    <row r="558" ht="15.75" customHeight="1">
      <c r="C558" s="58" t="str">
        <f>IFERROR(__xludf.DUMMYFUNCTION("""COMPUTED_VALUE"""),"")</f>
        <v/>
      </c>
    </row>
    <row r="559" ht="15.75" customHeight="1">
      <c r="C559" s="58" t="str">
        <f>IFERROR(__xludf.DUMMYFUNCTION("""COMPUTED_VALUE"""),"")</f>
        <v/>
      </c>
    </row>
    <row r="560" ht="15.75" customHeight="1">
      <c r="C560" s="58" t="str">
        <f>IFERROR(__xludf.DUMMYFUNCTION("""COMPUTED_VALUE"""),"")</f>
        <v/>
      </c>
    </row>
    <row r="561" ht="15.75" customHeight="1">
      <c r="C561" s="58" t="str">
        <f>IFERROR(__xludf.DUMMYFUNCTION("""COMPUTED_VALUE"""),"")</f>
        <v/>
      </c>
    </row>
    <row r="562" ht="15.75" customHeight="1">
      <c r="C562" s="58" t="str">
        <f>IFERROR(__xludf.DUMMYFUNCTION("""COMPUTED_VALUE"""),"")</f>
        <v/>
      </c>
    </row>
    <row r="563" ht="15.75" customHeight="1">
      <c r="C563" s="58" t="str">
        <f>IFERROR(__xludf.DUMMYFUNCTION("""COMPUTED_VALUE"""),"")</f>
        <v/>
      </c>
    </row>
    <row r="564" ht="15.75" customHeight="1">
      <c r="C564" s="58" t="str">
        <f>IFERROR(__xludf.DUMMYFUNCTION("""COMPUTED_VALUE"""),"")</f>
        <v/>
      </c>
    </row>
    <row r="565" ht="15.75" customHeight="1">
      <c r="C565" s="58" t="str">
        <f>IFERROR(__xludf.DUMMYFUNCTION("""COMPUTED_VALUE"""),"")</f>
        <v/>
      </c>
    </row>
    <row r="566" ht="15.75" customHeight="1">
      <c r="C566" s="58" t="str">
        <f>IFERROR(__xludf.DUMMYFUNCTION("""COMPUTED_VALUE"""),"")</f>
        <v/>
      </c>
    </row>
    <row r="567" ht="15.75" customHeight="1">
      <c r="C567" s="58" t="str">
        <f>IFERROR(__xludf.DUMMYFUNCTION("""COMPUTED_VALUE"""),"")</f>
        <v/>
      </c>
    </row>
    <row r="568" ht="15.75" customHeight="1">
      <c r="C568" s="58" t="str">
        <f>IFERROR(__xludf.DUMMYFUNCTION("""COMPUTED_VALUE"""),"")</f>
        <v/>
      </c>
    </row>
    <row r="569" ht="15.75" customHeight="1">
      <c r="C569" s="58" t="str">
        <f>IFERROR(__xludf.DUMMYFUNCTION("""COMPUTED_VALUE"""),"")</f>
        <v/>
      </c>
    </row>
    <row r="570" ht="15.75" customHeight="1">
      <c r="C570" s="58" t="str">
        <f>IFERROR(__xludf.DUMMYFUNCTION("""COMPUTED_VALUE"""),"")</f>
        <v/>
      </c>
    </row>
    <row r="571" ht="15.75" customHeight="1">
      <c r="C571" s="58" t="str">
        <f>IFERROR(__xludf.DUMMYFUNCTION("""COMPUTED_VALUE"""),"")</f>
        <v/>
      </c>
    </row>
    <row r="572" ht="15.75" customHeight="1">
      <c r="C572" s="58" t="str">
        <f>IFERROR(__xludf.DUMMYFUNCTION("""COMPUTED_VALUE"""),"")</f>
        <v/>
      </c>
    </row>
    <row r="573" ht="15.75" customHeight="1">
      <c r="C573" s="58" t="str">
        <f>IFERROR(__xludf.DUMMYFUNCTION("""COMPUTED_VALUE"""),"")</f>
        <v/>
      </c>
    </row>
    <row r="574" ht="15.75" customHeight="1">
      <c r="C574" s="58" t="str">
        <f>IFERROR(__xludf.DUMMYFUNCTION("""COMPUTED_VALUE"""),"")</f>
        <v/>
      </c>
    </row>
    <row r="575" ht="15.75" customHeight="1">
      <c r="C575" s="58" t="str">
        <f>IFERROR(__xludf.DUMMYFUNCTION("""COMPUTED_VALUE"""),"")</f>
        <v/>
      </c>
    </row>
    <row r="576" ht="15.75" customHeight="1">
      <c r="C576" s="58" t="str">
        <f>IFERROR(__xludf.DUMMYFUNCTION("""COMPUTED_VALUE"""),"")</f>
        <v/>
      </c>
    </row>
    <row r="577" ht="15.75" customHeight="1">
      <c r="C577" s="58" t="str">
        <f>IFERROR(__xludf.DUMMYFUNCTION("""COMPUTED_VALUE"""),"")</f>
        <v/>
      </c>
    </row>
    <row r="578" ht="15.75" customHeight="1">
      <c r="C578" s="58" t="str">
        <f>IFERROR(__xludf.DUMMYFUNCTION("""COMPUTED_VALUE"""),"")</f>
        <v/>
      </c>
    </row>
    <row r="579" ht="15.75" customHeight="1">
      <c r="C579" s="58" t="str">
        <f>IFERROR(__xludf.DUMMYFUNCTION("""COMPUTED_VALUE"""),"")</f>
        <v/>
      </c>
    </row>
    <row r="580" ht="15.75" customHeight="1">
      <c r="C580" s="58" t="str">
        <f>IFERROR(__xludf.DUMMYFUNCTION("""COMPUTED_VALUE"""),"")</f>
        <v/>
      </c>
    </row>
    <row r="581" ht="15.75" customHeight="1">
      <c r="C581" s="58" t="str">
        <f>IFERROR(__xludf.DUMMYFUNCTION("""COMPUTED_VALUE"""),"")</f>
        <v/>
      </c>
    </row>
    <row r="582" ht="15.75" customHeight="1">
      <c r="C582" s="58" t="str">
        <f>IFERROR(__xludf.DUMMYFUNCTION("""COMPUTED_VALUE"""),"")</f>
        <v/>
      </c>
    </row>
    <row r="583" ht="15.75" customHeight="1">
      <c r="C583" s="58" t="str">
        <f>IFERROR(__xludf.DUMMYFUNCTION("""COMPUTED_VALUE"""),"")</f>
        <v/>
      </c>
    </row>
    <row r="584" ht="15.75" customHeight="1">
      <c r="C584" s="58" t="str">
        <f>IFERROR(__xludf.DUMMYFUNCTION("""COMPUTED_VALUE"""),"")</f>
        <v/>
      </c>
    </row>
    <row r="585" ht="15.75" customHeight="1">
      <c r="C585" s="58" t="str">
        <f>IFERROR(__xludf.DUMMYFUNCTION("""COMPUTED_VALUE"""),"")</f>
        <v/>
      </c>
    </row>
    <row r="586" ht="15.75" customHeight="1">
      <c r="C586" s="58" t="str">
        <f>IFERROR(__xludf.DUMMYFUNCTION("""COMPUTED_VALUE"""),"")</f>
        <v/>
      </c>
    </row>
    <row r="587" ht="15.75" customHeight="1">
      <c r="C587" s="58" t="str">
        <f>IFERROR(__xludf.DUMMYFUNCTION("""COMPUTED_VALUE"""),"")</f>
        <v/>
      </c>
    </row>
    <row r="588" ht="15.75" customHeight="1">
      <c r="C588" s="58" t="str">
        <f>IFERROR(__xludf.DUMMYFUNCTION("""COMPUTED_VALUE"""),"")</f>
        <v/>
      </c>
    </row>
    <row r="589" ht="15.75" customHeight="1">
      <c r="C589" s="58" t="str">
        <f>IFERROR(__xludf.DUMMYFUNCTION("""COMPUTED_VALUE"""),"")</f>
        <v/>
      </c>
    </row>
    <row r="590" ht="15.75" customHeight="1">
      <c r="C590" s="58" t="str">
        <f>IFERROR(__xludf.DUMMYFUNCTION("""COMPUTED_VALUE"""),"")</f>
        <v/>
      </c>
    </row>
    <row r="591" ht="15.75" customHeight="1">
      <c r="C591" s="58" t="str">
        <f>IFERROR(__xludf.DUMMYFUNCTION("""COMPUTED_VALUE"""),"")</f>
        <v/>
      </c>
    </row>
    <row r="592" ht="15.75" customHeight="1">
      <c r="C592" s="58" t="str">
        <f>IFERROR(__xludf.DUMMYFUNCTION("""COMPUTED_VALUE"""),"")</f>
        <v/>
      </c>
    </row>
    <row r="593" ht="15.75" customHeight="1">
      <c r="C593" s="58" t="str">
        <f>IFERROR(__xludf.DUMMYFUNCTION("""COMPUTED_VALUE"""),"")</f>
        <v/>
      </c>
    </row>
    <row r="594" ht="15.75" customHeight="1">
      <c r="C594" s="58" t="str">
        <f>IFERROR(__xludf.DUMMYFUNCTION("""COMPUTED_VALUE"""),"")</f>
        <v/>
      </c>
    </row>
    <row r="595" ht="15.75" customHeight="1">
      <c r="C595" s="58" t="str">
        <f>IFERROR(__xludf.DUMMYFUNCTION("""COMPUTED_VALUE"""),"")</f>
        <v/>
      </c>
    </row>
    <row r="596" ht="15.75" customHeight="1">
      <c r="C596" s="58" t="str">
        <f>IFERROR(__xludf.DUMMYFUNCTION("""COMPUTED_VALUE"""),"")</f>
        <v/>
      </c>
    </row>
    <row r="597" ht="15.75" customHeight="1">
      <c r="C597" s="58" t="str">
        <f>IFERROR(__xludf.DUMMYFUNCTION("""COMPUTED_VALUE"""),"")</f>
        <v/>
      </c>
    </row>
    <row r="598" ht="15.75" customHeight="1">
      <c r="C598" s="58" t="str">
        <f>IFERROR(__xludf.DUMMYFUNCTION("""COMPUTED_VALUE"""),"")</f>
        <v/>
      </c>
    </row>
    <row r="599" ht="15.75" customHeight="1">
      <c r="C599" s="58" t="str">
        <f>IFERROR(__xludf.DUMMYFUNCTION("""COMPUTED_VALUE"""),"")</f>
        <v/>
      </c>
    </row>
    <row r="600" ht="15.75" customHeight="1">
      <c r="C600" s="58" t="str">
        <f>IFERROR(__xludf.DUMMYFUNCTION("""COMPUTED_VALUE"""),"")</f>
        <v/>
      </c>
    </row>
    <row r="601" ht="15.75" customHeight="1">
      <c r="C601" s="58" t="str">
        <f>IFERROR(__xludf.DUMMYFUNCTION("""COMPUTED_VALUE"""),"")</f>
        <v/>
      </c>
    </row>
    <row r="602" ht="15.75" customHeight="1">
      <c r="C602" s="58" t="str">
        <f>IFERROR(__xludf.DUMMYFUNCTION("""COMPUTED_VALUE"""),"")</f>
        <v/>
      </c>
    </row>
    <row r="603" ht="15.75" customHeight="1">
      <c r="C603" s="58" t="str">
        <f>IFERROR(__xludf.DUMMYFUNCTION("""COMPUTED_VALUE"""),"")</f>
        <v/>
      </c>
    </row>
    <row r="604" ht="15.75" customHeight="1">
      <c r="C604" s="58" t="str">
        <f>IFERROR(__xludf.DUMMYFUNCTION("""COMPUTED_VALUE"""),"")</f>
        <v/>
      </c>
    </row>
    <row r="605" ht="15.75" customHeight="1">
      <c r="C605" s="58" t="str">
        <f>IFERROR(__xludf.DUMMYFUNCTION("""COMPUTED_VALUE"""),"")</f>
        <v/>
      </c>
    </row>
    <row r="606" ht="15.75" customHeight="1">
      <c r="C606" s="58" t="str">
        <f>IFERROR(__xludf.DUMMYFUNCTION("""COMPUTED_VALUE"""),"")</f>
        <v/>
      </c>
    </row>
    <row r="607" ht="15.75" customHeight="1">
      <c r="C607" s="58" t="str">
        <f>IFERROR(__xludf.DUMMYFUNCTION("""COMPUTED_VALUE"""),"")</f>
        <v/>
      </c>
    </row>
    <row r="608" ht="15.75" customHeight="1">
      <c r="C608" s="58" t="str">
        <f>IFERROR(__xludf.DUMMYFUNCTION("""COMPUTED_VALUE"""),"")</f>
        <v/>
      </c>
    </row>
    <row r="609" ht="15.75" customHeight="1">
      <c r="C609" s="58" t="str">
        <f>IFERROR(__xludf.DUMMYFUNCTION("""COMPUTED_VALUE"""),"")</f>
        <v/>
      </c>
    </row>
    <row r="610" ht="15.75" customHeight="1">
      <c r="C610" s="58" t="str">
        <f>IFERROR(__xludf.DUMMYFUNCTION("""COMPUTED_VALUE"""),"")</f>
        <v/>
      </c>
    </row>
    <row r="611" ht="15.75" customHeight="1">
      <c r="C611" s="58" t="str">
        <f>IFERROR(__xludf.DUMMYFUNCTION("""COMPUTED_VALUE"""),"")</f>
        <v/>
      </c>
    </row>
    <row r="612" ht="15.75" customHeight="1">
      <c r="C612" s="58" t="str">
        <f>IFERROR(__xludf.DUMMYFUNCTION("""COMPUTED_VALUE"""),"")</f>
        <v/>
      </c>
    </row>
    <row r="613" ht="15.75" customHeight="1">
      <c r="C613" s="58" t="str">
        <f>IFERROR(__xludf.DUMMYFUNCTION("""COMPUTED_VALUE"""),"")</f>
        <v/>
      </c>
    </row>
    <row r="614" ht="15.75" customHeight="1">
      <c r="C614" s="58" t="str">
        <f>IFERROR(__xludf.DUMMYFUNCTION("""COMPUTED_VALUE"""),"")</f>
        <v/>
      </c>
    </row>
    <row r="615" ht="15.75" customHeight="1">
      <c r="C615" s="58" t="str">
        <f>IFERROR(__xludf.DUMMYFUNCTION("""COMPUTED_VALUE"""),"")</f>
        <v/>
      </c>
    </row>
    <row r="616" ht="15.75" customHeight="1">
      <c r="C616" s="58" t="str">
        <f>IFERROR(__xludf.DUMMYFUNCTION("""COMPUTED_VALUE"""),"")</f>
        <v/>
      </c>
    </row>
    <row r="617" ht="15.75" customHeight="1">
      <c r="C617" s="58" t="str">
        <f>IFERROR(__xludf.DUMMYFUNCTION("""COMPUTED_VALUE"""),"")</f>
        <v/>
      </c>
    </row>
    <row r="618" ht="15.75" customHeight="1">
      <c r="C618" s="58" t="str">
        <f>IFERROR(__xludf.DUMMYFUNCTION("""COMPUTED_VALUE"""),"")</f>
        <v/>
      </c>
    </row>
    <row r="619" ht="15.75" customHeight="1">
      <c r="C619" s="58" t="str">
        <f>IFERROR(__xludf.DUMMYFUNCTION("""COMPUTED_VALUE"""),"")</f>
        <v/>
      </c>
    </row>
    <row r="620" ht="15.75" customHeight="1">
      <c r="C620" s="58" t="str">
        <f>IFERROR(__xludf.DUMMYFUNCTION("""COMPUTED_VALUE"""),"")</f>
        <v/>
      </c>
    </row>
    <row r="621" ht="15.75" customHeight="1">
      <c r="C621" s="58" t="str">
        <f>IFERROR(__xludf.DUMMYFUNCTION("""COMPUTED_VALUE"""),"")</f>
        <v/>
      </c>
    </row>
    <row r="622" ht="15.75" customHeight="1">
      <c r="C622" s="58" t="str">
        <f>IFERROR(__xludf.DUMMYFUNCTION("""COMPUTED_VALUE"""),"")</f>
        <v/>
      </c>
    </row>
    <row r="623" ht="15.75" customHeight="1">
      <c r="C623" s="58" t="str">
        <f>IFERROR(__xludf.DUMMYFUNCTION("""COMPUTED_VALUE"""),"")</f>
        <v/>
      </c>
    </row>
    <row r="624" ht="15.75" customHeight="1">
      <c r="C624" s="58" t="str">
        <f>IFERROR(__xludf.DUMMYFUNCTION("""COMPUTED_VALUE"""),"")</f>
        <v/>
      </c>
    </row>
    <row r="625" ht="15.75" customHeight="1">
      <c r="C625" s="58" t="str">
        <f>IFERROR(__xludf.DUMMYFUNCTION("""COMPUTED_VALUE"""),"")</f>
        <v/>
      </c>
    </row>
    <row r="626" ht="15.75" customHeight="1">
      <c r="C626" s="58" t="str">
        <f>IFERROR(__xludf.DUMMYFUNCTION("""COMPUTED_VALUE"""),"")</f>
        <v/>
      </c>
    </row>
    <row r="627" ht="15.75" customHeight="1">
      <c r="C627" s="58" t="str">
        <f>IFERROR(__xludf.DUMMYFUNCTION("""COMPUTED_VALUE"""),"")</f>
        <v/>
      </c>
    </row>
    <row r="628" ht="15.75" customHeight="1">
      <c r="C628" s="58" t="str">
        <f>IFERROR(__xludf.DUMMYFUNCTION("""COMPUTED_VALUE"""),"")</f>
        <v/>
      </c>
    </row>
    <row r="629" ht="15.75" customHeight="1">
      <c r="C629" s="58" t="str">
        <f>IFERROR(__xludf.DUMMYFUNCTION("""COMPUTED_VALUE"""),"")</f>
        <v/>
      </c>
    </row>
    <row r="630" ht="15.75" customHeight="1">
      <c r="C630" s="58" t="str">
        <f>IFERROR(__xludf.DUMMYFUNCTION("""COMPUTED_VALUE"""),"")</f>
        <v/>
      </c>
    </row>
    <row r="631" ht="15.75" customHeight="1">
      <c r="C631" s="58" t="str">
        <f>IFERROR(__xludf.DUMMYFUNCTION("""COMPUTED_VALUE"""),"")</f>
        <v/>
      </c>
    </row>
    <row r="632" ht="15.75" customHeight="1">
      <c r="C632" s="58" t="str">
        <f>IFERROR(__xludf.DUMMYFUNCTION("""COMPUTED_VALUE"""),"")</f>
        <v/>
      </c>
    </row>
    <row r="633" ht="15.75" customHeight="1">
      <c r="C633" s="58" t="str">
        <f>IFERROR(__xludf.DUMMYFUNCTION("""COMPUTED_VALUE"""),"")</f>
        <v/>
      </c>
    </row>
    <row r="634" ht="15.75" customHeight="1">
      <c r="C634" s="58" t="str">
        <f>IFERROR(__xludf.DUMMYFUNCTION("""COMPUTED_VALUE"""),"")</f>
        <v/>
      </c>
    </row>
    <row r="635" ht="15.75" customHeight="1">
      <c r="C635" s="58" t="str">
        <f>IFERROR(__xludf.DUMMYFUNCTION("""COMPUTED_VALUE"""),"")</f>
        <v/>
      </c>
    </row>
    <row r="636" ht="15.75" customHeight="1">
      <c r="C636" s="58" t="str">
        <f>IFERROR(__xludf.DUMMYFUNCTION("""COMPUTED_VALUE"""),"")</f>
        <v/>
      </c>
    </row>
    <row r="637" ht="15.75" customHeight="1">
      <c r="C637" s="58" t="str">
        <f>IFERROR(__xludf.DUMMYFUNCTION("""COMPUTED_VALUE"""),"")</f>
        <v/>
      </c>
    </row>
    <row r="638" ht="15.75" customHeight="1">
      <c r="C638" s="58" t="str">
        <f>IFERROR(__xludf.DUMMYFUNCTION("""COMPUTED_VALUE"""),"")</f>
        <v/>
      </c>
    </row>
    <row r="639" ht="15.75" customHeight="1">
      <c r="C639" s="58" t="str">
        <f>IFERROR(__xludf.DUMMYFUNCTION("""COMPUTED_VALUE"""),"")</f>
        <v/>
      </c>
    </row>
    <row r="640" ht="15.75" customHeight="1">
      <c r="C640" s="58" t="str">
        <f>IFERROR(__xludf.DUMMYFUNCTION("""COMPUTED_VALUE"""),"")</f>
        <v/>
      </c>
    </row>
    <row r="641" ht="15.75" customHeight="1">
      <c r="C641" s="58" t="str">
        <f>IFERROR(__xludf.DUMMYFUNCTION("""COMPUTED_VALUE"""),"")</f>
        <v/>
      </c>
    </row>
    <row r="642" ht="15.75" customHeight="1">
      <c r="C642" s="58" t="str">
        <f>IFERROR(__xludf.DUMMYFUNCTION("""COMPUTED_VALUE"""),"")</f>
        <v/>
      </c>
    </row>
    <row r="643" ht="15.75" customHeight="1">
      <c r="C643" s="58" t="str">
        <f>IFERROR(__xludf.DUMMYFUNCTION("""COMPUTED_VALUE"""),"")</f>
        <v/>
      </c>
    </row>
    <row r="644" ht="15.75" customHeight="1">
      <c r="C644" s="58" t="str">
        <f>IFERROR(__xludf.DUMMYFUNCTION("""COMPUTED_VALUE"""),"")</f>
        <v/>
      </c>
    </row>
    <row r="645" ht="15.75" customHeight="1">
      <c r="C645" s="58" t="str">
        <f>IFERROR(__xludf.DUMMYFUNCTION("""COMPUTED_VALUE"""),"")</f>
        <v/>
      </c>
    </row>
    <row r="646" ht="15.75" customHeight="1">
      <c r="C646" s="58" t="str">
        <f>IFERROR(__xludf.DUMMYFUNCTION("""COMPUTED_VALUE"""),"")</f>
        <v/>
      </c>
    </row>
    <row r="647" ht="15.75" customHeight="1">
      <c r="C647" s="58" t="str">
        <f>IFERROR(__xludf.DUMMYFUNCTION("""COMPUTED_VALUE"""),"")</f>
        <v/>
      </c>
    </row>
    <row r="648" ht="15.75" customHeight="1">
      <c r="C648" s="58" t="str">
        <f>IFERROR(__xludf.DUMMYFUNCTION("""COMPUTED_VALUE"""),"")</f>
        <v/>
      </c>
    </row>
    <row r="649" ht="15.75" customHeight="1">
      <c r="C649" s="58" t="str">
        <f>IFERROR(__xludf.DUMMYFUNCTION("""COMPUTED_VALUE"""),"")</f>
        <v/>
      </c>
    </row>
    <row r="650" ht="15.75" customHeight="1">
      <c r="C650" s="58" t="str">
        <f>IFERROR(__xludf.DUMMYFUNCTION("""COMPUTED_VALUE"""),"")</f>
        <v/>
      </c>
    </row>
    <row r="651" ht="15.75" customHeight="1">
      <c r="C651" s="58" t="str">
        <f>IFERROR(__xludf.DUMMYFUNCTION("""COMPUTED_VALUE"""),"")</f>
        <v/>
      </c>
    </row>
    <row r="652" ht="15.75" customHeight="1">
      <c r="C652" s="58" t="str">
        <f>IFERROR(__xludf.DUMMYFUNCTION("""COMPUTED_VALUE"""),"")</f>
        <v/>
      </c>
    </row>
    <row r="653" ht="15.75" customHeight="1">
      <c r="C653" s="58" t="str">
        <f>IFERROR(__xludf.DUMMYFUNCTION("""COMPUTED_VALUE"""),"")</f>
        <v/>
      </c>
    </row>
    <row r="654" ht="15.75" customHeight="1">
      <c r="C654" s="58" t="str">
        <f>IFERROR(__xludf.DUMMYFUNCTION("""COMPUTED_VALUE"""),"")</f>
        <v/>
      </c>
    </row>
    <row r="655" ht="15.75" customHeight="1">
      <c r="C655" s="58" t="str">
        <f>IFERROR(__xludf.DUMMYFUNCTION("""COMPUTED_VALUE"""),"")</f>
        <v/>
      </c>
    </row>
    <row r="656" ht="15.75" customHeight="1">
      <c r="C656" s="58" t="str">
        <f>IFERROR(__xludf.DUMMYFUNCTION("""COMPUTED_VALUE"""),"")</f>
        <v/>
      </c>
    </row>
    <row r="657" ht="15.75" customHeight="1">
      <c r="C657" s="58" t="str">
        <f>IFERROR(__xludf.DUMMYFUNCTION("""COMPUTED_VALUE"""),"")</f>
        <v/>
      </c>
    </row>
    <row r="658" ht="15.75" customHeight="1">
      <c r="C658" s="58" t="str">
        <f>IFERROR(__xludf.DUMMYFUNCTION("""COMPUTED_VALUE"""),"")</f>
        <v/>
      </c>
    </row>
    <row r="659" ht="15.75" customHeight="1">
      <c r="C659" s="58" t="str">
        <f>IFERROR(__xludf.DUMMYFUNCTION("""COMPUTED_VALUE"""),"")</f>
        <v/>
      </c>
    </row>
    <row r="660" ht="15.75" customHeight="1">
      <c r="C660" s="58" t="str">
        <f>IFERROR(__xludf.DUMMYFUNCTION("""COMPUTED_VALUE"""),"")</f>
        <v/>
      </c>
    </row>
    <row r="661" ht="15.75" customHeight="1">
      <c r="C661" s="58" t="str">
        <f>IFERROR(__xludf.DUMMYFUNCTION("""COMPUTED_VALUE"""),"")</f>
        <v/>
      </c>
    </row>
    <row r="662" ht="15.75" customHeight="1">
      <c r="C662" s="58" t="str">
        <f>IFERROR(__xludf.DUMMYFUNCTION("""COMPUTED_VALUE"""),"")</f>
        <v/>
      </c>
    </row>
    <row r="663" ht="15.75" customHeight="1">
      <c r="C663" s="58" t="str">
        <f>IFERROR(__xludf.DUMMYFUNCTION("""COMPUTED_VALUE"""),"")</f>
        <v/>
      </c>
    </row>
    <row r="664" ht="15.75" customHeight="1">
      <c r="C664" s="58" t="str">
        <f>IFERROR(__xludf.DUMMYFUNCTION("""COMPUTED_VALUE"""),"")</f>
        <v/>
      </c>
    </row>
    <row r="665" ht="15.75" customHeight="1">
      <c r="C665" s="58" t="str">
        <f>IFERROR(__xludf.DUMMYFUNCTION("""COMPUTED_VALUE"""),"")</f>
        <v/>
      </c>
    </row>
    <row r="666" ht="15.75" customHeight="1">
      <c r="C666" s="58" t="str">
        <f>IFERROR(__xludf.DUMMYFUNCTION("""COMPUTED_VALUE"""),"")</f>
        <v/>
      </c>
    </row>
    <row r="667" ht="15.75" customHeight="1">
      <c r="C667" s="58" t="str">
        <f>IFERROR(__xludf.DUMMYFUNCTION("""COMPUTED_VALUE"""),"")</f>
        <v/>
      </c>
    </row>
    <row r="668" ht="15.75" customHeight="1">
      <c r="C668" s="58" t="str">
        <f>IFERROR(__xludf.DUMMYFUNCTION("""COMPUTED_VALUE"""),"")</f>
        <v/>
      </c>
    </row>
    <row r="669" ht="15.75" customHeight="1">
      <c r="C669" s="58" t="str">
        <f>IFERROR(__xludf.DUMMYFUNCTION("""COMPUTED_VALUE"""),"")</f>
        <v/>
      </c>
    </row>
    <row r="670" ht="15.75" customHeight="1">
      <c r="C670" s="58" t="str">
        <f>IFERROR(__xludf.DUMMYFUNCTION("""COMPUTED_VALUE"""),"")</f>
        <v/>
      </c>
    </row>
    <row r="671" ht="15.75" customHeight="1">
      <c r="C671" s="58" t="str">
        <f>IFERROR(__xludf.DUMMYFUNCTION("""COMPUTED_VALUE"""),"")</f>
        <v/>
      </c>
    </row>
    <row r="672" ht="15.75" customHeight="1">
      <c r="C672" s="58" t="str">
        <f>IFERROR(__xludf.DUMMYFUNCTION("""COMPUTED_VALUE"""),"")</f>
        <v/>
      </c>
    </row>
    <row r="673" ht="15.75" customHeight="1">
      <c r="C673" s="58" t="str">
        <f>IFERROR(__xludf.DUMMYFUNCTION("""COMPUTED_VALUE"""),"")</f>
        <v/>
      </c>
    </row>
    <row r="674" ht="15.75" customHeight="1">
      <c r="C674" s="58" t="str">
        <f>IFERROR(__xludf.DUMMYFUNCTION("""COMPUTED_VALUE"""),"")</f>
        <v/>
      </c>
    </row>
    <row r="675" ht="15.75" customHeight="1">
      <c r="C675" s="58" t="str">
        <f>IFERROR(__xludf.DUMMYFUNCTION("""COMPUTED_VALUE"""),"")</f>
        <v/>
      </c>
    </row>
    <row r="676" ht="15.75" customHeight="1">
      <c r="C676" s="58" t="str">
        <f>IFERROR(__xludf.DUMMYFUNCTION("""COMPUTED_VALUE"""),"")</f>
        <v/>
      </c>
    </row>
    <row r="677" ht="15.75" customHeight="1">
      <c r="C677" s="58" t="str">
        <f>IFERROR(__xludf.DUMMYFUNCTION("""COMPUTED_VALUE"""),"")</f>
        <v/>
      </c>
    </row>
    <row r="678" ht="15.75" customHeight="1">
      <c r="C678" s="58" t="str">
        <f>IFERROR(__xludf.DUMMYFUNCTION("""COMPUTED_VALUE"""),"")</f>
        <v/>
      </c>
    </row>
    <row r="679" ht="15.75" customHeight="1">
      <c r="C679" s="58" t="str">
        <f>IFERROR(__xludf.DUMMYFUNCTION("""COMPUTED_VALUE"""),"")</f>
        <v/>
      </c>
    </row>
    <row r="680" ht="15.75" customHeight="1">
      <c r="C680" s="58" t="str">
        <f>IFERROR(__xludf.DUMMYFUNCTION("""COMPUTED_VALUE"""),"")</f>
        <v/>
      </c>
    </row>
    <row r="681" ht="15.75" customHeight="1">
      <c r="C681" s="58" t="str">
        <f>IFERROR(__xludf.DUMMYFUNCTION("""COMPUTED_VALUE"""),"")</f>
        <v/>
      </c>
    </row>
    <row r="682" ht="15.75" customHeight="1">
      <c r="C682" s="58" t="str">
        <f>IFERROR(__xludf.DUMMYFUNCTION("""COMPUTED_VALUE"""),"")</f>
        <v/>
      </c>
    </row>
    <row r="683" ht="15.75" customHeight="1">
      <c r="C683" s="58" t="str">
        <f>IFERROR(__xludf.DUMMYFUNCTION("""COMPUTED_VALUE"""),"")</f>
        <v/>
      </c>
    </row>
    <row r="684" ht="15.75" customHeight="1">
      <c r="C684" s="58" t="str">
        <f>IFERROR(__xludf.DUMMYFUNCTION("""COMPUTED_VALUE"""),"")</f>
        <v/>
      </c>
    </row>
    <row r="685" ht="15.75" customHeight="1">
      <c r="C685" s="58" t="str">
        <f>IFERROR(__xludf.DUMMYFUNCTION("""COMPUTED_VALUE"""),"")</f>
        <v/>
      </c>
    </row>
    <row r="686" ht="15.75" customHeight="1">
      <c r="C686" s="58" t="str">
        <f>IFERROR(__xludf.DUMMYFUNCTION("""COMPUTED_VALUE"""),"")</f>
        <v/>
      </c>
    </row>
    <row r="687" ht="15.75" customHeight="1">
      <c r="C687" s="58" t="str">
        <f>IFERROR(__xludf.DUMMYFUNCTION("""COMPUTED_VALUE"""),"")</f>
        <v/>
      </c>
    </row>
    <row r="688" ht="15.75" customHeight="1">
      <c r="C688" s="58" t="str">
        <f>IFERROR(__xludf.DUMMYFUNCTION("""COMPUTED_VALUE"""),"")</f>
        <v/>
      </c>
    </row>
    <row r="689" ht="15.75" customHeight="1">
      <c r="C689" s="58" t="str">
        <f>IFERROR(__xludf.DUMMYFUNCTION("""COMPUTED_VALUE"""),"")</f>
        <v/>
      </c>
    </row>
    <row r="690" ht="15.75" customHeight="1">
      <c r="C690" s="58" t="str">
        <f>IFERROR(__xludf.DUMMYFUNCTION("""COMPUTED_VALUE"""),"")</f>
        <v/>
      </c>
    </row>
    <row r="691" ht="15.75" customHeight="1">
      <c r="C691" s="58" t="str">
        <f>IFERROR(__xludf.DUMMYFUNCTION("""COMPUTED_VALUE"""),"")</f>
        <v/>
      </c>
    </row>
    <row r="692" ht="15.75" customHeight="1">
      <c r="C692" s="58" t="str">
        <f>IFERROR(__xludf.DUMMYFUNCTION("""COMPUTED_VALUE"""),"")</f>
        <v/>
      </c>
    </row>
    <row r="693" ht="15.75" customHeight="1">
      <c r="C693" s="58" t="str">
        <f>IFERROR(__xludf.DUMMYFUNCTION("""COMPUTED_VALUE"""),"")</f>
        <v/>
      </c>
    </row>
    <row r="694" ht="15.75" customHeight="1">
      <c r="C694" s="58" t="str">
        <f>IFERROR(__xludf.DUMMYFUNCTION("""COMPUTED_VALUE"""),"")</f>
        <v/>
      </c>
    </row>
    <row r="695" ht="15.75" customHeight="1">
      <c r="C695" s="58" t="str">
        <f>IFERROR(__xludf.DUMMYFUNCTION("""COMPUTED_VALUE"""),"")</f>
        <v/>
      </c>
    </row>
    <row r="696" ht="15.75" customHeight="1">
      <c r="C696" s="58" t="str">
        <f>IFERROR(__xludf.DUMMYFUNCTION("""COMPUTED_VALUE"""),"")</f>
        <v/>
      </c>
    </row>
    <row r="697" ht="15.75" customHeight="1">
      <c r="C697" s="58" t="str">
        <f>IFERROR(__xludf.DUMMYFUNCTION("""COMPUTED_VALUE"""),"")</f>
        <v/>
      </c>
    </row>
    <row r="698" ht="15.75" customHeight="1">
      <c r="C698" s="58" t="str">
        <f>IFERROR(__xludf.DUMMYFUNCTION("""COMPUTED_VALUE"""),"")</f>
        <v/>
      </c>
    </row>
    <row r="699" ht="15.75" customHeight="1">
      <c r="C699" s="58" t="str">
        <f>IFERROR(__xludf.DUMMYFUNCTION("""COMPUTED_VALUE"""),"")</f>
        <v/>
      </c>
    </row>
    <row r="700" ht="15.75" customHeight="1">
      <c r="C700" s="58" t="str">
        <f>IFERROR(__xludf.DUMMYFUNCTION("""COMPUTED_VALUE"""),"")</f>
        <v/>
      </c>
    </row>
    <row r="701" ht="15.75" customHeight="1">
      <c r="C701" s="58" t="str">
        <f>IFERROR(__xludf.DUMMYFUNCTION("""COMPUTED_VALUE"""),"")</f>
        <v/>
      </c>
    </row>
    <row r="702" ht="15.75" customHeight="1">
      <c r="C702" s="58" t="str">
        <f>IFERROR(__xludf.DUMMYFUNCTION("""COMPUTED_VALUE"""),"")</f>
        <v/>
      </c>
    </row>
    <row r="703" ht="15.75" customHeight="1">
      <c r="C703" s="58" t="str">
        <f>IFERROR(__xludf.DUMMYFUNCTION("""COMPUTED_VALUE"""),"")</f>
        <v/>
      </c>
    </row>
    <row r="704" ht="15.75" customHeight="1">
      <c r="C704" s="58" t="str">
        <f>IFERROR(__xludf.DUMMYFUNCTION("""COMPUTED_VALUE"""),"")</f>
        <v/>
      </c>
    </row>
    <row r="705" ht="15.75" customHeight="1">
      <c r="C705" s="58" t="str">
        <f>IFERROR(__xludf.DUMMYFUNCTION("""COMPUTED_VALUE"""),"")</f>
        <v/>
      </c>
    </row>
    <row r="706" ht="15.75" customHeight="1">
      <c r="C706" s="58" t="str">
        <f>IFERROR(__xludf.DUMMYFUNCTION("""COMPUTED_VALUE"""),"")</f>
        <v/>
      </c>
    </row>
    <row r="707" ht="15.75" customHeight="1">
      <c r="C707" s="58" t="str">
        <f>IFERROR(__xludf.DUMMYFUNCTION("""COMPUTED_VALUE"""),"")</f>
        <v/>
      </c>
    </row>
    <row r="708" ht="15.75" customHeight="1">
      <c r="C708" s="58" t="str">
        <f>IFERROR(__xludf.DUMMYFUNCTION("""COMPUTED_VALUE"""),"")</f>
        <v/>
      </c>
    </row>
    <row r="709" ht="15.75" customHeight="1">
      <c r="C709" s="58" t="str">
        <f>IFERROR(__xludf.DUMMYFUNCTION("""COMPUTED_VALUE"""),"")</f>
        <v/>
      </c>
    </row>
    <row r="710" ht="15.75" customHeight="1">
      <c r="C710" s="58" t="str">
        <f>IFERROR(__xludf.DUMMYFUNCTION("""COMPUTED_VALUE"""),"")</f>
        <v/>
      </c>
    </row>
    <row r="711" ht="15.75" customHeight="1">
      <c r="C711" s="58" t="str">
        <f>IFERROR(__xludf.DUMMYFUNCTION("""COMPUTED_VALUE"""),"")</f>
        <v/>
      </c>
    </row>
    <row r="712" ht="15.75" customHeight="1">
      <c r="C712" s="58" t="str">
        <f>IFERROR(__xludf.DUMMYFUNCTION("""COMPUTED_VALUE"""),"")</f>
        <v/>
      </c>
    </row>
    <row r="713" ht="15.75" customHeight="1">
      <c r="C713" s="58" t="str">
        <f>IFERROR(__xludf.DUMMYFUNCTION("""COMPUTED_VALUE"""),"")</f>
        <v/>
      </c>
    </row>
    <row r="714" ht="15.75" customHeight="1">
      <c r="C714" s="58" t="str">
        <f>IFERROR(__xludf.DUMMYFUNCTION("""COMPUTED_VALUE"""),"")</f>
        <v/>
      </c>
    </row>
    <row r="715" ht="15.75" customHeight="1">
      <c r="C715" s="58" t="str">
        <f>IFERROR(__xludf.DUMMYFUNCTION("""COMPUTED_VALUE"""),"")</f>
        <v/>
      </c>
    </row>
    <row r="716" ht="15.75" customHeight="1">
      <c r="C716" s="58" t="str">
        <f>IFERROR(__xludf.DUMMYFUNCTION("""COMPUTED_VALUE"""),"")</f>
        <v/>
      </c>
    </row>
    <row r="717" ht="15.75" customHeight="1">
      <c r="C717" s="58" t="str">
        <f>IFERROR(__xludf.DUMMYFUNCTION("""COMPUTED_VALUE"""),"")</f>
        <v/>
      </c>
    </row>
    <row r="718" ht="15.75" customHeight="1">
      <c r="C718" s="58" t="str">
        <f>IFERROR(__xludf.DUMMYFUNCTION("""COMPUTED_VALUE"""),"")</f>
        <v/>
      </c>
    </row>
    <row r="719" ht="15.75" customHeight="1">
      <c r="C719" s="58" t="str">
        <f>IFERROR(__xludf.DUMMYFUNCTION("""COMPUTED_VALUE"""),"")</f>
        <v/>
      </c>
    </row>
    <row r="720" ht="15.75" customHeight="1">
      <c r="C720" s="58" t="str">
        <f>IFERROR(__xludf.DUMMYFUNCTION("""COMPUTED_VALUE"""),"")</f>
        <v/>
      </c>
    </row>
    <row r="721" ht="15.75" customHeight="1">
      <c r="C721" s="58" t="str">
        <f>IFERROR(__xludf.DUMMYFUNCTION("""COMPUTED_VALUE"""),"")</f>
        <v/>
      </c>
    </row>
    <row r="722" ht="15.75" customHeight="1">
      <c r="C722" s="58" t="str">
        <f>IFERROR(__xludf.DUMMYFUNCTION("""COMPUTED_VALUE"""),"")</f>
        <v/>
      </c>
    </row>
    <row r="723" ht="15.75" customHeight="1">
      <c r="C723" s="58" t="str">
        <f>IFERROR(__xludf.DUMMYFUNCTION("""COMPUTED_VALUE"""),"")</f>
        <v/>
      </c>
    </row>
    <row r="724" ht="15.75" customHeight="1">
      <c r="C724" s="58" t="str">
        <f>IFERROR(__xludf.DUMMYFUNCTION("""COMPUTED_VALUE"""),"")</f>
        <v/>
      </c>
    </row>
    <row r="725" ht="15.75" customHeight="1">
      <c r="C725" s="58" t="str">
        <f>IFERROR(__xludf.DUMMYFUNCTION("""COMPUTED_VALUE"""),"")</f>
        <v/>
      </c>
    </row>
    <row r="726" ht="15.75" customHeight="1">
      <c r="C726" s="58" t="str">
        <f>IFERROR(__xludf.DUMMYFUNCTION("""COMPUTED_VALUE"""),"")</f>
        <v/>
      </c>
    </row>
    <row r="727" ht="15.75" customHeight="1">
      <c r="C727" s="58" t="str">
        <f>IFERROR(__xludf.DUMMYFUNCTION("""COMPUTED_VALUE"""),"")</f>
        <v/>
      </c>
    </row>
    <row r="728" ht="15.75" customHeight="1">
      <c r="C728" s="58" t="str">
        <f>IFERROR(__xludf.DUMMYFUNCTION("""COMPUTED_VALUE"""),"")</f>
        <v/>
      </c>
    </row>
    <row r="729" ht="15.75" customHeight="1">
      <c r="C729" s="58" t="str">
        <f>IFERROR(__xludf.DUMMYFUNCTION("""COMPUTED_VALUE"""),"")</f>
        <v/>
      </c>
    </row>
    <row r="730" ht="15.75" customHeight="1">
      <c r="C730" s="58" t="str">
        <f>IFERROR(__xludf.DUMMYFUNCTION("""COMPUTED_VALUE"""),"")</f>
        <v/>
      </c>
    </row>
    <row r="731" ht="15.75" customHeight="1">
      <c r="C731" s="58" t="str">
        <f>IFERROR(__xludf.DUMMYFUNCTION("""COMPUTED_VALUE"""),"")</f>
        <v/>
      </c>
    </row>
    <row r="732" ht="15.75" customHeight="1">
      <c r="C732" s="58" t="str">
        <f>IFERROR(__xludf.DUMMYFUNCTION("""COMPUTED_VALUE"""),"")</f>
        <v/>
      </c>
    </row>
    <row r="733" ht="15.75" customHeight="1">
      <c r="C733" s="58" t="str">
        <f>IFERROR(__xludf.DUMMYFUNCTION("""COMPUTED_VALUE"""),"")</f>
        <v/>
      </c>
    </row>
    <row r="734" ht="15.75" customHeight="1">
      <c r="C734" s="58" t="str">
        <f>IFERROR(__xludf.DUMMYFUNCTION("""COMPUTED_VALUE"""),"")</f>
        <v/>
      </c>
    </row>
    <row r="735" ht="15.75" customHeight="1">
      <c r="C735" s="58" t="str">
        <f>IFERROR(__xludf.DUMMYFUNCTION("""COMPUTED_VALUE"""),"")</f>
        <v/>
      </c>
    </row>
    <row r="736" ht="15.75" customHeight="1">
      <c r="C736" s="58" t="str">
        <f>IFERROR(__xludf.DUMMYFUNCTION("""COMPUTED_VALUE"""),"")</f>
        <v/>
      </c>
    </row>
    <row r="737" ht="15.75" customHeight="1">
      <c r="C737" s="58" t="str">
        <f>IFERROR(__xludf.DUMMYFUNCTION("""COMPUTED_VALUE"""),"")</f>
        <v/>
      </c>
    </row>
    <row r="738" ht="15.75" customHeight="1">
      <c r="C738" s="58" t="str">
        <f>IFERROR(__xludf.DUMMYFUNCTION("""COMPUTED_VALUE"""),"")</f>
        <v/>
      </c>
    </row>
    <row r="739" ht="15.75" customHeight="1">
      <c r="C739" s="58" t="str">
        <f>IFERROR(__xludf.DUMMYFUNCTION("""COMPUTED_VALUE"""),"")</f>
        <v/>
      </c>
    </row>
    <row r="740" ht="15.75" customHeight="1">
      <c r="C740" s="58" t="str">
        <f>IFERROR(__xludf.DUMMYFUNCTION("""COMPUTED_VALUE"""),"")</f>
        <v/>
      </c>
    </row>
    <row r="741" ht="15.75" customHeight="1">
      <c r="C741" s="58" t="str">
        <f>IFERROR(__xludf.DUMMYFUNCTION("""COMPUTED_VALUE"""),"")</f>
        <v/>
      </c>
    </row>
    <row r="742" ht="15.75" customHeight="1">
      <c r="C742" s="58" t="str">
        <f>IFERROR(__xludf.DUMMYFUNCTION("""COMPUTED_VALUE"""),"")</f>
        <v/>
      </c>
    </row>
    <row r="743" ht="15.75" customHeight="1">
      <c r="C743" s="58" t="str">
        <f>IFERROR(__xludf.DUMMYFUNCTION("""COMPUTED_VALUE"""),"")</f>
        <v/>
      </c>
    </row>
    <row r="744" ht="15.75" customHeight="1">
      <c r="C744" s="58" t="str">
        <f>IFERROR(__xludf.DUMMYFUNCTION("""COMPUTED_VALUE"""),"")</f>
        <v/>
      </c>
    </row>
    <row r="745" ht="15.75" customHeight="1">
      <c r="C745" s="58" t="str">
        <f>IFERROR(__xludf.DUMMYFUNCTION("""COMPUTED_VALUE"""),"")</f>
        <v/>
      </c>
    </row>
    <row r="746" ht="15.75" customHeight="1">
      <c r="C746" s="58" t="str">
        <f>IFERROR(__xludf.DUMMYFUNCTION("""COMPUTED_VALUE"""),"")</f>
        <v/>
      </c>
    </row>
    <row r="747" ht="15.75" customHeight="1">
      <c r="C747" s="58" t="str">
        <f>IFERROR(__xludf.DUMMYFUNCTION("""COMPUTED_VALUE"""),"")</f>
        <v/>
      </c>
    </row>
    <row r="748" ht="15.75" customHeight="1">
      <c r="C748" s="58" t="str">
        <f>IFERROR(__xludf.DUMMYFUNCTION("""COMPUTED_VALUE"""),"")</f>
        <v/>
      </c>
    </row>
    <row r="749" ht="15.75" customHeight="1">
      <c r="C749" s="58" t="str">
        <f>IFERROR(__xludf.DUMMYFUNCTION("""COMPUTED_VALUE"""),"")</f>
        <v/>
      </c>
    </row>
    <row r="750" ht="15.75" customHeight="1">
      <c r="C750" s="58" t="str">
        <f>IFERROR(__xludf.DUMMYFUNCTION("""COMPUTED_VALUE"""),"")</f>
        <v/>
      </c>
    </row>
    <row r="751" ht="15.75" customHeight="1">
      <c r="C751" s="58" t="str">
        <f>IFERROR(__xludf.DUMMYFUNCTION("""COMPUTED_VALUE"""),"")</f>
        <v/>
      </c>
    </row>
    <row r="752" ht="15.75" customHeight="1">
      <c r="C752" s="58" t="str">
        <f>IFERROR(__xludf.DUMMYFUNCTION("""COMPUTED_VALUE"""),"")</f>
        <v/>
      </c>
    </row>
    <row r="753" ht="15.75" customHeight="1">
      <c r="C753" s="58" t="str">
        <f>IFERROR(__xludf.DUMMYFUNCTION("""COMPUTED_VALUE"""),"")</f>
        <v/>
      </c>
    </row>
    <row r="754" ht="15.75" customHeight="1">
      <c r="C754" s="58" t="str">
        <f>IFERROR(__xludf.DUMMYFUNCTION("""COMPUTED_VALUE"""),"")</f>
        <v/>
      </c>
    </row>
    <row r="755" ht="15.75" customHeight="1">
      <c r="C755" s="58" t="str">
        <f>IFERROR(__xludf.DUMMYFUNCTION("""COMPUTED_VALUE"""),"")</f>
        <v/>
      </c>
    </row>
    <row r="756" ht="15.75" customHeight="1">
      <c r="C756" s="58" t="str">
        <f>IFERROR(__xludf.DUMMYFUNCTION("""COMPUTED_VALUE"""),"")</f>
        <v/>
      </c>
    </row>
    <row r="757" ht="15.75" customHeight="1">
      <c r="C757" s="58" t="str">
        <f>IFERROR(__xludf.DUMMYFUNCTION("""COMPUTED_VALUE"""),"")</f>
        <v/>
      </c>
    </row>
    <row r="758" ht="15.75" customHeight="1">
      <c r="C758" s="58" t="str">
        <f>IFERROR(__xludf.DUMMYFUNCTION("""COMPUTED_VALUE"""),"")</f>
        <v/>
      </c>
    </row>
    <row r="759" ht="15.75" customHeight="1">
      <c r="C759" s="58" t="str">
        <f>IFERROR(__xludf.DUMMYFUNCTION("""COMPUTED_VALUE"""),"")</f>
        <v/>
      </c>
    </row>
    <row r="760" ht="15.75" customHeight="1">
      <c r="C760" s="58" t="str">
        <f>IFERROR(__xludf.DUMMYFUNCTION("""COMPUTED_VALUE"""),"")</f>
        <v/>
      </c>
    </row>
    <row r="761" ht="15.75" customHeight="1">
      <c r="C761" s="58" t="str">
        <f>IFERROR(__xludf.DUMMYFUNCTION("""COMPUTED_VALUE"""),"")</f>
        <v/>
      </c>
    </row>
    <row r="762" ht="15.75" customHeight="1">
      <c r="C762" s="58" t="str">
        <f>IFERROR(__xludf.DUMMYFUNCTION("""COMPUTED_VALUE"""),"")</f>
        <v/>
      </c>
    </row>
    <row r="763" ht="15.75" customHeight="1">
      <c r="C763" s="58" t="str">
        <f>IFERROR(__xludf.DUMMYFUNCTION("""COMPUTED_VALUE"""),"")</f>
        <v/>
      </c>
    </row>
    <row r="764" ht="15.75" customHeight="1">
      <c r="C764" s="58" t="str">
        <f>IFERROR(__xludf.DUMMYFUNCTION("""COMPUTED_VALUE"""),"")</f>
        <v/>
      </c>
    </row>
    <row r="765" ht="15.75" customHeight="1">
      <c r="C765" s="58" t="str">
        <f>IFERROR(__xludf.DUMMYFUNCTION("""COMPUTED_VALUE"""),"")</f>
        <v/>
      </c>
    </row>
    <row r="766" ht="15.75" customHeight="1">
      <c r="C766" s="58" t="str">
        <f>IFERROR(__xludf.DUMMYFUNCTION("""COMPUTED_VALUE"""),"")</f>
        <v/>
      </c>
    </row>
    <row r="767" ht="15.75" customHeight="1">
      <c r="C767" s="58" t="str">
        <f>IFERROR(__xludf.DUMMYFUNCTION("""COMPUTED_VALUE"""),"")</f>
        <v/>
      </c>
    </row>
    <row r="768" ht="15.75" customHeight="1">
      <c r="C768" s="58" t="str">
        <f>IFERROR(__xludf.DUMMYFUNCTION("""COMPUTED_VALUE"""),"")</f>
        <v/>
      </c>
    </row>
    <row r="769" ht="15.75" customHeight="1">
      <c r="C769" s="58" t="str">
        <f>IFERROR(__xludf.DUMMYFUNCTION("""COMPUTED_VALUE"""),"")</f>
        <v/>
      </c>
    </row>
    <row r="770" ht="15.75" customHeight="1">
      <c r="C770" s="58" t="str">
        <f>IFERROR(__xludf.DUMMYFUNCTION("""COMPUTED_VALUE"""),"")</f>
        <v/>
      </c>
    </row>
    <row r="771" ht="15.75" customHeight="1">
      <c r="C771" s="58" t="str">
        <f>IFERROR(__xludf.DUMMYFUNCTION("""COMPUTED_VALUE"""),"")</f>
        <v/>
      </c>
    </row>
    <row r="772" ht="15.75" customHeight="1">
      <c r="C772" s="58" t="str">
        <f>IFERROR(__xludf.DUMMYFUNCTION("""COMPUTED_VALUE"""),"")</f>
        <v/>
      </c>
    </row>
    <row r="773" ht="15.75" customHeight="1">
      <c r="C773" s="58" t="str">
        <f>IFERROR(__xludf.DUMMYFUNCTION("""COMPUTED_VALUE"""),"")</f>
        <v/>
      </c>
    </row>
    <row r="774" ht="15.75" customHeight="1">
      <c r="C774" s="58" t="str">
        <f>IFERROR(__xludf.DUMMYFUNCTION("""COMPUTED_VALUE"""),"")</f>
        <v/>
      </c>
    </row>
    <row r="775" ht="15.75" customHeight="1">
      <c r="C775" s="58" t="str">
        <f>IFERROR(__xludf.DUMMYFUNCTION("""COMPUTED_VALUE"""),"")</f>
        <v/>
      </c>
    </row>
    <row r="776" ht="15.75" customHeight="1">
      <c r="C776" s="58" t="str">
        <f>IFERROR(__xludf.DUMMYFUNCTION("""COMPUTED_VALUE"""),"")</f>
        <v/>
      </c>
    </row>
    <row r="777" ht="15.75" customHeight="1">
      <c r="C777" s="58" t="str">
        <f>IFERROR(__xludf.DUMMYFUNCTION("""COMPUTED_VALUE"""),"")</f>
        <v/>
      </c>
    </row>
    <row r="778" ht="15.75" customHeight="1">
      <c r="C778" s="58" t="str">
        <f>IFERROR(__xludf.DUMMYFUNCTION("""COMPUTED_VALUE"""),"")</f>
        <v/>
      </c>
    </row>
    <row r="779" ht="15.75" customHeight="1">
      <c r="C779" s="58" t="str">
        <f>IFERROR(__xludf.DUMMYFUNCTION("""COMPUTED_VALUE"""),"")</f>
        <v/>
      </c>
    </row>
    <row r="780" ht="15.75" customHeight="1">
      <c r="C780" s="58" t="str">
        <f>IFERROR(__xludf.DUMMYFUNCTION("""COMPUTED_VALUE"""),"")</f>
        <v/>
      </c>
    </row>
    <row r="781" ht="15.75" customHeight="1">
      <c r="C781" s="58" t="str">
        <f>IFERROR(__xludf.DUMMYFUNCTION("""COMPUTED_VALUE"""),"")</f>
        <v/>
      </c>
    </row>
    <row r="782" ht="15.75" customHeight="1">
      <c r="C782" s="58" t="str">
        <f>IFERROR(__xludf.DUMMYFUNCTION("""COMPUTED_VALUE"""),"")</f>
        <v/>
      </c>
    </row>
    <row r="783" ht="15.75" customHeight="1">
      <c r="C783" s="58" t="str">
        <f>IFERROR(__xludf.DUMMYFUNCTION("""COMPUTED_VALUE"""),"")</f>
        <v/>
      </c>
    </row>
    <row r="784" ht="15.75" customHeight="1">
      <c r="C784" s="58" t="str">
        <f>IFERROR(__xludf.DUMMYFUNCTION("""COMPUTED_VALUE"""),"")</f>
        <v/>
      </c>
    </row>
    <row r="785" ht="15.75" customHeight="1">
      <c r="C785" s="58" t="str">
        <f>IFERROR(__xludf.DUMMYFUNCTION("""COMPUTED_VALUE"""),"")</f>
        <v/>
      </c>
    </row>
    <row r="786" ht="15.75" customHeight="1">
      <c r="C786" s="58" t="str">
        <f>IFERROR(__xludf.DUMMYFUNCTION("""COMPUTED_VALUE"""),"")</f>
        <v/>
      </c>
    </row>
    <row r="787" ht="15.75" customHeight="1">
      <c r="C787" s="58" t="str">
        <f>IFERROR(__xludf.DUMMYFUNCTION("""COMPUTED_VALUE"""),"")</f>
        <v/>
      </c>
    </row>
    <row r="788" ht="15.75" customHeight="1">
      <c r="C788" s="58" t="str">
        <f>IFERROR(__xludf.DUMMYFUNCTION("""COMPUTED_VALUE"""),"")</f>
        <v/>
      </c>
    </row>
    <row r="789" ht="15.75" customHeight="1">
      <c r="C789" s="58" t="str">
        <f>IFERROR(__xludf.DUMMYFUNCTION("""COMPUTED_VALUE"""),"")</f>
        <v/>
      </c>
    </row>
    <row r="790" ht="15.75" customHeight="1">
      <c r="C790" s="58" t="str">
        <f>IFERROR(__xludf.DUMMYFUNCTION("""COMPUTED_VALUE"""),"")</f>
        <v/>
      </c>
    </row>
    <row r="791" ht="15.75" customHeight="1">
      <c r="C791" s="58" t="str">
        <f>IFERROR(__xludf.DUMMYFUNCTION("""COMPUTED_VALUE"""),"")</f>
        <v/>
      </c>
    </row>
    <row r="792" ht="15.75" customHeight="1">
      <c r="C792" s="58" t="str">
        <f>IFERROR(__xludf.DUMMYFUNCTION("""COMPUTED_VALUE"""),"")</f>
        <v/>
      </c>
    </row>
    <row r="793" ht="15.75" customHeight="1">
      <c r="C793" s="58" t="str">
        <f>IFERROR(__xludf.DUMMYFUNCTION("""COMPUTED_VALUE"""),"")</f>
        <v/>
      </c>
    </row>
    <row r="794" ht="15.75" customHeight="1">
      <c r="C794" s="58" t="str">
        <f>IFERROR(__xludf.DUMMYFUNCTION("""COMPUTED_VALUE"""),"")</f>
        <v/>
      </c>
    </row>
    <row r="795" ht="15.75" customHeight="1">
      <c r="C795" s="58" t="str">
        <f>IFERROR(__xludf.DUMMYFUNCTION("""COMPUTED_VALUE"""),"")</f>
        <v/>
      </c>
    </row>
    <row r="796" ht="15.75" customHeight="1">
      <c r="C796" s="58" t="str">
        <f>IFERROR(__xludf.DUMMYFUNCTION("""COMPUTED_VALUE"""),"")</f>
        <v/>
      </c>
    </row>
    <row r="797" ht="15.75" customHeight="1">
      <c r="C797" s="58" t="str">
        <f>IFERROR(__xludf.DUMMYFUNCTION("""COMPUTED_VALUE"""),"")</f>
        <v/>
      </c>
    </row>
    <row r="798" ht="15.75" customHeight="1">
      <c r="C798" s="58" t="str">
        <f>IFERROR(__xludf.DUMMYFUNCTION("""COMPUTED_VALUE"""),"")</f>
        <v/>
      </c>
    </row>
    <row r="799" ht="15.75" customHeight="1">
      <c r="C799" s="58" t="str">
        <f>IFERROR(__xludf.DUMMYFUNCTION("""COMPUTED_VALUE"""),"")</f>
        <v/>
      </c>
    </row>
    <row r="800" ht="15.75" customHeight="1">
      <c r="C800" s="58" t="str">
        <f>IFERROR(__xludf.DUMMYFUNCTION("""COMPUTED_VALUE"""),"")</f>
        <v/>
      </c>
    </row>
    <row r="801" ht="15.75" customHeight="1">
      <c r="C801" s="58" t="str">
        <f>IFERROR(__xludf.DUMMYFUNCTION("""COMPUTED_VALUE"""),"")</f>
        <v/>
      </c>
    </row>
    <row r="802" ht="15.75" customHeight="1">
      <c r="C802" s="58" t="str">
        <f>IFERROR(__xludf.DUMMYFUNCTION("""COMPUTED_VALUE"""),"")</f>
        <v/>
      </c>
    </row>
    <row r="803" ht="15.75" customHeight="1">
      <c r="C803" s="58" t="str">
        <f>IFERROR(__xludf.DUMMYFUNCTION("""COMPUTED_VALUE"""),"")</f>
        <v/>
      </c>
    </row>
    <row r="804" ht="15.75" customHeight="1">
      <c r="C804" s="58" t="str">
        <f>IFERROR(__xludf.DUMMYFUNCTION("""COMPUTED_VALUE"""),"")</f>
        <v/>
      </c>
    </row>
    <row r="805" ht="15.75" customHeight="1">
      <c r="C805" s="58" t="str">
        <f>IFERROR(__xludf.DUMMYFUNCTION("""COMPUTED_VALUE"""),"")</f>
        <v/>
      </c>
    </row>
    <row r="806" ht="15.75" customHeight="1">
      <c r="C806" s="58" t="str">
        <f>IFERROR(__xludf.DUMMYFUNCTION("""COMPUTED_VALUE"""),"")</f>
        <v/>
      </c>
    </row>
    <row r="807" ht="15.75" customHeight="1">
      <c r="C807" s="58" t="str">
        <f>IFERROR(__xludf.DUMMYFUNCTION("""COMPUTED_VALUE"""),"")</f>
        <v/>
      </c>
    </row>
    <row r="808" ht="15.75" customHeight="1">
      <c r="C808" s="58" t="str">
        <f>IFERROR(__xludf.DUMMYFUNCTION("""COMPUTED_VALUE"""),"")</f>
        <v/>
      </c>
    </row>
    <row r="809" ht="15.75" customHeight="1">
      <c r="C809" s="58" t="str">
        <f>IFERROR(__xludf.DUMMYFUNCTION("""COMPUTED_VALUE"""),"")</f>
        <v/>
      </c>
    </row>
    <row r="810" ht="15.75" customHeight="1">
      <c r="C810" s="58" t="str">
        <f>IFERROR(__xludf.DUMMYFUNCTION("""COMPUTED_VALUE"""),"")</f>
        <v/>
      </c>
    </row>
    <row r="811" ht="15.75" customHeight="1">
      <c r="C811" s="58" t="str">
        <f>IFERROR(__xludf.DUMMYFUNCTION("""COMPUTED_VALUE"""),"")</f>
        <v/>
      </c>
    </row>
    <row r="812" ht="15.75" customHeight="1">
      <c r="C812" s="58" t="str">
        <f>IFERROR(__xludf.DUMMYFUNCTION("""COMPUTED_VALUE"""),"")</f>
        <v/>
      </c>
    </row>
    <row r="813" ht="15.75" customHeight="1">
      <c r="C813" s="58" t="str">
        <f>IFERROR(__xludf.DUMMYFUNCTION("""COMPUTED_VALUE"""),"")</f>
        <v/>
      </c>
    </row>
    <row r="814" ht="15.75" customHeight="1">
      <c r="C814" s="58" t="str">
        <f>IFERROR(__xludf.DUMMYFUNCTION("""COMPUTED_VALUE"""),"")</f>
        <v/>
      </c>
    </row>
    <row r="815" ht="15.75" customHeight="1">
      <c r="C815" s="58" t="str">
        <f>IFERROR(__xludf.DUMMYFUNCTION("""COMPUTED_VALUE"""),"")</f>
        <v/>
      </c>
    </row>
    <row r="816" ht="15.75" customHeight="1">
      <c r="C816" s="58" t="str">
        <f>IFERROR(__xludf.DUMMYFUNCTION("""COMPUTED_VALUE"""),"")</f>
        <v/>
      </c>
    </row>
    <row r="817" ht="15.75" customHeight="1">
      <c r="C817" s="58" t="str">
        <f>IFERROR(__xludf.DUMMYFUNCTION("""COMPUTED_VALUE"""),"")</f>
        <v/>
      </c>
    </row>
    <row r="818" ht="15.75" customHeight="1">
      <c r="C818" s="58" t="str">
        <f>IFERROR(__xludf.DUMMYFUNCTION("""COMPUTED_VALUE"""),"")</f>
        <v/>
      </c>
    </row>
    <row r="819" ht="15.75" customHeight="1">
      <c r="C819" s="58" t="str">
        <f>IFERROR(__xludf.DUMMYFUNCTION("""COMPUTED_VALUE"""),"")</f>
        <v/>
      </c>
    </row>
    <row r="820" ht="15.75" customHeight="1">
      <c r="C820" s="58" t="str">
        <f>IFERROR(__xludf.DUMMYFUNCTION("""COMPUTED_VALUE"""),"")</f>
        <v/>
      </c>
    </row>
    <row r="821" ht="15.75" customHeight="1">
      <c r="C821" s="58" t="str">
        <f>IFERROR(__xludf.DUMMYFUNCTION("""COMPUTED_VALUE"""),"")</f>
        <v/>
      </c>
    </row>
    <row r="822" ht="15.75" customHeight="1">
      <c r="C822" s="58" t="str">
        <f>IFERROR(__xludf.DUMMYFUNCTION("""COMPUTED_VALUE"""),"")</f>
        <v/>
      </c>
    </row>
    <row r="823" ht="15.75" customHeight="1">
      <c r="C823" s="58" t="str">
        <f>IFERROR(__xludf.DUMMYFUNCTION("""COMPUTED_VALUE"""),"")</f>
        <v/>
      </c>
    </row>
    <row r="824" ht="15.75" customHeight="1">
      <c r="C824" s="58" t="str">
        <f>IFERROR(__xludf.DUMMYFUNCTION("""COMPUTED_VALUE"""),"")</f>
        <v/>
      </c>
    </row>
    <row r="825" ht="15.75" customHeight="1">
      <c r="C825" s="58" t="str">
        <f>IFERROR(__xludf.DUMMYFUNCTION("""COMPUTED_VALUE"""),"")</f>
        <v/>
      </c>
    </row>
    <row r="826" ht="15.75" customHeight="1">
      <c r="C826" s="58" t="str">
        <f>IFERROR(__xludf.DUMMYFUNCTION("""COMPUTED_VALUE"""),"")</f>
        <v/>
      </c>
    </row>
    <row r="827" ht="15.75" customHeight="1">
      <c r="C827" s="58" t="str">
        <f>IFERROR(__xludf.DUMMYFUNCTION("""COMPUTED_VALUE"""),"")</f>
        <v/>
      </c>
    </row>
    <row r="828" ht="15.75" customHeight="1">
      <c r="C828" s="58" t="str">
        <f>IFERROR(__xludf.DUMMYFUNCTION("""COMPUTED_VALUE"""),"")</f>
        <v/>
      </c>
    </row>
    <row r="829" ht="15.75" customHeight="1">
      <c r="C829" s="58" t="str">
        <f>IFERROR(__xludf.DUMMYFUNCTION("""COMPUTED_VALUE"""),"")</f>
        <v/>
      </c>
    </row>
    <row r="830" ht="15.75" customHeight="1">
      <c r="C830" s="58" t="str">
        <f>IFERROR(__xludf.DUMMYFUNCTION("""COMPUTED_VALUE"""),"")</f>
        <v/>
      </c>
    </row>
    <row r="831" ht="15.75" customHeight="1">
      <c r="C831" s="58" t="str">
        <f>IFERROR(__xludf.DUMMYFUNCTION("""COMPUTED_VALUE"""),"")</f>
        <v/>
      </c>
    </row>
    <row r="832" ht="15.75" customHeight="1">
      <c r="C832" s="58" t="str">
        <f>IFERROR(__xludf.DUMMYFUNCTION("""COMPUTED_VALUE"""),"")</f>
        <v/>
      </c>
    </row>
    <row r="833" ht="15.75" customHeight="1">
      <c r="C833" s="58" t="str">
        <f>IFERROR(__xludf.DUMMYFUNCTION("""COMPUTED_VALUE"""),"")</f>
        <v/>
      </c>
    </row>
    <row r="834" ht="15.75" customHeight="1">
      <c r="C834" s="58" t="str">
        <f>IFERROR(__xludf.DUMMYFUNCTION("""COMPUTED_VALUE"""),"")</f>
        <v/>
      </c>
    </row>
    <row r="835" ht="15.75" customHeight="1">
      <c r="C835" s="58" t="str">
        <f>IFERROR(__xludf.DUMMYFUNCTION("""COMPUTED_VALUE"""),"")</f>
        <v/>
      </c>
    </row>
    <row r="836" ht="15.75" customHeight="1">
      <c r="C836" s="58" t="str">
        <f>IFERROR(__xludf.DUMMYFUNCTION("""COMPUTED_VALUE"""),"")</f>
        <v/>
      </c>
    </row>
    <row r="837" ht="15.75" customHeight="1">
      <c r="C837" s="58" t="str">
        <f>IFERROR(__xludf.DUMMYFUNCTION("""COMPUTED_VALUE"""),"")</f>
        <v/>
      </c>
    </row>
    <row r="838" ht="15.75" customHeight="1">
      <c r="C838" s="58" t="str">
        <f>IFERROR(__xludf.DUMMYFUNCTION("""COMPUTED_VALUE"""),"")</f>
        <v/>
      </c>
    </row>
    <row r="839" ht="15.75" customHeight="1">
      <c r="C839" s="58" t="str">
        <f>IFERROR(__xludf.DUMMYFUNCTION("""COMPUTED_VALUE"""),"")</f>
        <v/>
      </c>
    </row>
    <row r="840" ht="15.75" customHeight="1">
      <c r="C840" s="58" t="str">
        <f>IFERROR(__xludf.DUMMYFUNCTION("""COMPUTED_VALUE"""),"")</f>
        <v/>
      </c>
    </row>
    <row r="841" ht="15.75" customHeight="1">
      <c r="C841" s="58" t="str">
        <f>IFERROR(__xludf.DUMMYFUNCTION("""COMPUTED_VALUE"""),"")</f>
        <v/>
      </c>
    </row>
    <row r="842" ht="15.75" customHeight="1">
      <c r="C842" s="58" t="str">
        <f>IFERROR(__xludf.DUMMYFUNCTION("""COMPUTED_VALUE"""),"")</f>
        <v/>
      </c>
    </row>
    <row r="843" ht="15.75" customHeight="1">
      <c r="C843" s="58" t="str">
        <f>IFERROR(__xludf.DUMMYFUNCTION("""COMPUTED_VALUE"""),"")</f>
        <v/>
      </c>
    </row>
    <row r="844" ht="15.75" customHeight="1">
      <c r="C844" s="58" t="str">
        <f>IFERROR(__xludf.DUMMYFUNCTION("""COMPUTED_VALUE"""),"")</f>
        <v/>
      </c>
    </row>
    <row r="845" ht="15.75" customHeight="1">
      <c r="C845" s="58" t="str">
        <f>IFERROR(__xludf.DUMMYFUNCTION("""COMPUTED_VALUE"""),"")</f>
        <v/>
      </c>
    </row>
    <row r="846" ht="15.75" customHeight="1">
      <c r="C846" s="58" t="str">
        <f>IFERROR(__xludf.DUMMYFUNCTION("""COMPUTED_VALUE"""),"")</f>
        <v/>
      </c>
    </row>
    <row r="847" ht="15.75" customHeight="1">
      <c r="C847" s="58" t="str">
        <f>IFERROR(__xludf.DUMMYFUNCTION("""COMPUTED_VALUE"""),"")</f>
        <v/>
      </c>
    </row>
    <row r="848" ht="15.75" customHeight="1">
      <c r="C848" s="58" t="str">
        <f>IFERROR(__xludf.DUMMYFUNCTION("""COMPUTED_VALUE"""),"")</f>
        <v/>
      </c>
    </row>
    <row r="849" ht="15.75" customHeight="1">
      <c r="C849" s="58" t="str">
        <f>IFERROR(__xludf.DUMMYFUNCTION("""COMPUTED_VALUE"""),"")</f>
        <v/>
      </c>
    </row>
    <row r="850" ht="15.75" customHeight="1">
      <c r="C850" s="58" t="str">
        <f>IFERROR(__xludf.DUMMYFUNCTION("""COMPUTED_VALUE"""),"")</f>
        <v/>
      </c>
    </row>
    <row r="851" ht="15.75" customHeight="1">
      <c r="C851" s="58" t="str">
        <f>IFERROR(__xludf.DUMMYFUNCTION("""COMPUTED_VALUE"""),"")</f>
        <v/>
      </c>
    </row>
    <row r="852" ht="15.75" customHeight="1">
      <c r="C852" s="58" t="str">
        <f>IFERROR(__xludf.DUMMYFUNCTION("""COMPUTED_VALUE"""),"")</f>
        <v/>
      </c>
    </row>
    <row r="853" ht="15.75" customHeight="1">
      <c r="C853" s="58" t="str">
        <f>IFERROR(__xludf.DUMMYFUNCTION("""COMPUTED_VALUE"""),"")</f>
        <v/>
      </c>
    </row>
    <row r="854" ht="15.75" customHeight="1">
      <c r="C854" s="58" t="str">
        <f>IFERROR(__xludf.DUMMYFUNCTION("""COMPUTED_VALUE"""),"")</f>
        <v/>
      </c>
    </row>
    <row r="855" ht="15.75" customHeight="1">
      <c r="C855" s="58" t="str">
        <f>IFERROR(__xludf.DUMMYFUNCTION("""COMPUTED_VALUE"""),"")</f>
        <v/>
      </c>
    </row>
    <row r="856" ht="15.75" customHeight="1">
      <c r="C856" s="58" t="str">
        <f>IFERROR(__xludf.DUMMYFUNCTION("""COMPUTED_VALUE"""),"")</f>
        <v/>
      </c>
    </row>
    <row r="857" ht="15.75" customHeight="1">
      <c r="C857" s="58" t="str">
        <f>IFERROR(__xludf.DUMMYFUNCTION("""COMPUTED_VALUE"""),"")</f>
        <v/>
      </c>
    </row>
    <row r="858" ht="15.75" customHeight="1">
      <c r="C858" s="58" t="str">
        <f>IFERROR(__xludf.DUMMYFUNCTION("""COMPUTED_VALUE"""),"")</f>
        <v/>
      </c>
    </row>
    <row r="859" ht="15.75" customHeight="1">
      <c r="C859" s="58" t="str">
        <f>IFERROR(__xludf.DUMMYFUNCTION("""COMPUTED_VALUE"""),"")</f>
        <v/>
      </c>
    </row>
    <row r="860" ht="15.75" customHeight="1">
      <c r="C860" s="58" t="str">
        <f>IFERROR(__xludf.DUMMYFUNCTION("""COMPUTED_VALUE"""),"")</f>
        <v/>
      </c>
    </row>
    <row r="861" ht="15.75" customHeight="1">
      <c r="C861" s="58" t="str">
        <f>IFERROR(__xludf.DUMMYFUNCTION("""COMPUTED_VALUE"""),"")</f>
        <v/>
      </c>
    </row>
    <row r="862" ht="15.75" customHeight="1">
      <c r="C862" s="58" t="str">
        <f>IFERROR(__xludf.DUMMYFUNCTION("""COMPUTED_VALUE"""),"")</f>
        <v/>
      </c>
    </row>
    <row r="863" ht="15.75" customHeight="1">
      <c r="C863" s="58" t="str">
        <f>IFERROR(__xludf.DUMMYFUNCTION("""COMPUTED_VALUE"""),"")</f>
        <v/>
      </c>
    </row>
    <row r="864" ht="15.75" customHeight="1">
      <c r="C864" s="58" t="str">
        <f>IFERROR(__xludf.DUMMYFUNCTION("""COMPUTED_VALUE"""),"")</f>
        <v/>
      </c>
    </row>
    <row r="865" ht="15.75" customHeight="1">
      <c r="C865" s="58" t="str">
        <f>IFERROR(__xludf.DUMMYFUNCTION("""COMPUTED_VALUE"""),"")</f>
        <v/>
      </c>
    </row>
    <row r="866" ht="15.75" customHeight="1">
      <c r="C866" s="58" t="str">
        <f>IFERROR(__xludf.DUMMYFUNCTION("""COMPUTED_VALUE"""),"")</f>
        <v/>
      </c>
    </row>
    <row r="867" ht="15.75" customHeight="1">
      <c r="C867" s="58" t="str">
        <f>IFERROR(__xludf.DUMMYFUNCTION("""COMPUTED_VALUE"""),"")</f>
        <v/>
      </c>
    </row>
    <row r="868" ht="15.75" customHeight="1">
      <c r="C868" s="58" t="str">
        <f>IFERROR(__xludf.DUMMYFUNCTION("""COMPUTED_VALUE"""),"")</f>
        <v/>
      </c>
    </row>
    <row r="869" ht="15.75" customHeight="1">
      <c r="C869" s="58" t="str">
        <f>IFERROR(__xludf.DUMMYFUNCTION("""COMPUTED_VALUE"""),"")</f>
        <v/>
      </c>
    </row>
    <row r="870" ht="15.75" customHeight="1">
      <c r="C870" s="58" t="str">
        <f>IFERROR(__xludf.DUMMYFUNCTION("""COMPUTED_VALUE"""),"")</f>
        <v/>
      </c>
    </row>
    <row r="871" ht="15.75" customHeight="1">
      <c r="C871" s="58" t="str">
        <f>IFERROR(__xludf.DUMMYFUNCTION("""COMPUTED_VALUE"""),"")</f>
        <v/>
      </c>
    </row>
    <row r="872" ht="15.75" customHeight="1">
      <c r="C872" s="58" t="str">
        <f>IFERROR(__xludf.DUMMYFUNCTION("""COMPUTED_VALUE"""),"")</f>
        <v/>
      </c>
    </row>
    <row r="873" ht="15.75" customHeight="1">
      <c r="C873" s="58" t="str">
        <f>IFERROR(__xludf.DUMMYFUNCTION("""COMPUTED_VALUE"""),"")</f>
        <v/>
      </c>
    </row>
    <row r="874" ht="15.75" customHeight="1">
      <c r="C874" s="58" t="str">
        <f>IFERROR(__xludf.DUMMYFUNCTION("""COMPUTED_VALUE"""),"")</f>
        <v/>
      </c>
    </row>
    <row r="875" ht="15.75" customHeight="1">
      <c r="C875" s="58" t="str">
        <f>IFERROR(__xludf.DUMMYFUNCTION("""COMPUTED_VALUE"""),"")</f>
        <v/>
      </c>
    </row>
    <row r="876" ht="15.75" customHeight="1">
      <c r="C876" s="58" t="str">
        <f>IFERROR(__xludf.DUMMYFUNCTION("""COMPUTED_VALUE"""),"")</f>
        <v/>
      </c>
    </row>
    <row r="877" ht="15.75" customHeight="1">
      <c r="C877" s="58" t="str">
        <f>IFERROR(__xludf.DUMMYFUNCTION("""COMPUTED_VALUE"""),"")</f>
        <v/>
      </c>
    </row>
    <row r="878" ht="15.75" customHeight="1">
      <c r="C878" s="58" t="str">
        <f>IFERROR(__xludf.DUMMYFUNCTION("""COMPUTED_VALUE"""),"")</f>
        <v/>
      </c>
    </row>
    <row r="879" ht="15.75" customHeight="1">
      <c r="C879" s="58" t="str">
        <f>IFERROR(__xludf.DUMMYFUNCTION("""COMPUTED_VALUE"""),"")</f>
        <v/>
      </c>
    </row>
    <row r="880" ht="15.75" customHeight="1">
      <c r="C880" s="58" t="str">
        <f>IFERROR(__xludf.DUMMYFUNCTION("""COMPUTED_VALUE"""),"")</f>
        <v/>
      </c>
    </row>
    <row r="881" ht="15.75" customHeight="1">
      <c r="C881" s="58" t="str">
        <f>IFERROR(__xludf.DUMMYFUNCTION("""COMPUTED_VALUE"""),"")</f>
        <v/>
      </c>
    </row>
    <row r="882" ht="15.75" customHeight="1">
      <c r="C882" s="58" t="str">
        <f>IFERROR(__xludf.DUMMYFUNCTION("""COMPUTED_VALUE"""),"")</f>
        <v/>
      </c>
    </row>
    <row r="883" ht="15.75" customHeight="1">
      <c r="C883" s="58" t="str">
        <f>IFERROR(__xludf.DUMMYFUNCTION("""COMPUTED_VALUE"""),"")</f>
        <v/>
      </c>
    </row>
    <row r="884" ht="15.75" customHeight="1">
      <c r="C884" s="58" t="str">
        <f>IFERROR(__xludf.DUMMYFUNCTION("""COMPUTED_VALUE"""),"")</f>
        <v/>
      </c>
    </row>
    <row r="885" ht="15.75" customHeight="1">
      <c r="C885" s="58" t="str">
        <f>IFERROR(__xludf.DUMMYFUNCTION("""COMPUTED_VALUE"""),"")</f>
        <v/>
      </c>
    </row>
    <row r="886" ht="15.75" customHeight="1">
      <c r="C886" s="58" t="str">
        <f>IFERROR(__xludf.DUMMYFUNCTION("""COMPUTED_VALUE"""),"")</f>
        <v/>
      </c>
    </row>
    <row r="887" ht="15.75" customHeight="1">
      <c r="C887" s="58" t="str">
        <f>IFERROR(__xludf.DUMMYFUNCTION("""COMPUTED_VALUE"""),"")</f>
        <v/>
      </c>
    </row>
    <row r="888" ht="15.75" customHeight="1">
      <c r="C888" s="58" t="str">
        <f>IFERROR(__xludf.DUMMYFUNCTION("""COMPUTED_VALUE"""),"")</f>
        <v/>
      </c>
    </row>
    <row r="889" ht="15.75" customHeight="1">
      <c r="C889" s="58" t="str">
        <f>IFERROR(__xludf.DUMMYFUNCTION("""COMPUTED_VALUE"""),"")</f>
        <v/>
      </c>
    </row>
    <row r="890" ht="15.75" customHeight="1">
      <c r="C890" s="58" t="str">
        <f>IFERROR(__xludf.DUMMYFUNCTION("""COMPUTED_VALUE"""),"")</f>
        <v/>
      </c>
    </row>
    <row r="891" ht="15.75" customHeight="1">
      <c r="C891" s="58" t="str">
        <f>IFERROR(__xludf.DUMMYFUNCTION("""COMPUTED_VALUE"""),"")</f>
        <v/>
      </c>
    </row>
    <row r="892" ht="15.75" customHeight="1">
      <c r="C892" s="58" t="str">
        <f>IFERROR(__xludf.DUMMYFUNCTION("""COMPUTED_VALUE"""),"")</f>
        <v/>
      </c>
    </row>
    <row r="893" ht="15.75" customHeight="1">
      <c r="C893" s="58" t="str">
        <f>IFERROR(__xludf.DUMMYFUNCTION("""COMPUTED_VALUE"""),"")</f>
        <v/>
      </c>
    </row>
    <row r="894" ht="15.75" customHeight="1">
      <c r="C894" s="58" t="str">
        <f>IFERROR(__xludf.DUMMYFUNCTION("""COMPUTED_VALUE"""),"")</f>
        <v/>
      </c>
    </row>
    <row r="895" ht="15.75" customHeight="1">
      <c r="C895" s="58" t="str">
        <f>IFERROR(__xludf.DUMMYFUNCTION("""COMPUTED_VALUE"""),"")</f>
        <v/>
      </c>
    </row>
    <row r="896" ht="15.75" customHeight="1">
      <c r="C896" s="58" t="str">
        <f>IFERROR(__xludf.DUMMYFUNCTION("""COMPUTED_VALUE"""),"")</f>
        <v/>
      </c>
    </row>
    <row r="897" ht="15.75" customHeight="1">
      <c r="C897" s="58" t="str">
        <f>IFERROR(__xludf.DUMMYFUNCTION("""COMPUTED_VALUE"""),"")</f>
        <v/>
      </c>
    </row>
    <row r="898" ht="15.75" customHeight="1">
      <c r="C898" s="58" t="str">
        <f>IFERROR(__xludf.DUMMYFUNCTION("""COMPUTED_VALUE"""),"")</f>
        <v/>
      </c>
    </row>
    <row r="899" ht="15.75" customHeight="1">
      <c r="C899" s="58" t="str">
        <f>IFERROR(__xludf.DUMMYFUNCTION("""COMPUTED_VALUE"""),"")</f>
        <v/>
      </c>
    </row>
    <row r="900" ht="15.75" customHeight="1">
      <c r="C900" s="58" t="str">
        <f>IFERROR(__xludf.DUMMYFUNCTION("""COMPUTED_VALUE"""),"")</f>
        <v/>
      </c>
    </row>
    <row r="901" ht="15.75" customHeight="1">
      <c r="C901" s="58" t="str">
        <f>IFERROR(__xludf.DUMMYFUNCTION("""COMPUTED_VALUE"""),"")</f>
        <v/>
      </c>
    </row>
    <row r="902" ht="15.75" customHeight="1">
      <c r="C902" s="58" t="str">
        <f>IFERROR(__xludf.DUMMYFUNCTION("""COMPUTED_VALUE"""),"")</f>
        <v/>
      </c>
    </row>
    <row r="903" ht="15.75" customHeight="1">
      <c r="C903" s="58" t="str">
        <f>IFERROR(__xludf.DUMMYFUNCTION("""COMPUTED_VALUE"""),"")</f>
        <v/>
      </c>
    </row>
    <row r="904" ht="15.75" customHeight="1">
      <c r="C904" s="58" t="str">
        <f>IFERROR(__xludf.DUMMYFUNCTION("""COMPUTED_VALUE"""),"")</f>
        <v/>
      </c>
    </row>
    <row r="905" ht="15.75" customHeight="1">
      <c r="C905" s="58" t="str">
        <f>IFERROR(__xludf.DUMMYFUNCTION("""COMPUTED_VALUE"""),"")</f>
        <v/>
      </c>
    </row>
    <row r="906" ht="15.75" customHeight="1">
      <c r="C906" s="58" t="str">
        <f>IFERROR(__xludf.DUMMYFUNCTION("""COMPUTED_VALUE"""),"")</f>
        <v/>
      </c>
    </row>
    <row r="907" ht="15.75" customHeight="1">
      <c r="C907" s="58" t="str">
        <f>IFERROR(__xludf.DUMMYFUNCTION("""COMPUTED_VALUE"""),"")</f>
        <v/>
      </c>
    </row>
    <row r="908" ht="15.75" customHeight="1">
      <c r="C908" s="58" t="str">
        <f>IFERROR(__xludf.DUMMYFUNCTION("""COMPUTED_VALUE"""),"")</f>
        <v/>
      </c>
    </row>
    <row r="909" ht="15.75" customHeight="1">
      <c r="C909" s="58" t="str">
        <f>IFERROR(__xludf.DUMMYFUNCTION("""COMPUTED_VALUE"""),"")</f>
        <v/>
      </c>
    </row>
    <row r="910" ht="15.75" customHeight="1">
      <c r="C910" s="58" t="str">
        <f>IFERROR(__xludf.DUMMYFUNCTION("""COMPUTED_VALUE"""),"")</f>
        <v/>
      </c>
    </row>
    <row r="911" ht="15.75" customHeight="1">
      <c r="C911" s="58" t="str">
        <f>IFERROR(__xludf.DUMMYFUNCTION("""COMPUTED_VALUE"""),"")</f>
        <v/>
      </c>
    </row>
    <row r="912" ht="15.75" customHeight="1">
      <c r="C912" s="58" t="str">
        <f>IFERROR(__xludf.DUMMYFUNCTION("""COMPUTED_VALUE"""),"")</f>
        <v/>
      </c>
    </row>
    <row r="913" ht="15.75" customHeight="1">
      <c r="C913" s="58" t="str">
        <f>IFERROR(__xludf.DUMMYFUNCTION("""COMPUTED_VALUE"""),"")</f>
        <v/>
      </c>
    </row>
    <row r="914" ht="15.75" customHeight="1">
      <c r="C914" s="58" t="str">
        <f>IFERROR(__xludf.DUMMYFUNCTION("""COMPUTED_VALUE"""),"")</f>
        <v/>
      </c>
    </row>
    <row r="915" ht="15.75" customHeight="1">
      <c r="C915" s="58" t="str">
        <f>IFERROR(__xludf.DUMMYFUNCTION("""COMPUTED_VALUE"""),"")</f>
        <v/>
      </c>
    </row>
    <row r="916" ht="15.75" customHeight="1">
      <c r="C916" s="58" t="str">
        <f>IFERROR(__xludf.DUMMYFUNCTION("""COMPUTED_VALUE"""),"")</f>
        <v/>
      </c>
    </row>
    <row r="917" ht="15.75" customHeight="1">
      <c r="C917" s="58" t="str">
        <f>IFERROR(__xludf.DUMMYFUNCTION("""COMPUTED_VALUE"""),"")</f>
        <v/>
      </c>
    </row>
    <row r="918" ht="15.75" customHeight="1">
      <c r="C918" s="58" t="str">
        <f>IFERROR(__xludf.DUMMYFUNCTION("""COMPUTED_VALUE"""),"")</f>
        <v/>
      </c>
    </row>
    <row r="919" ht="15.75" customHeight="1">
      <c r="C919" s="58" t="str">
        <f>IFERROR(__xludf.DUMMYFUNCTION("""COMPUTED_VALUE"""),"")</f>
        <v/>
      </c>
    </row>
    <row r="920" ht="15.75" customHeight="1">
      <c r="C920" s="58" t="str">
        <f>IFERROR(__xludf.DUMMYFUNCTION("""COMPUTED_VALUE"""),"")</f>
        <v/>
      </c>
    </row>
    <row r="921" ht="15.75" customHeight="1">
      <c r="C921" s="58" t="str">
        <f>IFERROR(__xludf.DUMMYFUNCTION("""COMPUTED_VALUE"""),"")</f>
        <v/>
      </c>
    </row>
    <row r="922" ht="15.75" customHeight="1">
      <c r="C922" s="58" t="str">
        <f>IFERROR(__xludf.DUMMYFUNCTION("""COMPUTED_VALUE"""),"")</f>
        <v/>
      </c>
    </row>
    <row r="923" ht="15.75" customHeight="1">
      <c r="C923" s="58" t="str">
        <f>IFERROR(__xludf.DUMMYFUNCTION("""COMPUTED_VALUE"""),"")</f>
        <v/>
      </c>
    </row>
    <row r="924" ht="15.75" customHeight="1">
      <c r="C924" s="58" t="str">
        <f>IFERROR(__xludf.DUMMYFUNCTION("""COMPUTED_VALUE"""),"")</f>
        <v/>
      </c>
    </row>
    <row r="925" ht="15.75" customHeight="1">
      <c r="C925" s="58" t="str">
        <f>IFERROR(__xludf.DUMMYFUNCTION("""COMPUTED_VALUE"""),"")</f>
        <v/>
      </c>
    </row>
    <row r="926" ht="15.75" customHeight="1">
      <c r="C926" s="58" t="str">
        <f>IFERROR(__xludf.DUMMYFUNCTION("""COMPUTED_VALUE"""),"")</f>
        <v/>
      </c>
    </row>
    <row r="927" ht="15.75" customHeight="1">
      <c r="C927" s="58" t="str">
        <f>IFERROR(__xludf.DUMMYFUNCTION("""COMPUTED_VALUE"""),"")</f>
        <v/>
      </c>
    </row>
    <row r="928" ht="15.75" customHeight="1">
      <c r="C928" s="58" t="str">
        <f>IFERROR(__xludf.DUMMYFUNCTION("""COMPUTED_VALUE"""),"")</f>
        <v/>
      </c>
    </row>
    <row r="929" ht="15.75" customHeight="1">
      <c r="C929" s="58" t="str">
        <f>IFERROR(__xludf.DUMMYFUNCTION("""COMPUTED_VALUE"""),"")</f>
        <v/>
      </c>
    </row>
    <row r="930" ht="15.75" customHeight="1">
      <c r="C930" s="58" t="str">
        <f>IFERROR(__xludf.DUMMYFUNCTION("""COMPUTED_VALUE"""),"")</f>
        <v/>
      </c>
    </row>
    <row r="931" ht="15.75" customHeight="1">
      <c r="C931" s="58" t="str">
        <f>IFERROR(__xludf.DUMMYFUNCTION("""COMPUTED_VALUE"""),"")</f>
        <v/>
      </c>
    </row>
    <row r="932" ht="15.75" customHeight="1">
      <c r="C932" s="58" t="str">
        <f>IFERROR(__xludf.DUMMYFUNCTION("""COMPUTED_VALUE"""),"")</f>
        <v/>
      </c>
    </row>
    <row r="933" ht="15.75" customHeight="1">
      <c r="C933" s="58" t="str">
        <f>IFERROR(__xludf.DUMMYFUNCTION("""COMPUTED_VALUE"""),"")</f>
        <v/>
      </c>
    </row>
    <row r="934" ht="15.75" customHeight="1">
      <c r="C934" s="58" t="str">
        <f>IFERROR(__xludf.DUMMYFUNCTION("""COMPUTED_VALUE"""),"")</f>
        <v/>
      </c>
    </row>
    <row r="935" ht="15.75" customHeight="1">
      <c r="C935" s="58" t="str">
        <f>IFERROR(__xludf.DUMMYFUNCTION("""COMPUTED_VALUE"""),"")</f>
        <v/>
      </c>
    </row>
    <row r="936" ht="15.75" customHeight="1">
      <c r="C936" s="58" t="str">
        <f>IFERROR(__xludf.DUMMYFUNCTION("""COMPUTED_VALUE"""),"")</f>
        <v/>
      </c>
    </row>
    <row r="937" ht="15.75" customHeight="1">
      <c r="C937" s="58" t="str">
        <f>IFERROR(__xludf.DUMMYFUNCTION("""COMPUTED_VALUE"""),"")</f>
        <v/>
      </c>
    </row>
    <row r="938" ht="15.75" customHeight="1">
      <c r="C938" s="58" t="str">
        <f>IFERROR(__xludf.DUMMYFUNCTION("""COMPUTED_VALUE"""),"")</f>
        <v/>
      </c>
    </row>
    <row r="939" ht="15.75" customHeight="1">
      <c r="C939" s="58" t="str">
        <f>IFERROR(__xludf.DUMMYFUNCTION("""COMPUTED_VALUE"""),"")</f>
        <v/>
      </c>
    </row>
    <row r="940" ht="15.75" customHeight="1">
      <c r="C940" s="58" t="str">
        <f>IFERROR(__xludf.DUMMYFUNCTION("""COMPUTED_VALUE"""),"")</f>
        <v/>
      </c>
    </row>
    <row r="941" ht="15.75" customHeight="1">
      <c r="C941" s="58" t="str">
        <f>IFERROR(__xludf.DUMMYFUNCTION("""COMPUTED_VALUE"""),"")</f>
        <v/>
      </c>
    </row>
    <row r="942" ht="15.75" customHeight="1">
      <c r="C942" s="58" t="str">
        <f>IFERROR(__xludf.DUMMYFUNCTION("""COMPUTED_VALUE"""),"")</f>
        <v/>
      </c>
    </row>
    <row r="943" ht="15.75" customHeight="1">
      <c r="C943" s="58" t="str">
        <f>IFERROR(__xludf.DUMMYFUNCTION("""COMPUTED_VALUE"""),"")</f>
        <v/>
      </c>
    </row>
    <row r="944" ht="15.75" customHeight="1">
      <c r="C944" s="58" t="str">
        <f>IFERROR(__xludf.DUMMYFUNCTION("""COMPUTED_VALUE"""),"")</f>
        <v/>
      </c>
    </row>
    <row r="945" ht="15.75" customHeight="1">
      <c r="C945" s="58" t="str">
        <f>IFERROR(__xludf.DUMMYFUNCTION("""COMPUTED_VALUE"""),"")</f>
        <v/>
      </c>
    </row>
    <row r="946" ht="15.75" customHeight="1">
      <c r="C946" s="58" t="str">
        <f>IFERROR(__xludf.DUMMYFUNCTION("""COMPUTED_VALUE"""),"")</f>
        <v/>
      </c>
    </row>
    <row r="947" ht="15.75" customHeight="1">
      <c r="C947" s="58" t="str">
        <f>IFERROR(__xludf.DUMMYFUNCTION("""COMPUTED_VALUE"""),"")</f>
        <v/>
      </c>
    </row>
    <row r="948" ht="15.75" customHeight="1">
      <c r="C948" s="58" t="str">
        <f>IFERROR(__xludf.DUMMYFUNCTION("""COMPUTED_VALUE"""),"")</f>
        <v/>
      </c>
    </row>
    <row r="949" ht="15.75" customHeight="1">
      <c r="C949" s="58" t="str">
        <f>IFERROR(__xludf.DUMMYFUNCTION("""COMPUTED_VALUE"""),"")</f>
        <v/>
      </c>
    </row>
    <row r="950" ht="15.75" customHeight="1">
      <c r="C950" s="58" t="str">
        <f>IFERROR(__xludf.DUMMYFUNCTION("""COMPUTED_VALUE"""),"")</f>
        <v/>
      </c>
    </row>
    <row r="951" ht="15.75" customHeight="1">
      <c r="C951" s="58" t="str">
        <f>IFERROR(__xludf.DUMMYFUNCTION("""COMPUTED_VALUE"""),"")</f>
        <v/>
      </c>
    </row>
    <row r="952" ht="15.75" customHeight="1">
      <c r="C952" s="58" t="str">
        <f>IFERROR(__xludf.DUMMYFUNCTION("""COMPUTED_VALUE"""),"")</f>
        <v/>
      </c>
    </row>
    <row r="953" ht="15.75" customHeight="1">
      <c r="C953" s="58" t="str">
        <f>IFERROR(__xludf.DUMMYFUNCTION("""COMPUTED_VALUE"""),"")</f>
        <v/>
      </c>
    </row>
    <row r="954" ht="15.75" customHeight="1">
      <c r="C954" s="58" t="str">
        <f>IFERROR(__xludf.DUMMYFUNCTION("""COMPUTED_VALUE"""),"")</f>
        <v/>
      </c>
    </row>
    <row r="955" ht="15.75" customHeight="1">
      <c r="C955" s="58" t="str">
        <f>IFERROR(__xludf.DUMMYFUNCTION("""COMPUTED_VALUE"""),"")</f>
        <v/>
      </c>
    </row>
    <row r="956" ht="15.75" customHeight="1">
      <c r="C956" s="58" t="str">
        <f>IFERROR(__xludf.DUMMYFUNCTION("""COMPUTED_VALUE"""),"")</f>
        <v/>
      </c>
    </row>
    <row r="957" ht="15.75" customHeight="1">
      <c r="C957" s="58" t="str">
        <f>IFERROR(__xludf.DUMMYFUNCTION("""COMPUTED_VALUE"""),"")</f>
        <v/>
      </c>
    </row>
    <row r="958" ht="15.75" customHeight="1">
      <c r="C958" s="58" t="str">
        <f>IFERROR(__xludf.DUMMYFUNCTION("""COMPUTED_VALUE"""),"")</f>
        <v/>
      </c>
    </row>
    <row r="959" ht="15.75" customHeight="1">
      <c r="C959" s="58" t="str">
        <f>IFERROR(__xludf.DUMMYFUNCTION("""COMPUTED_VALUE"""),"")</f>
        <v/>
      </c>
    </row>
    <row r="960" ht="15.75" customHeight="1">
      <c r="C960" s="58" t="str">
        <f>IFERROR(__xludf.DUMMYFUNCTION("""COMPUTED_VALUE"""),"")</f>
        <v/>
      </c>
    </row>
    <row r="961" ht="15.75" customHeight="1">
      <c r="C961" s="58" t="str">
        <f>IFERROR(__xludf.DUMMYFUNCTION("""COMPUTED_VALUE"""),"")</f>
        <v/>
      </c>
    </row>
    <row r="962" ht="15.75" customHeight="1">
      <c r="C962" s="58" t="str">
        <f>IFERROR(__xludf.DUMMYFUNCTION("""COMPUTED_VALUE"""),"")</f>
        <v/>
      </c>
    </row>
    <row r="963" ht="15.75" customHeight="1">
      <c r="C963" s="58" t="str">
        <f>IFERROR(__xludf.DUMMYFUNCTION("""COMPUTED_VALUE"""),"")</f>
        <v/>
      </c>
    </row>
    <row r="964" ht="15.75" customHeight="1">
      <c r="C964" s="58" t="str">
        <f>IFERROR(__xludf.DUMMYFUNCTION("""COMPUTED_VALUE"""),"")</f>
        <v/>
      </c>
    </row>
    <row r="965" ht="15.75" customHeight="1">
      <c r="C965" s="58" t="str">
        <f>IFERROR(__xludf.DUMMYFUNCTION("""COMPUTED_VALUE"""),"")</f>
        <v/>
      </c>
    </row>
    <row r="966" ht="15.75" customHeight="1">
      <c r="C966" s="58" t="str">
        <f>IFERROR(__xludf.DUMMYFUNCTION("""COMPUTED_VALUE"""),"")</f>
        <v/>
      </c>
    </row>
    <row r="967" ht="15.75" customHeight="1">
      <c r="C967" s="58" t="str">
        <f>IFERROR(__xludf.DUMMYFUNCTION("""COMPUTED_VALUE"""),"")</f>
        <v/>
      </c>
    </row>
    <row r="968" ht="15.75" customHeight="1">
      <c r="C968" s="58" t="str">
        <f>IFERROR(__xludf.DUMMYFUNCTION("""COMPUTED_VALUE"""),"")</f>
        <v/>
      </c>
    </row>
    <row r="969" ht="15.75" customHeight="1">
      <c r="C969" s="58" t="str">
        <f>IFERROR(__xludf.DUMMYFUNCTION("""COMPUTED_VALUE"""),"")</f>
        <v/>
      </c>
    </row>
    <row r="970" ht="15.75" customHeight="1">
      <c r="C970" s="58" t="str">
        <f>IFERROR(__xludf.DUMMYFUNCTION("""COMPUTED_VALUE"""),"")</f>
        <v/>
      </c>
    </row>
    <row r="971" ht="15.75" customHeight="1">
      <c r="C971" s="58" t="str">
        <f>IFERROR(__xludf.DUMMYFUNCTION("""COMPUTED_VALUE"""),"")</f>
        <v/>
      </c>
    </row>
    <row r="972" ht="15.75" customHeight="1">
      <c r="C972" s="58" t="str">
        <f>IFERROR(__xludf.DUMMYFUNCTION("""COMPUTED_VALUE"""),"")</f>
        <v/>
      </c>
    </row>
    <row r="973" ht="15.75" customHeight="1">
      <c r="C973" s="58" t="str">
        <f>IFERROR(__xludf.DUMMYFUNCTION("""COMPUTED_VALUE"""),"")</f>
        <v/>
      </c>
    </row>
    <row r="974" ht="15.75" customHeight="1">
      <c r="C974" s="58" t="str">
        <f>IFERROR(__xludf.DUMMYFUNCTION("""COMPUTED_VALUE"""),"")</f>
        <v/>
      </c>
    </row>
    <row r="975" ht="15.75" customHeight="1">
      <c r="C975" s="58" t="str">
        <f>IFERROR(__xludf.DUMMYFUNCTION("""COMPUTED_VALUE"""),"")</f>
        <v/>
      </c>
    </row>
    <row r="976" ht="15.75" customHeight="1">
      <c r="C976" s="58" t="str">
        <f>IFERROR(__xludf.DUMMYFUNCTION("""COMPUTED_VALUE"""),"")</f>
        <v/>
      </c>
    </row>
    <row r="977" ht="15.75" customHeight="1">
      <c r="C977" s="58" t="str">
        <f>IFERROR(__xludf.DUMMYFUNCTION("""COMPUTED_VALUE"""),"")</f>
        <v/>
      </c>
    </row>
    <row r="978" ht="15.75" customHeight="1">
      <c r="C978" s="58" t="str">
        <f>IFERROR(__xludf.DUMMYFUNCTION("""COMPUTED_VALUE"""),"")</f>
        <v/>
      </c>
    </row>
    <row r="979" ht="15.75" customHeight="1">
      <c r="C979" s="58" t="str">
        <f>IFERROR(__xludf.DUMMYFUNCTION("""COMPUTED_VALUE"""),"")</f>
        <v/>
      </c>
    </row>
    <row r="980" ht="15.75" customHeight="1">
      <c r="C980" s="58" t="str">
        <f>IFERROR(__xludf.DUMMYFUNCTION("""COMPUTED_VALUE"""),"")</f>
        <v/>
      </c>
    </row>
    <row r="981" ht="15.75" customHeight="1">
      <c r="C981" s="58" t="str">
        <f>IFERROR(__xludf.DUMMYFUNCTION("""COMPUTED_VALUE"""),"")</f>
        <v/>
      </c>
    </row>
    <row r="982" ht="15.75" customHeight="1">
      <c r="C982" s="58" t="str">
        <f>IFERROR(__xludf.DUMMYFUNCTION("""COMPUTED_VALUE"""),"")</f>
        <v/>
      </c>
    </row>
    <row r="983" ht="15.75" customHeight="1">
      <c r="C983" s="58" t="str">
        <f>IFERROR(__xludf.DUMMYFUNCTION("""COMPUTED_VALUE"""),"")</f>
        <v/>
      </c>
    </row>
    <row r="984" ht="15.75" customHeight="1">
      <c r="C984" s="58" t="str">
        <f>IFERROR(__xludf.DUMMYFUNCTION("""COMPUTED_VALUE"""),"")</f>
        <v/>
      </c>
    </row>
    <row r="985" ht="15.75" customHeight="1">
      <c r="C985" s="58" t="str">
        <f>IFERROR(__xludf.DUMMYFUNCTION("""COMPUTED_VALUE"""),"")</f>
        <v/>
      </c>
    </row>
    <row r="986" ht="15.75" customHeight="1">
      <c r="C986" s="58" t="str">
        <f>IFERROR(__xludf.DUMMYFUNCTION("""COMPUTED_VALUE"""),"")</f>
        <v/>
      </c>
    </row>
    <row r="987" ht="15.75" customHeight="1">
      <c r="C987" s="58" t="str">
        <f>IFERROR(__xludf.DUMMYFUNCTION("""COMPUTED_VALUE"""),"")</f>
        <v/>
      </c>
    </row>
    <row r="988" ht="15.75" customHeight="1">
      <c r="C988" s="58" t="str">
        <f>IFERROR(__xludf.DUMMYFUNCTION("""COMPUTED_VALUE"""),"")</f>
        <v/>
      </c>
    </row>
    <row r="989" ht="15.75" customHeight="1">
      <c r="C989" s="58" t="str">
        <f>IFERROR(__xludf.DUMMYFUNCTION("""COMPUTED_VALUE"""),"")</f>
        <v/>
      </c>
    </row>
    <row r="990" ht="15.75" customHeight="1">
      <c r="C990" s="58" t="str">
        <f>IFERROR(__xludf.DUMMYFUNCTION("""COMPUTED_VALUE"""),"")</f>
        <v/>
      </c>
    </row>
    <row r="991" ht="15.75" customHeight="1">
      <c r="C991" s="58" t="str">
        <f>IFERROR(__xludf.DUMMYFUNCTION("""COMPUTED_VALUE"""),"")</f>
        <v/>
      </c>
    </row>
    <row r="992" ht="15.75" customHeight="1">
      <c r="C992" s="58" t="str">
        <f>IFERROR(__xludf.DUMMYFUNCTION("""COMPUTED_VALUE"""),"")</f>
        <v/>
      </c>
    </row>
    <row r="993" ht="15.75" customHeight="1">
      <c r="C993" s="58" t="str">
        <f>IFERROR(__xludf.DUMMYFUNCTION("""COMPUTED_VALUE"""),"")</f>
        <v/>
      </c>
    </row>
    <row r="994" ht="15.75" customHeight="1">
      <c r="C994" s="58" t="str">
        <f>IFERROR(__xludf.DUMMYFUNCTION("""COMPUTED_VALUE"""),"")</f>
        <v/>
      </c>
    </row>
    <row r="995" ht="15.75" customHeight="1">
      <c r="C995" s="58" t="str">
        <f>IFERROR(__xludf.DUMMYFUNCTION("""COMPUTED_VALUE"""),"")</f>
        <v/>
      </c>
    </row>
    <row r="996" ht="15.75" customHeight="1">
      <c r="C996" s="58" t="str">
        <f>IFERROR(__xludf.DUMMYFUNCTION("""COMPUTED_VALUE"""),"")</f>
        <v/>
      </c>
    </row>
    <row r="997" ht="15.75" customHeight="1">
      <c r="C997" s="58" t="str">
        <f>IFERROR(__xludf.DUMMYFUNCTION("""COMPUTED_VALUE"""),"")</f>
        <v/>
      </c>
    </row>
    <row r="998" ht="15.75" customHeight="1">
      <c r="C998" s="58" t="str">
        <f>IFERROR(__xludf.DUMMYFUNCTION("""COMPUTED_VALUE"""),"")</f>
        <v/>
      </c>
    </row>
    <row r="999" ht="15.75" customHeight="1">
      <c r="C999" s="58" t="str">
        <f>IFERROR(__xludf.DUMMYFUNCTION("""COMPUTED_VALUE"""),"")</f>
        <v/>
      </c>
    </row>
    <row r="1000" ht="15.75" customHeight="1">
      <c r="C1000" s="58" t="str">
        <f>IFERROR(__xludf.DUMMYFUNCTION("""COMPUTED_VALUE"""),"")</f>
        <v/>
      </c>
    </row>
  </sheetData>
  <hyperlinks>
    <hyperlink r:id="rId1" ref="C1"/>
    <hyperlink r:id="rId2" ref="C4"/>
    <hyperlink r:id="rId3" ref="C5"/>
  </hyperlinks>
  <drawing r:id="rId4"/>
  <tableParts count="1">
    <tablePart r:id="rId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25"/>
    <col customWidth="1" min="2" max="2" width="23.88"/>
    <col customWidth="1" min="3" max="3" width="18.0"/>
    <col customWidth="1" min="4" max="4" width="19.38"/>
    <col customWidth="1" min="5" max="6" width="12.63"/>
  </cols>
  <sheetData>
    <row r="1" ht="22.5" customHeight="1">
      <c r="A1" s="37" t="s">
        <v>0</v>
      </c>
      <c r="B1" s="37" t="s">
        <v>6</v>
      </c>
      <c r="C1" s="37" t="s">
        <v>7803</v>
      </c>
      <c r="D1" s="37" t="s">
        <v>7806</v>
      </c>
    </row>
    <row r="2" ht="22.5" customHeight="1">
      <c r="A2" s="59"/>
      <c r="B2" s="39"/>
      <c r="C2" s="41"/>
      <c r="D2" s="41"/>
    </row>
    <row r="3" ht="22.5" customHeight="1">
      <c r="A3" s="59"/>
      <c r="B3" s="39"/>
      <c r="C3" s="41"/>
      <c r="D3" s="41"/>
    </row>
    <row r="4" ht="22.5" customHeight="1">
      <c r="A4" s="59"/>
      <c r="B4" s="39"/>
      <c r="C4" s="41"/>
      <c r="D4" s="41"/>
    </row>
    <row r="5" ht="22.5" customHeight="1">
      <c r="A5" s="59"/>
      <c r="B5" s="39"/>
      <c r="C5" s="41"/>
      <c r="D5" s="41"/>
    </row>
    <row r="6" ht="22.5" customHeight="1">
      <c r="A6" s="59"/>
      <c r="B6" s="39"/>
      <c r="C6" s="41"/>
      <c r="D6" s="41"/>
    </row>
    <row r="7" ht="22.5" customHeight="1">
      <c r="A7" s="59"/>
      <c r="B7" s="39"/>
      <c r="C7" s="41"/>
      <c r="D7" s="41"/>
    </row>
    <row r="8" ht="22.5" customHeight="1">
      <c r="A8" s="59"/>
      <c r="B8" s="39"/>
      <c r="C8" s="41"/>
      <c r="D8" s="41"/>
    </row>
    <row r="9" ht="22.5" customHeight="1">
      <c r="A9" s="59"/>
      <c r="B9" s="39"/>
      <c r="C9" s="41"/>
      <c r="D9" s="41"/>
    </row>
    <row r="10" ht="22.5" customHeight="1">
      <c r="A10" s="59"/>
      <c r="B10" s="39"/>
      <c r="C10" s="41"/>
      <c r="D10" s="41"/>
    </row>
    <row r="11" ht="22.5" customHeight="1">
      <c r="A11" s="59"/>
      <c r="B11" s="39"/>
      <c r="C11" s="41"/>
      <c r="D11" s="41"/>
    </row>
    <row r="12" ht="22.5" customHeight="1">
      <c r="A12" s="59"/>
      <c r="B12" s="39"/>
      <c r="C12" s="41"/>
      <c r="D12" s="41"/>
    </row>
    <row r="13" ht="22.5" customHeight="1">
      <c r="A13" s="59"/>
      <c r="B13" s="39"/>
      <c r="C13" s="41"/>
      <c r="D13" s="41"/>
    </row>
    <row r="14" ht="22.5" customHeight="1">
      <c r="A14" s="59"/>
      <c r="B14" s="39"/>
      <c r="C14" s="41"/>
      <c r="D14" s="41"/>
    </row>
    <row r="15" ht="22.5" customHeight="1">
      <c r="A15" s="59"/>
      <c r="B15" s="39"/>
      <c r="C15" s="41"/>
      <c r="D15" s="41"/>
    </row>
    <row r="16" ht="22.5" customHeight="1">
      <c r="A16" s="59"/>
      <c r="B16" s="39"/>
      <c r="C16" s="41"/>
      <c r="D16" s="41"/>
    </row>
    <row r="17" ht="22.5" customHeight="1">
      <c r="A17" s="59"/>
      <c r="B17" s="39"/>
      <c r="C17" s="41"/>
      <c r="D17" s="41"/>
    </row>
    <row r="18" ht="22.5" customHeight="1">
      <c r="A18" s="59"/>
      <c r="B18" s="39"/>
      <c r="C18" s="41"/>
      <c r="D18" s="41"/>
    </row>
    <row r="19" ht="22.5" customHeight="1">
      <c r="A19" s="59"/>
      <c r="B19" s="39"/>
      <c r="C19" s="41"/>
      <c r="D19" s="41"/>
    </row>
    <row r="20" ht="22.5" customHeight="1">
      <c r="A20" s="59"/>
      <c r="B20" s="39"/>
      <c r="C20" s="41"/>
      <c r="D20" s="41"/>
    </row>
    <row r="21" ht="22.5" customHeight="1">
      <c r="A21" s="59"/>
      <c r="B21" s="39"/>
      <c r="C21" s="41"/>
      <c r="D21" s="41"/>
    </row>
    <row r="22" ht="22.5" customHeight="1">
      <c r="A22" s="59"/>
      <c r="B22" s="39"/>
      <c r="C22" s="41"/>
      <c r="D22" s="41"/>
    </row>
    <row r="23" ht="22.5" customHeight="1">
      <c r="A23" s="59"/>
      <c r="B23" s="39"/>
      <c r="C23" s="41"/>
      <c r="D23" s="41"/>
    </row>
    <row r="24" ht="22.5" customHeight="1">
      <c r="A24" s="59"/>
      <c r="B24" s="39"/>
      <c r="C24" s="41"/>
      <c r="D24" s="41"/>
    </row>
    <row r="25" ht="22.5" customHeight="1">
      <c r="A25" s="59"/>
      <c r="B25" s="39"/>
      <c r="C25" s="41"/>
      <c r="D25" s="41"/>
    </row>
    <row r="26" ht="22.5" customHeight="1">
      <c r="A26" s="59"/>
      <c r="B26" s="39"/>
      <c r="C26" s="41"/>
      <c r="D26" s="41"/>
    </row>
    <row r="27" ht="22.5" customHeight="1">
      <c r="A27" s="59"/>
      <c r="B27" s="39"/>
      <c r="C27" s="41"/>
      <c r="D27" s="41"/>
    </row>
    <row r="28" ht="22.5" customHeight="1">
      <c r="A28" s="59"/>
      <c r="B28" s="39"/>
      <c r="C28" s="41"/>
      <c r="D28" s="41"/>
    </row>
    <row r="29" ht="22.5" customHeight="1">
      <c r="A29" s="59"/>
      <c r="B29" s="39"/>
      <c r="C29" s="41"/>
      <c r="D29" s="41"/>
    </row>
    <row r="30" ht="22.5" customHeight="1">
      <c r="A30" s="59"/>
      <c r="B30" s="39"/>
      <c r="C30" s="41"/>
      <c r="D30" s="41"/>
    </row>
    <row r="31" ht="22.5" customHeight="1">
      <c r="A31" s="59"/>
      <c r="B31" s="39"/>
      <c r="C31" s="41"/>
      <c r="D31" s="41"/>
    </row>
    <row r="32" ht="22.5" customHeight="1">
      <c r="A32" s="59"/>
      <c r="B32" s="39"/>
      <c r="C32" s="41"/>
      <c r="D32" s="41"/>
    </row>
    <row r="33" ht="22.5" customHeight="1">
      <c r="A33" s="59"/>
      <c r="B33" s="39"/>
      <c r="C33" s="41"/>
      <c r="D33" s="41"/>
    </row>
    <row r="34" ht="22.5" customHeight="1">
      <c r="A34" s="59"/>
      <c r="B34" s="39"/>
      <c r="C34" s="41"/>
      <c r="D34" s="41"/>
    </row>
    <row r="35" ht="22.5" customHeight="1">
      <c r="A35" s="59"/>
      <c r="B35" s="39"/>
      <c r="C35" s="41"/>
      <c r="D35" s="41"/>
    </row>
    <row r="36" ht="22.5" customHeight="1">
      <c r="A36" s="59"/>
      <c r="B36" s="39"/>
      <c r="C36" s="41"/>
      <c r="D36" s="41"/>
    </row>
    <row r="37" ht="22.5" customHeight="1">
      <c r="A37" s="59"/>
      <c r="B37" s="39"/>
      <c r="C37" s="41"/>
      <c r="D37" s="41"/>
    </row>
    <row r="38" ht="22.5" customHeight="1">
      <c r="A38" s="59"/>
      <c r="B38" s="39"/>
      <c r="C38" s="41"/>
      <c r="D38" s="41"/>
    </row>
    <row r="39" ht="22.5" customHeight="1">
      <c r="A39" s="59"/>
      <c r="B39" s="39"/>
      <c r="C39" s="41"/>
      <c r="D39" s="41"/>
    </row>
    <row r="40" ht="22.5" customHeight="1">
      <c r="A40" s="59"/>
      <c r="B40" s="39"/>
      <c r="C40" s="41"/>
      <c r="D40" s="41"/>
    </row>
    <row r="41" ht="22.5" customHeight="1">
      <c r="A41" s="59"/>
      <c r="B41" s="39"/>
      <c r="C41" s="41"/>
      <c r="D41" s="41"/>
    </row>
    <row r="42" ht="22.5" customHeight="1">
      <c r="A42" s="59"/>
      <c r="B42" s="39"/>
      <c r="C42" s="41"/>
      <c r="D42" s="41"/>
    </row>
    <row r="43" ht="22.5" customHeight="1">
      <c r="A43" s="59"/>
      <c r="B43" s="39"/>
      <c r="C43" s="41"/>
      <c r="D43" s="41"/>
    </row>
    <row r="44" ht="22.5" customHeight="1">
      <c r="A44" s="59"/>
      <c r="B44" s="39"/>
      <c r="C44" s="41"/>
      <c r="D44" s="41"/>
    </row>
    <row r="45" ht="22.5" customHeight="1">
      <c r="A45" s="59"/>
      <c r="B45" s="39"/>
      <c r="C45" s="41"/>
      <c r="D45" s="41"/>
    </row>
    <row r="46" ht="22.5" customHeight="1">
      <c r="A46" s="59"/>
      <c r="B46" s="39"/>
      <c r="C46" s="41"/>
      <c r="D46" s="41"/>
    </row>
    <row r="47" ht="22.5" customHeight="1">
      <c r="A47" s="59"/>
      <c r="B47" s="39"/>
      <c r="C47" s="41"/>
      <c r="D47" s="41"/>
    </row>
    <row r="48" ht="22.5" customHeight="1">
      <c r="A48" s="59"/>
      <c r="B48" s="39"/>
      <c r="C48" s="41"/>
      <c r="D48" s="41"/>
    </row>
    <row r="49" ht="22.5" customHeight="1">
      <c r="A49" s="59"/>
      <c r="B49" s="39"/>
      <c r="C49" s="41"/>
      <c r="D49" s="41"/>
    </row>
    <row r="50" ht="22.5" customHeight="1">
      <c r="A50" s="59"/>
      <c r="B50" s="39"/>
      <c r="C50" s="41"/>
      <c r="D50" s="41"/>
    </row>
    <row r="51" ht="22.5" customHeight="1">
      <c r="A51" s="59"/>
      <c r="B51" s="39"/>
      <c r="C51" s="41"/>
      <c r="D51" s="41"/>
    </row>
    <row r="52" ht="22.5" customHeight="1">
      <c r="A52" s="59"/>
      <c r="B52" s="39"/>
      <c r="C52" s="41"/>
      <c r="D52" s="41"/>
    </row>
    <row r="53" ht="22.5" customHeight="1">
      <c r="A53" s="59"/>
      <c r="B53" s="39"/>
      <c r="C53" s="41"/>
      <c r="D53" s="41"/>
    </row>
    <row r="54" ht="22.5" customHeight="1">
      <c r="A54" s="59"/>
      <c r="B54" s="39"/>
      <c r="C54" s="41"/>
      <c r="D54" s="41"/>
    </row>
    <row r="55" ht="22.5" customHeight="1">
      <c r="A55" s="59"/>
      <c r="B55" s="39"/>
      <c r="C55" s="41"/>
      <c r="D55" s="41"/>
    </row>
    <row r="56" ht="22.5" customHeight="1">
      <c r="A56" s="59"/>
      <c r="B56" s="39"/>
      <c r="C56" s="41"/>
      <c r="D56" s="41"/>
    </row>
    <row r="57" ht="22.5" customHeight="1">
      <c r="A57" s="59"/>
      <c r="B57" s="39"/>
      <c r="C57" s="41"/>
      <c r="D57" s="41"/>
    </row>
    <row r="58" ht="22.5" customHeight="1">
      <c r="A58" s="59"/>
      <c r="B58" s="39"/>
      <c r="C58" s="41"/>
      <c r="D58" s="41"/>
    </row>
    <row r="59" ht="22.5" customHeight="1">
      <c r="A59" s="59"/>
      <c r="B59" s="39"/>
      <c r="C59" s="41"/>
      <c r="D59" s="41"/>
    </row>
    <row r="60" ht="22.5" customHeight="1">
      <c r="A60" s="59"/>
      <c r="B60" s="39"/>
      <c r="C60" s="41"/>
      <c r="D60" s="41"/>
    </row>
    <row r="61" ht="22.5" customHeight="1">
      <c r="A61" s="59"/>
      <c r="B61" s="39"/>
      <c r="C61" s="41"/>
      <c r="D61" s="41"/>
    </row>
    <row r="62" ht="22.5" customHeight="1">
      <c r="A62" s="59"/>
      <c r="B62" s="39"/>
      <c r="C62" s="41"/>
      <c r="D62" s="41"/>
    </row>
    <row r="63" ht="22.5" customHeight="1">
      <c r="A63" s="59"/>
      <c r="B63" s="39"/>
      <c r="C63" s="41"/>
      <c r="D63" s="41"/>
    </row>
    <row r="64" ht="22.5" customHeight="1">
      <c r="A64" s="59"/>
      <c r="B64" s="39"/>
      <c r="C64" s="41"/>
      <c r="D64" s="41"/>
    </row>
    <row r="65" ht="22.5" customHeight="1">
      <c r="A65" s="59"/>
      <c r="B65" s="39"/>
      <c r="C65" s="41"/>
      <c r="D65" s="41"/>
    </row>
    <row r="66" ht="22.5" customHeight="1">
      <c r="A66" s="59"/>
      <c r="B66" s="39"/>
      <c r="C66" s="41"/>
      <c r="D66" s="41"/>
    </row>
    <row r="67" ht="22.5" customHeight="1">
      <c r="A67" s="59"/>
      <c r="B67" s="39"/>
      <c r="C67" s="41"/>
      <c r="D67" s="41"/>
    </row>
    <row r="68" ht="22.5" customHeight="1">
      <c r="A68" s="59"/>
      <c r="B68" s="39"/>
      <c r="C68" s="41"/>
      <c r="D68" s="41"/>
    </row>
    <row r="69" ht="22.5" customHeight="1">
      <c r="A69" s="59"/>
      <c r="B69" s="39"/>
      <c r="C69" s="41"/>
      <c r="D69" s="41"/>
    </row>
    <row r="70" ht="22.5" customHeight="1">
      <c r="A70" s="59"/>
      <c r="B70" s="39"/>
      <c r="C70" s="41"/>
      <c r="D70" s="41"/>
    </row>
    <row r="71" ht="22.5" customHeight="1">
      <c r="A71" s="59"/>
      <c r="B71" s="39"/>
      <c r="C71" s="41"/>
      <c r="D71" s="41"/>
    </row>
    <row r="72" ht="22.5" customHeight="1">
      <c r="A72" s="59"/>
      <c r="B72" s="39"/>
      <c r="C72" s="41"/>
      <c r="D72" s="41"/>
    </row>
    <row r="73" ht="22.5" customHeight="1">
      <c r="A73" s="59"/>
      <c r="B73" s="39"/>
      <c r="C73" s="41"/>
      <c r="D73" s="41"/>
    </row>
    <row r="74" ht="22.5" customHeight="1">
      <c r="A74" s="59"/>
      <c r="B74" s="39"/>
      <c r="C74" s="41"/>
      <c r="D74" s="41"/>
    </row>
    <row r="75" ht="22.5" customHeight="1">
      <c r="A75" s="59"/>
      <c r="B75" s="39"/>
      <c r="C75" s="41"/>
      <c r="D75" s="41"/>
    </row>
    <row r="76" ht="22.5" customHeight="1">
      <c r="A76" s="59"/>
      <c r="B76" s="39"/>
      <c r="C76" s="41"/>
      <c r="D76" s="41"/>
    </row>
    <row r="77" ht="22.5" customHeight="1">
      <c r="A77" s="59"/>
      <c r="B77" s="39"/>
      <c r="C77" s="41"/>
      <c r="D77" s="41"/>
    </row>
    <row r="78" ht="22.5" customHeight="1">
      <c r="A78" s="59"/>
      <c r="B78" s="39"/>
      <c r="C78" s="41"/>
      <c r="D78" s="41"/>
    </row>
    <row r="79" ht="22.5" customHeight="1">
      <c r="A79" s="59"/>
      <c r="B79" s="39"/>
      <c r="C79" s="41"/>
      <c r="D79" s="41"/>
    </row>
    <row r="80" ht="22.5" customHeight="1">
      <c r="A80" s="59"/>
      <c r="B80" s="39"/>
      <c r="C80" s="41"/>
      <c r="D80" s="41"/>
    </row>
    <row r="81" ht="22.5" customHeight="1">
      <c r="A81" s="59"/>
      <c r="B81" s="39"/>
      <c r="C81" s="41"/>
      <c r="D81" s="41"/>
    </row>
    <row r="82" ht="22.5" customHeight="1">
      <c r="A82" s="59"/>
      <c r="B82" s="39"/>
      <c r="C82" s="41"/>
      <c r="D82" s="41"/>
    </row>
    <row r="83" ht="22.5" customHeight="1">
      <c r="A83" s="59"/>
      <c r="B83" s="39"/>
      <c r="C83" s="41"/>
      <c r="D83" s="41"/>
    </row>
    <row r="84" ht="22.5" customHeight="1">
      <c r="A84" s="59"/>
      <c r="B84" s="39"/>
      <c r="C84" s="41"/>
      <c r="D84" s="41"/>
    </row>
    <row r="85" ht="22.5" customHeight="1">
      <c r="A85" s="59"/>
      <c r="B85" s="39"/>
      <c r="C85" s="41"/>
      <c r="D85" s="41"/>
    </row>
    <row r="86" ht="22.5" customHeight="1">
      <c r="A86" s="59"/>
      <c r="B86" s="39"/>
      <c r="C86" s="41"/>
      <c r="D86" s="41"/>
    </row>
    <row r="87" ht="22.5" customHeight="1">
      <c r="A87" s="59"/>
      <c r="B87" s="39"/>
      <c r="C87" s="41"/>
      <c r="D87" s="41"/>
    </row>
    <row r="88" ht="22.5" customHeight="1">
      <c r="A88" s="59"/>
      <c r="B88" s="39"/>
      <c r="C88" s="41"/>
      <c r="D88" s="41"/>
    </row>
    <row r="89" ht="22.5" customHeight="1">
      <c r="A89" s="59"/>
      <c r="B89" s="39"/>
      <c r="C89" s="41"/>
      <c r="D89" s="41"/>
    </row>
    <row r="90" ht="22.5" customHeight="1">
      <c r="A90" s="59"/>
      <c r="B90" s="39"/>
      <c r="C90" s="41"/>
      <c r="D90" s="41"/>
    </row>
    <row r="91" ht="22.5" customHeight="1">
      <c r="A91" s="59"/>
      <c r="B91" s="39"/>
      <c r="C91" s="41"/>
      <c r="D91" s="41"/>
    </row>
    <row r="92" ht="22.5" customHeight="1">
      <c r="A92" s="59"/>
      <c r="B92" s="39"/>
      <c r="C92" s="41"/>
      <c r="D92" s="41"/>
    </row>
    <row r="93" ht="22.5" customHeight="1">
      <c r="A93" s="59"/>
      <c r="B93" s="39"/>
      <c r="C93" s="41"/>
      <c r="D93" s="41"/>
    </row>
    <row r="94" ht="22.5" customHeight="1">
      <c r="A94" s="59"/>
      <c r="B94" s="39"/>
      <c r="C94" s="41"/>
      <c r="D94" s="41"/>
    </row>
    <row r="95" ht="22.5" customHeight="1">
      <c r="A95" s="59"/>
      <c r="B95" s="39"/>
      <c r="C95" s="41"/>
      <c r="D95" s="41"/>
    </row>
    <row r="96" ht="22.5" customHeight="1">
      <c r="A96" s="59"/>
      <c r="B96" s="39"/>
      <c r="C96" s="41"/>
      <c r="D96" s="41"/>
    </row>
    <row r="97" ht="22.5" customHeight="1">
      <c r="A97" s="59"/>
      <c r="B97" s="39"/>
      <c r="C97" s="41"/>
      <c r="D97" s="41"/>
    </row>
    <row r="98" ht="22.5" customHeight="1">
      <c r="A98" s="59"/>
      <c r="B98" s="39"/>
      <c r="C98" s="41"/>
      <c r="D98" s="41"/>
    </row>
    <row r="99" ht="22.5" customHeight="1">
      <c r="A99" s="59"/>
      <c r="B99" s="39"/>
      <c r="C99" s="41"/>
      <c r="D99" s="41"/>
    </row>
    <row r="100" ht="22.5" customHeight="1">
      <c r="A100" s="59"/>
      <c r="B100" s="39"/>
      <c r="C100" s="41"/>
      <c r="D100" s="41"/>
    </row>
    <row r="101" ht="22.5" customHeight="1">
      <c r="A101" s="59"/>
      <c r="B101" s="39"/>
      <c r="C101" s="41"/>
      <c r="D101" s="41"/>
    </row>
    <row r="102" ht="22.5" customHeight="1">
      <c r="A102" s="59"/>
      <c r="B102" s="39"/>
      <c r="C102" s="41"/>
      <c r="D102" s="41"/>
    </row>
    <row r="103" ht="22.5" customHeight="1">
      <c r="A103" s="59"/>
      <c r="B103" s="39"/>
      <c r="C103" s="41"/>
      <c r="D103" s="41"/>
    </row>
    <row r="104" ht="22.5" customHeight="1">
      <c r="A104" s="59"/>
      <c r="B104" s="39"/>
      <c r="C104" s="41"/>
      <c r="D104" s="41"/>
    </row>
    <row r="105" ht="22.5" customHeight="1">
      <c r="A105" s="59"/>
      <c r="B105" s="39"/>
      <c r="C105" s="41"/>
      <c r="D105" s="41"/>
    </row>
    <row r="106" ht="22.5" customHeight="1">
      <c r="A106" s="59"/>
      <c r="B106" s="39"/>
      <c r="C106" s="41"/>
      <c r="D106" s="41"/>
    </row>
    <row r="107" ht="22.5" customHeight="1">
      <c r="A107" s="59"/>
      <c r="B107" s="39"/>
      <c r="C107" s="41"/>
      <c r="D107" s="41"/>
    </row>
    <row r="108" ht="22.5" customHeight="1">
      <c r="A108" s="59"/>
      <c r="B108" s="39"/>
      <c r="C108" s="41"/>
      <c r="D108" s="41"/>
    </row>
    <row r="109" ht="22.5" customHeight="1">
      <c r="A109" s="59"/>
      <c r="B109" s="39"/>
      <c r="C109" s="41"/>
      <c r="D109" s="41"/>
    </row>
    <row r="110" ht="22.5" customHeight="1">
      <c r="A110" s="59"/>
      <c r="B110" s="39"/>
      <c r="C110" s="41"/>
      <c r="D110" s="41"/>
    </row>
    <row r="111" ht="22.5" customHeight="1">
      <c r="A111" s="59"/>
      <c r="B111" s="39"/>
      <c r="C111" s="41"/>
      <c r="D111" s="41"/>
    </row>
    <row r="112" ht="22.5" customHeight="1">
      <c r="A112" s="59"/>
      <c r="B112" s="39"/>
      <c r="C112" s="41"/>
      <c r="D112" s="41"/>
    </row>
    <row r="113" ht="22.5" customHeight="1">
      <c r="A113" s="59"/>
      <c r="B113" s="39"/>
      <c r="C113" s="41"/>
      <c r="D113" s="41"/>
    </row>
    <row r="114" ht="22.5" customHeight="1">
      <c r="A114" s="59"/>
      <c r="B114" s="39"/>
      <c r="C114" s="41"/>
      <c r="D114" s="41"/>
    </row>
    <row r="115" ht="22.5" customHeight="1">
      <c r="A115" s="59"/>
      <c r="B115" s="39"/>
      <c r="C115" s="41"/>
      <c r="D115" s="41"/>
    </row>
    <row r="116" ht="22.5" customHeight="1">
      <c r="A116" s="59"/>
      <c r="B116" s="39"/>
      <c r="C116" s="41"/>
      <c r="D116" s="41"/>
    </row>
    <row r="117" ht="22.5" customHeight="1">
      <c r="A117" s="59"/>
      <c r="B117" s="39"/>
      <c r="C117" s="41"/>
      <c r="D117" s="41"/>
    </row>
    <row r="118" ht="22.5" customHeight="1">
      <c r="A118" s="59"/>
      <c r="B118" s="39"/>
      <c r="C118" s="41"/>
      <c r="D118" s="41"/>
    </row>
    <row r="119" ht="22.5" customHeight="1">
      <c r="A119" s="59"/>
      <c r="B119" s="39"/>
      <c r="C119" s="41"/>
      <c r="D119" s="41"/>
    </row>
    <row r="120" ht="22.5" customHeight="1">
      <c r="A120" s="59"/>
      <c r="B120" s="39"/>
      <c r="C120" s="41"/>
      <c r="D120" s="41"/>
    </row>
    <row r="121" ht="22.5" customHeight="1">
      <c r="A121" s="59"/>
      <c r="B121" s="39"/>
      <c r="C121" s="41"/>
      <c r="D121" s="41"/>
    </row>
    <row r="122" ht="22.5" customHeight="1">
      <c r="A122" s="59"/>
      <c r="B122" s="39"/>
      <c r="C122" s="41"/>
      <c r="D122" s="41"/>
    </row>
    <row r="123" ht="22.5" customHeight="1">
      <c r="A123" s="59"/>
      <c r="B123" s="39"/>
      <c r="C123" s="41"/>
      <c r="D123" s="41"/>
    </row>
    <row r="124" ht="22.5" customHeight="1">
      <c r="A124" s="59"/>
      <c r="B124" s="39"/>
      <c r="C124" s="41"/>
      <c r="D124" s="41"/>
    </row>
    <row r="125" ht="22.5" customHeight="1">
      <c r="A125" s="59"/>
      <c r="B125" s="39"/>
      <c r="C125" s="41"/>
      <c r="D125" s="41"/>
    </row>
    <row r="126" ht="22.5" customHeight="1">
      <c r="A126" s="59"/>
      <c r="B126" s="39"/>
      <c r="C126" s="41"/>
      <c r="D126" s="41"/>
    </row>
    <row r="127" ht="22.5" customHeight="1">
      <c r="A127" s="59"/>
      <c r="B127" s="39"/>
      <c r="C127" s="41"/>
      <c r="D127" s="41"/>
    </row>
    <row r="128" ht="22.5" customHeight="1">
      <c r="A128" s="59"/>
      <c r="B128" s="39"/>
      <c r="C128" s="41"/>
      <c r="D128" s="41"/>
    </row>
    <row r="129" ht="22.5" customHeight="1">
      <c r="A129" s="59"/>
      <c r="B129" s="39"/>
      <c r="C129" s="41"/>
      <c r="D129" s="41"/>
    </row>
    <row r="130" ht="22.5" customHeight="1">
      <c r="A130" s="59"/>
      <c r="B130" s="39"/>
      <c r="C130" s="41"/>
      <c r="D130" s="41"/>
    </row>
    <row r="131" ht="22.5" customHeight="1">
      <c r="A131" s="59"/>
      <c r="B131" s="39"/>
      <c r="C131" s="41"/>
      <c r="D131" s="41"/>
    </row>
    <row r="132" ht="22.5" customHeight="1">
      <c r="A132" s="59"/>
      <c r="B132" s="39"/>
      <c r="C132" s="41"/>
      <c r="D132" s="41"/>
    </row>
    <row r="133" ht="22.5" customHeight="1">
      <c r="A133" s="59"/>
      <c r="B133" s="39"/>
      <c r="C133" s="41"/>
      <c r="D133" s="41"/>
    </row>
    <row r="134" ht="22.5" customHeight="1">
      <c r="A134" s="59"/>
      <c r="B134" s="39"/>
      <c r="C134" s="41"/>
      <c r="D134" s="41"/>
    </row>
    <row r="135" ht="22.5" customHeight="1">
      <c r="A135" s="59"/>
      <c r="B135" s="39"/>
      <c r="C135" s="41"/>
      <c r="D135" s="41"/>
    </row>
    <row r="136" ht="22.5" customHeight="1">
      <c r="A136" s="59"/>
      <c r="B136" s="39"/>
      <c r="C136" s="41"/>
      <c r="D136" s="41"/>
    </row>
    <row r="137" ht="22.5" customHeight="1">
      <c r="A137" s="59"/>
      <c r="B137" s="39"/>
      <c r="C137" s="41"/>
      <c r="D137" s="41"/>
    </row>
    <row r="138" ht="22.5" customHeight="1">
      <c r="A138" s="59"/>
      <c r="B138" s="39"/>
      <c r="C138" s="41"/>
      <c r="D138" s="41"/>
    </row>
    <row r="139" ht="22.5" customHeight="1">
      <c r="A139" s="59"/>
      <c r="B139" s="39"/>
      <c r="C139" s="41"/>
      <c r="D139" s="41"/>
    </row>
    <row r="140" ht="22.5" customHeight="1">
      <c r="A140" s="59"/>
      <c r="B140" s="39"/>
      <c r="C140" s="41"/>
      <c r="D140" s="41"/>
    </row>
    <row r="141" ht="22.5" customHeight="1">
      <c r="A141" s="59"/>
      <c r="B141" s="39"/>
      <c r="C141" s="41"/>
      <c r="D141" s="41"/>
    </row>
    <row r="142" ht="22.5" customHeight="1">
      <c r="A142" s="59"/>
      <c r="B142" s="39"/>
      <c r="C142" s="41"/>
      <c r="D142" s="41"/>
    </row>
    <row r="143" ht="22.5" customHeight="1">
      <c r="A143" s="59"/>
      <c r="B143" s="39"/>
      <c r="C143" s="41"/>
      <c r="D143" s="41"/>
    </row>
    <row r="144" ht="22.5" customHeight="1">
      <c r="A144" s="59"/>
      <c r="B144" s="39"/>
      <c r="C144" s="41"/>
      <c r="D144" s="41"/>
    </row>
    <row r="145" ht="22.5" customHeight="1">
      <c r="A145" s="59"/>
      <c r="B145" s="39"/>
      <c r="C145" s="41"/>
      <c r="D145" s="41"/>
    </row>
    <row r="146" ht="22.5" customHeight="1">
      <c r="A146" s="59"/>
      <c r="B146" s="39"/>
      <c r="C146" s="41"/>
      <c r="D146" s="41"/>
    </row>
    <row r="147" ht="22.5" customHeight="1">
      <c r="A147" s="59"/>
      <c r="B147" s="39"/>
      <c r="C147" s="41"/>
      <c r="D147" s="41"/>
    </row>
    <row r="148" ht="22.5" customHeight="1">
      <c r="A148" s="59"/>
      <c r="B148" s="39"/>
      <c r="C148" s="41"/>
      <c r="D148" s="41"/>
    </row>
    <row r="149" ht="22.5" customHeight="1">
      <c r="A149" s="59"/>
      <c r="B149" s="39"/>
      <c r="C149" s="41"/>
      <c r="D149" s="41"/>
    </row>
    <row r="150" ht="22.5" customHeight="1">
      <c r="A150" s="59"/>
      <c r="B150" s="39"/>
      <c r="C150" s="41"/>
      <c r="D150" s="41"/>
    </row>
    <row r="151" ht="22.5" customHeight="1">
      <c r="A151" s="59"/>
      <c r="B151" s="39"/>
      <c r="C151" s="41"/>
      <c r="D151" s="41"/>
    </row>
    <row r="152" ht="22.5" customHeight="1">
      <c r="A152" s="59"/>
      <c r="B152" s="39"/>
      <c r="C152" s="41"/>
      <c r="D152" s="41"/>
    </row>
    <row r="153" ht="22.5" customHeight="1">
      <c r="A153" s="59"/>
      <c r="B153" s="39"/>
      <c r="C153" s="41"/>
      <c r="D153" s="41"/>
    </row>
    <row r="154" ht="22.5" customHeight="1">
      <c r="A154" s="59"/>
      <c r="B154" s="39"/>
      <c r="C154" s="41"/>
      <c r="D154" s="41"/>
    </row>
    <row r="155" ht="22.5" customHeight="1">
      <c r="A155" s="59"/>
      <c r="B155" s="39"/>
      <c r="C155" s="41"/>
      <c r="D155" s="41"/>
    </row>
    <row r="156" ht="22.5" customHeight="1">
      <c r="A156" s="59"/>
      <c r="B156" s="39"/>
      <c r="C156" s="41"/>
      <c r="D156" s="41"/>
    </row>
    <row r="157" ht="22.5" customHeight="1">
      <c r="A157" s="59"/>
      <c r="B157" s="39"/>
      <c r="C157" s="41"/>
      <c r="D157" s="41"/>
    </row>
    <row r="158" ht="22.5" customHeight="1">
      <c r="A158" s="59"/>
      <c r="B158" s="39"/>
      <c r="C158" s="41"/>
      <c r="D158" s="41"/>
    </row>
    <row r="159" ht="22.5" customHeight="1">
      <c r="A159" s="59"/>
      <c r="B159" s="39"/>
      <c r="C159" s="41"/>
      <c r="D159" s="41"/>
    </row>
    <row r="160" ht="22.5" customHeight="1">
      <c r="A160" s="59"/>
      <c r="B160" s="39"/>
      <c r="C160" s="41"/>
      <c r="D160" s="41"/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160">
      <formula1>OR(NOT(ISERROR(DATEVALUE(A2))), AND(ISNUMBER(A2), LEFT(CELL("format", A2))="D"))</formula1>
    </dataValidation>
    <dataValidation type="custom" allowBlank="1" showDropDown="1" sqref="C2:D160">
      <formula1/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25"/>
    <col customWidth="1" min="2" max="2" width="25.5"/>
    <col customWidth="1" min="3" max="3" width="18.0"/>
    <col customWidth="1" min="4" max="4" width="19.38"/>
    <col customWidth="1" min="5" max="6" width="12.63"/>
  </cols>
  <sheetData>
    <row r="1" ht="22.5" customHeight="1">
      <c r="A1" s="37" t="s">
        <v>0</v>
      </c>
      <c r="B1" s="37" t="s">
        <v>6</v>
      </c>
      <c r="C1" s="37" t="s">
        <v>7803</v>
      </c>
      <c r="D1" s="37" t="s">
        <v>7806</v>
      </c>
    </row>
    <row r="2" ht="22.5" customHeight="1">
      <c r="A2" s="59">
        <v>46238.777155937496</v>
      </c>
      <c r="B2" s="41" t="s">
        <v>3542</v>
      </c>
      <c r="C2" s="41">
        <v>1.025030521E9</v>
      </c>
      <c r="D2" s="41">
        <v>19.0</v>
      </c>
    </row>
    <row r="3" ht="22.5" customHeight="1">
      <c r="A3" s="59">
        <v>46238.78198728009</v>
      </c>
      <c r="B3" s="41" t="s">
        <v>3801</v>
      </c>
      <c r="C3" s="41">
        <v>1.025030587E9</v>
      </c>
      <c r="D3" s="41">
        <v>2.0</v>
      </c>
    </row>
    <row r="4" ht="22.5" customHeight="1">
      <c r="A4" s="59">
        <v>46238.78202488426</v>
      </c>
      <c r="B4" s="41" t="s">
        <v>3797</v>
      </c>
      <c r="C4" s="41">
        <v>1.025030606E9</v>
      </c>
      <c r="D4" s="41">
        <v>14.0</v>
      </c>
    </row>
    <row r="5" ht="22.5" customHeight="1">
      <c r="A5" s="59">
        <v>46238.78300575231</v>
      </c>
      <c r="B5" s="41" t="s">
        <v>3699</v>
      </c>
      <c r="C5" s="41">
        <v>1.025030582E9</v>
      </c>
      <c r="D5" s="41">
        <v>1.0</v>
      </c>
    </row>
    <row r="6" ht="22.5" customHeight="1">
      <c r="A6" s="59">
        <v>46238.78395719908</v>
      </c>
      <c r="B6" s="41" t="s">
        <v>3720</v>
      </c>
      <c r="C6" s="41">
        <v>1.025030571E9</v>
      </c>
      <c r="D6" s="41">
        <v>17.0</v>
      </c>
    </row>
    <row r="7" ht="22.5" customHeight="1">
      <c r="A7" s="59">
        <v>46238.78456472223</v>
      </c>
      <c r="B7" s="41" t="s">
        <v>3919</v>
      </c>
      <c r="C7" s="41">
        <v>1.02503061E9</v>
      </c>
      <c r="D7" s="41">
        <v>4.0</v>
      </c>
    </row>
    <row r="8" ht="22.5" customHeight="1">
      <c r="A8" s="59">
        <v>46238.78868892361</v>
      </c>
      <c r="B8" s="41" t="s">
        <v>3669</v>
      </c>
      <c r="C8" s="41">
        <v>1.025030561E9</v>
      </c>
      <c r="D8" s="41">
        <v>11.0</v>
      </c>
    </row>
    <row r="9" ht="22.5" customHeight="1">
      <c r="A9" s="59">
        <v>46238.80152289352</v>
      </c>
      <c r="B9" s="41" t="s">
        <v>3609</v>
      </c>
      <c r="C9" s="41">
        <v>1.025030549E9</v>
      </c>
      <c r="D9" s="41">
        <v>3.0</v>
      </c>
    </row>
    <row r="10" ht="22.5" customHeight="1">
      <c r="A10" s="59">
        <v>46238.80560494213</v>
      </c>
      <c r="B10" s="41" t="s">
        <v>211</v>
      </c>
      <c r="C10" s="41">
        <v>1.025030492E9</v>
      </c>
      <c r="D10" s="41">
        <v>20.0</v>
      </c>
    </row>
    <row r="11" ht="22.5" customHeight="1">
      <c r="A11" s="59">
        <v>46238.81290847222</v>
      </c>
      <c r="B11" s="41" t="s">
        <v>3688</v>
      </c>
      <c r="C11" s="41">
        <v>1.025030566E9</v>
      </c>
      <c r="D11" s="41">
        <v>18.0</v>
      </c>
    </row>
    <row r="12" ht="22.5" customHeight="1">
      <c r="A12" s="59">
        <v>46238.82339590278</v>
      </c>
      <c r="B12" s="41" t="s">
        <v>3830</v>
      </c>
      <c r="C12" s="41">
        <v>1.025030601E9</v>
      </c>
      <c r="D12" s="41">
        <v>9.0</v>
      </c>
    </row>
    <row r="13" ht="22.5" customHeight="1">
      <c r="A13" s="59">
        <v>46238.82394332176</v>
      </c>
      <c r="B13" s="41" t="s">
        <v>3846</v>
      </c>
      <c r="C13" s="41">
        <v>1.025030598E9</v>
      </c>
      <c r="D13" s="41">
        <v>10.0</v>
      </c>
    </row>
    <row r="14" ht="22.5" customHeight="1">
      <c r="A14" s="59">
        <v>46238.88412766204</v>
      </c>
      <c r="B14" s="41" t="s">
        <v>3814</v>
      </c>
      <c r="C14" s="41">
        <v>1.025030595E9</v>
      </c>
      <c r="D14" s="41">
        <v>7.0</v>
      </c>
    </row>
    <row r="15" ht="22.5" customHeight="1">
      <c r="A15" s="59">
        <v>46238.91968527778</v>
      </c>
      <c r="B15" s="41" t="s">
        <v>3692</v>
      </c>
      <c r="C15" s="41">
        <v>1.025030583E9</v>
      </c>
      <c r="D15" s="41">
        <v>16.0</v>
      </c>
    </row>
    <row r="16" ht="22.5" customHeight="1">
      <c r="A16" s="59">
        <v>46239.36798466435</v>
      </c>
      <c r="B16" s="41" t="s">
        <v>3654</v>
      </c>
      <c r="C16" s="41">
        <v>1.025030529E9</v>
      </c>
      <c r="D16" s="41">
        <v>22.0</v>
      </c>
    </row>
    <row r="17" ht="22.5" customHeight="1">
      <c r="A17" s="59">
        <v>46239.369439988426</v>
      </c>
      <c r="B17" s="41" t="s">
        <v>3811</v>
      </c>
      <c r="C17" s="41">
        <v>1.025030611E9</v>
      </c>
      <c r="D17" s="41">
        <v>8.0</v>
      </c>
    </row>
    <row r="18" ht="22.5" customHeight="1">
      <c r="A18" s="59">
        <v>46239.4045867824</v>
      </c>
      <c r="B18" s="41" t="s">
        <v>3753</v>
      </c>
      <c r="C18" s="41">
        <v>1.025030569E9</v>
      </c>
      <c r="D18" s="41">
        <v>23.0</v>
      </c>
    </row>
    <row r="19" ht="22.5" customHeight="1">
      <c r="A19" s="59">
        <v>46239.404682962966</v>
      </c>
      <c r="B19" s="41" t="s">
        <v>3505</v>
      </c>
      <c r="C19" s="41">
        <v>1.025030523E9</v>
      </c>
      <c r="D19" s="41">
        <v>21.0</v>
      </c>
    </row>
    <row r="20" ht="22.5" customHeight="1">
      <c r="A20" s="59">
        <v>46241.8117574537</v>
      </c>
      <c r="B20" s="41" t="s">
        <v>3894</v>
      </c>
      <c r="C20" s="41">
        <v>1.025030621E9</v>
      </c>
      <c r="D20" s="41">
        <v>12.0</v>
      </c>
    </row>
    <row r="21" ht="22.5" customHeight="1">
      <c r="A21" s="59"/>
      <c r="B21" s="39"/>
      <c r="C21" s="41"/>
      <c r="D21" s="41"/>
    </row>
    <row r="22" ht="22.5" customHeight="1">
      <c r="A22" s="59"/>
      <c r="B22" s="39"/>
      <c r="C22" s="41"/>
      <c r="D22" s="41"/>
    </row>
    <row r="23" ht="22.5" customHeight="1">
      <c r="A23" s="59"/>
      <c r="B23" s="39"/>
      <c r="C23" s="41"/>
      <c r="D23" s="41"/>
    </row>
    <row r="24" ht="22.5" customHeight="1">
      <c r="A24" s="59"/>
      <c r="B24" s="39"/>
      <c r="C24" s="41"/>
      <c r="D24" s="41"/>
    </row>
    <row r="25" ht="22.5" customHeight="1">
      <c r="A25" s="59"/>
      <c r="B25" s="39"/>
      <c r="C25" s="41"/>
      <c r="D25" s="41"/>
    </row>
    <row r="26" ht="22.5" customHeight="1">
      <c r="A26" s="59"/>
      <c r="B26" s="39"/>
      <c r="C26" s="41"/>
      <c r="D26" s="41"/>
    </row>
    <row r="27" ht="22.5" customHeight="1">
      <c r="A27" s="59"/>
      <c r="B27" s="39"/>
      <c r="C27" s="41"/>
      <c r="D27" s="41"/>
    </row>
    <row r="28" ht="22.5" customHeight="1">
      <c r="A28" s="59"/>
      <c r="B28" s="39"/>
      <c r="C28" s="41"/>
      <c r="D28" s="41"/>
    </row>
    <row r="29" ht="22.5" customHeight="1">
      <c r="A29" s="59"/>
      <c r="B29" s="39"/>
      <c r="C29" s="41"/>
      <c r="D29" s="41"/>
    </row>
    <row r="30" ht="22.5" customHeight="1">
      <c r="A30" s="59"/>
      <c r="B30" s="39"/>
      <c r="C30" s="41"/>
      <c r="D30" s="41"/>
    </row>
    <row r="31" ht="22.5" customHeight="1">
      <c r="A31" s="59"/>
      <c r="B31" s="39"/>
      <c r="C31" s="41"/>
      <c r="D31" s="41"/>
    </row>
    <row r="32" ht="22.5" customHeight="1">
      <c r="A32" s="59"/>
      <c r="B32" s="39"/>
      <c r="C32" s="41"/>
      <c r="D32" s="41"/>
    </row>
    <row r="33" ht="22.5" customHeight="1">
      <c r="A33" s="59"/>
      <c r="B33" s="39"/>
      <c r="C33" s="41"/>
      <c r="D33" s="41"/>
    </row>
    <row r="34" ht="22.5" customHeight="1">
      <c r="A34" s="59"/>
      <c r="B34" s="39"/>
      <c r="C34" s="41"/>
      <c r="D34" s="41"/>
    </row>
    <row r="35" ht="22.5" customHeight="1">
      <c r="A35" s="59"/>
      <c r="B35" s="39"/>
      <c r="C35" s="41"/>
      <c r="D35" s="41"/>
    </row>
    <row r="36" ht="22.5" customHeight="1">
      <c r="A36" s="59"/>
      <c r="B36" s="39"/>
      <c r="C36" s="41"/>
      <c r="D36" s="41"/>
    </row>
    <row r="37" ht="22.5" customHeight="1">
      <c r="A37" s="59"/>
      <c r="B37" s="39"/>
      <c r="C37" s="41"/>
      <c r="D37" s="41"/>
    </row>
    <row r="38" ht="22.5" customHeight="1">
      <c r="A38" s="59"/>
      <c r="B38" s="39"/>
      <c r="C38" s="41"/>
      <c r="D38" s="41"/>
    </row>
    <row r="39" ht="22.5" customHeight="1">
      <c r="A39" s="59"/>
      <c r="B39" s="39"/>
      <c r="C39" s="41"/>
      <c r="D39" s="41"/>
    </row>
    <row r="40" ht="22.5" customHeight="1">
      <c r="A40" s="59"/>
      <c r="B40" s="39"/>
      <c r="C40" s="41"/>
      <c r="D40" s="41"/>
    </row>
    <row r="41" ht="22.5" customHeight="1">
      <c r="A41" s="59"/>
      <c r="B41" s="39"/>
      <c r="C41" s="41"/>
      <c r="D41" s="41"/>
    </row>
    <row r="42" ht="22.5" customHeight="1">
      <c r="A42" s="59"/>
      <c r="B42" s="39"/>
      <c r="C42" s="41"/>
      <c r="D42" s="41"/>
    </row>
    <row r="43" ht="22.5" customHeight="1">
      <c r="A43" s="59"/>
      <c r="B43" s="39"/>
      <c r="C43" s="41"/>
      <c r="D43" s="41"/>
    </row>
    <row r="44" ht="22.5" customHeight="1">
      <c r="A44" s="59"/>
      <c r="B44" s="39"/>
      <c r="C44" s="41"/>
      <c r="D44" s="41"/>
    </row>
    <row r="45" ht="22.5" customHeight="1">
      <c r="A45" s="59"/>
      <c r="B45" s="39"/>
      <c r="C45" s="41"/>
      <c r="D45" s="41"/>
    </row>
    <row r="46" ht="22.5" customHeight="1">
      <c r="A46" s="59"/>
      <c r="B46" s="39"/>
      <c r="C46" s="41"/>
      <c r="D46" s="41"/>
    </row>
    <row r="47" ht="22.5" customHeight="1">
      <c r="A47" s="59"/>
      <c r="B47" s="39"/>
      <c r="C47" s="41"/>
      <c r="D47" s="41"/>
    </row>
    <row r="48" ht="22.5" customHeight="1">
      <c r="A48" s="59"/>
      <c r="B48" s="39"/>
      <c r="C48" s="41"/>
      <c r="D48" s="41"/>
    </row>
    <row r="49" ht="22.5" customHeight="1">
      <c r="A49" s="59"/>
      <c r="B49" s="39"/>
      <c r="C49" s="41"/>
      <c r="D49" s="41"/>
    </row>
    <row r="50" ht="22.5" customHeight="1">
      <c r="A50" s="59"/>
      <c r="B50" s="39"/>
      <c r="C50" s="41"/>
      <c r="D50" s="41"/>
    </row>
    <row r="51" ht="22.5" customHeight="1">
      <c r="A51" s="59"/>
      <c r="B51" s="39"/>
      <c r="C51" s="41"/>
      <c r="D51" s="41"/>
    </row>
    <row r="52" ht="22.5" customHeight="1">
      <c r="A52" s="59"/>
      <c r="B52" s="39"/>
      <c r="C52" s="41"/>
      <c r="D52" s="41"/>
    </row>
    <row r="53" ht="22.5" customHeight="1">
      <c r="A53" s="59"/>
      <c r="B53" s="39"/>
      <c r="C53" s="41"/>
      <c r="D53" s="41"/>
    </row>
    <row r="54" ht="22.5" customHeight="1">
      <c r="A54" s="59"/>
      <c r="B54" s="39"/>
      <c r="C54" s="41"/>
      <c r="D54" s="41"/>
    </row>
    <row r="55" ht="22.5" customHeight="1">
      <c r="A55" s="59"/>
      <c r="B55" s="39"/>
      <c r="C55" s="41"/>
      <c r="D55" s="41"/>
    </row>
    <row r="56" ht="22.5" customHeight="1">
      <c r="A56" s="59"/>
      <c r="B56" s="39"/>
      <c r="C56" s="41"/>
      <c r="D56" s="41"/>
    </row>
    <row r="57" ht="22.5" customHeight="1">
      <c r="A57" s="59"/>
      <c r="B57" s="39"/>
      <c r="C57" s="41"/>
      <c r="D57" s="41"/>
    </row>
    <row r="58" ht="22.5" customHeight="1">
      <c r="A58" s="59"/>
      <c r="B58" s="39"/>
      <c r="C58" s="41"/>
      <c r="D58" s="41"/>
    </row>
    <row r="59" ht="22.5" customHeight="1">
      <c r="A59" s="59"/>
      <c r="B59" s="39"/>
      <c r="C59" s="41"/>
      <c r="D59" s="41"/>
    </row>
    <row r="60" ht="22.5" customHeight="1">
      <c r="A60" s="59"/>
      <c r="B60" s="39"/>
      <c r="C60" s="41"/>
      <c r="D60" s="41"/>
    </row>
    <row r="61" ht="22.5" customHeight="1">
      <c r="A61" s="59"/>
      <c r="B61" s="39"/>
      <c r="C61" s="41"/>
      <c r="D61" s="41"/>
    </row>
    <row r="62" ht="22.5" customHeight="1">
      <c r="A62" s="59"/>
      <c r="B62" s="39"/>
      <c r="C62" s="41"/>
      <c r="D62" s="41"/>
    </row>
    <row r="63" ht="22.5" customHeight="1">
      <c r="A63" s="59"/>
      <c r="B63" s="39"/>
      <c r="C63" s="41"/>
      <c r="D63" s="41"/>
    </row>
    <row r="64" ht="22.5" customHeight="1">
      <c r="A64" s="59"/>
      <c r="B64" s="39"/>
      <c r="C64" s="41"/>
      <c r="D64" s="41"/>
    </row>
    <row r="65" ht="22.5" customHeight="1">
      <c r="A65" s="59"/>
      <c r="B65" s="39"/>
      <c r="C65" s="41"/>
      <c r="D65" s="41"/>
    </row>
    <row r="66" ht="22.5" customHeight="1">
      <c r="A66" s="59"/>
      <c r="B66" s="39"/>
      <c r="C66" s="41"/>
      <c r="D66" s="41"/>
    </row>
    <row r="67" ht="22.5" customHeight="1">
      <c r="A67" s="59"/>
      <c r="B67" s="39"/>
      <c r="C67" s="41"/>
      <c r="D67" s="41"/>
    </row>
    <row r="68" ht="22.5" customHeight="1">
      <c r="A68" s="59"/>
      <c r="B68" s="39"/>
      <c r="C68" s="41"/>
      <c r="D68" s="41"/>
    </row>
    <row r="69" ht="22.5" customHeight="1">
      <c r="A69" s="59"/>
      <c r="B69" s="39"/>
      <c r="C69" s="41"/>
      <c r="D69" s="41"/>
    </row>
    <row r="70" ht="22.5" customHeight="1">
      <c r="A70" s="59"/>
      <c r="B70" s="39"/>
      <c r="C70" s="41"/>
      <c r="D70" s="41"/>
    </row>
    <row r="71" ht="22.5" customHeight="1">
      <c r="A71" s="59"/>
      <c r="B71" s="39"/>
      <c r="C71" s="41"/>
      <c r="D71" s="41"/>
    </row>
    <row r="72" ht="22.5" customHeight="1">
      <c r="A72" s="59"/>
      <c r="B72" s="39"/>
      <c r="C72" s="41"/>
      <c r="D72" s="41"/>
    </row>
    <row r="73" ht="22.5" customHeight="1">
      <c r="A73" s="59"/>
      <c r="B73" s="39"/>
      <c r="C73" s="41"/>
      <c r="D73" s="41"/>
    </row>
    <row r="74" ht="22.5" customHeight="1">
      <c r="A74" s="59"/>
      <c r="B74" s="39"/>
      <c r="C74" s="41"/>
      <c r="D74" s="41"/>
    </row>
    <row r="75" ht="22.5" customHeight="1">
      <c r="A75" s="59"/>
      <c r="B75" s="39"/>
      <c r="C75" s="41"/>
      <c r="D75" s="41"/>
    </row>
    <row r="76" ht="22.5" customHeight="1">
      <c r="A76" s="59"/>
      <c r="B76" s="39"/>
      <c r="C76" s="41"/>
      <c r="D76" s="41"/>
    </row>
    <row r="77" ht="22.5" customHeight="1">
      <c r="A77" s="59"/>
      <c r="B77" s="39"/>
      <c r="C77" s="41"/>
      <c r="D77" s="41"/>
    </row>
    <row r="78" ht="22.5" customHeight="1">
      <c r="A78" s="59"/>
      <c r="B78" s="39"/>
      <c r="C78" s="41"/>
      <c r="D78" s="41"/>
    </row>
    <row r="79" ht="22.5" customHeight="1">
      <c r="A79" s="59"/>
      <c r="B79" s="39"/>
      <c r="C79" s="41"/>
      <c r="D79" s="41"/>
    </row>
    <row r="80" ht="22.5" customHeight="1">
      <c r="A80" s="59"/>
      <c r="B80" s="39"/>
      <c r="C80" s="41"/>
      <c r="D80" s="41"/>
    </row>
    <row r="81" ht="22.5" customHeight="1">
      <c r="A81" s="59"/>
      <c r="B81" s="39"/>
      <c r="C81" s="41"/>
      <c r="D81" s="41"/>
    </row>
    <row r="82" ht="22.5" customHeight="1">
      <c r="A82" s="59"/>
      <c r="B82" s="39"/>
      <c r="C82" s="41"/>
      <c r="D82" s="41"/>
    </row>
    <row r="83" ht="22.5" customHeight="1">
      <c r="A83" s="59"/>
      <c r="B83" s="39"/>
      <c r="C83" s="41"/>
      <c r="D83" s="41"/>
    </row>
    <row r="84" ht="22.5" customHeight="1">
      <c r="A84" s="59"/>
      <c r="B84" s="39"/>
      <c r="C84" s="41"/>
      <c r="D84" s="41"/>
    </row>
    <row r="85" ht="22.5" customHeight="1">
      <c r="A85" s="59"/>
      <c r="B85" s="39"/>
      <c r="C85" s="41"/>
      <c r="D85" s="41"/>
    </row>
    <row r="86" ht="22.5" customHeight="1">
      <c r="A86" s="59"/>
      <c r="B86" s="39"/>
      <c r="C86" s="41"/>
      <c r="D86" s="41"/>
    </row>
    <row r="87" ht="22.5" customHeight="1">
      <c r="A87" s="59"/>
      <c r="B87" s="39"/>
      <c r="C87" s="41"/>
      <c r="D87" s="41"/>
    </row>
    <row r="88" ht="22.5" customHeight="1">
      <c r="A88" s="59"/>
      <c r="B88" s="39"/>
      <c r="C88" s="41"/>
      <c r="D88" s="41"/>
    </row>
    <row r="89" ht="22.5" customHeight="1">
      <c r="A89" s="59"/>
      <c r="B89" s="39"/>
      <c r="C89" s="41"/>
      <c r="D89" s="41"/>
    </row>
    <row r="90" ht="22.5" customHeight="1">
      <c r="A90" s="59"/>
      <c r="B90" s="39"/>
      <c r="C90" s="41"/>
      <c r="D90" s="41"/>
    </row>
    <row r="91" ht="22.5" customHeight="1">
      <c r="A91" s="59"/>
      <c r="B91" s="39"/>
      <c r="C91" s="41"/>
      <c r="D91" s="41"/>
    </row>
    <row r="92" ht="22.5" customHeight="1">
      <c r="A92" s="59"/>
      <c r="B92" s="39"/>
      <c r="C92" s="41"/>
      <c r="D92" s="41"/>
    </row>
    <row r="93" ht="22.5" customHeight="1">
      <c r="A93" s="59"/>
      <c r="B93" s="39"/>
      <c r="C93" s="41"/>
      <c r="D93" s="41"/>
    </row>
    <row r="94" ht="22.5" customHeight="1">
      <c r="A94" s="59"/>
      <c r="B94" s="39"/>
      <c r="C94" s="41"/>
      <c r="D94" s="41"/>
    </row>
    <row r="95" ht="22.5" customHeight="1">
      <c r="A95" s="59"/>
      <c r="B95" s="39"/>
      <c r="C95" s="41"/>
      <c r="D95" s="41"/>
    </row>
    <row r="96" ht="22.5" customHeight="1">
      <c r="A96" s="59"/>
      <c r="B96" s="39"/>
      <c r="C96" s="41"/>
      <c r="D96" s="41"/>
    </row>
    <row r="97" ht="22.5" customHeight="1">
      <c r="A97" s="59"/>
      <c r="B97" s="39"/>
      <c r="C97" s="41"/>
      <c r="D97" s="41"/>
    </row>
    <row r="98" ht="22.5" customHeight="1">
      <c r="A98" s="59"/>
      <c r="B98" s="39"/>
      <c r="C98" s="41"/>
      <c r="D98" s="41"/>
    </row>
    <row r="99" ht="22.5" customHeight="1">
      <c r="A99" s="59"/>
      <c r="B99" s="39"/>
      <c r="C99" s="41"/>
      <c r="D99" s="41"/>
    </row>
    <row r="100" ht="22.5" customHeight="1">
      <c r="A100" s="59"/>
      <c r="B100" s="39"/>
      <c r="C100" s="41"/>
      <c r="D100" s="41"/>
    </row>
    <row r="101" ht="22.5" customHeight="1">
      <c r="A101" s="59"/>
      <c r="B101" s="39"/>
      <c r="C101" s="41"/>
      <c r="D101" s="41"/>
    </row>
    <row r="102" ht="22.5" customHeight="1">
      <c r="A102" s="59"/>
      <c r="B102" s="39"/>
      <c r="C102" s="41"/>
      <c r="D102" s="41"/>
    </row>
    <row r="103" ht="22.5" customHeight="1">
      <c r="A103" s="59"/>
      <c r="B103" s="39"/>
      <c r="C103" s="41"/>
      <c r="D103" s="41"/>
    </row>
    <row r="104" ht="22.5" customHeight="1">
      <c r="A104" s="59"/>
      <c r="B104" s="39"/>
      <c r="C104" s="41"/>
      <c r="D104" s="41"/>
    </row>
    <row r="105" ht="22.5" customHeight="1">
      <c r="A105" s="59"/>
      <c r="B105" s="39"/>
      <c r="C105" s="41"/>
      <c r="D105" s="41"/>
    </row>
    <row r="106" ht="22.5" customHeight="1">
      <c r="A106" s="59"/>
      <c r="B106" s="39"/>
      <c r="C106" s="41"/>
      <c r="D106" s="41"/>
    </row>
    <row r="107" ht="22.5" customHeight="1">
      <c r="A107" s="59"/>
      <c r="B107" s="39"/>
      <c r="C107" s="41"/>
      <c r="D107" s="41"/>
    </row>
    <row r="108" ht="22.5" customHeight="1">
      <c r="A108" s="59"/>
      <c r="B108" s="39"/>
      <c r="C108" s="41"/>
      <c r="D108" s="41"/>
    </row>
    <row r="109" ht="22.5" customHeight="1">
      <c r="A109" s="59"/>
      <c r="B109" s="39"/>
      <c r="C109" s="41"/>
      <c r="D109" s="41"/>
    </row>
    <row r="110" ht="22.5" customHeight="1">
      <c r="A110" s="59"/>
      <c r="B110" s="39"/>
      <c r="C110" s="41"/>
      <c r="D110" s="41"/>
    </row>
    <row r="111" ht="22.5" customHeight="1">
      <c r="A111" s="59"/>
      <c r="B111" s="39"/>
      <c r="C111" s="41"/>
      <c r="D111" s="41"/>
    </row>
    <row r="112" ht="22.5" customHeight="1">
      <c r="A112" s="59"/>
      <c r="B112" s="39"/>
      <c r="C112" s="41"/>
      <c r="D112" s="41"/>
    </row>
    <row r="113" ht="22.5" customHeight="1">
      <c r="A113" s="59"/>
      <c r="B113" s="39"/>
      <c r="C113" s="41"/>
      <c r="D113" s="41"/>
    </row>
    <row r="114" ht="22.5" customHeight="1">
      <c r="A114" s="59"/>
      <c r="B114" s="39"/>
      <c r="C114" s="41"/>
      <c r="D114" s="41"/>
    </row>
    <row r="115" ht="22.5" customHeight="1">
      <c r="A115" s="59"/>
      <c r="B115" s="39"/>
      <c r="C115" s="41"/>
      <c r="D115" s="41"/>
    </row>
    <row r="116" ht="22.5" customHeight="1">
      <c r="A116" s="59"/>
      <c r="B116" s="39"/>
      <c r="C116" s="41"/>
      <c r="D116" s="41"/>
    </row>
    <row r="117" ht="22.5" customHeight="1">
      <c r="A117" s="59"/>
      <c r="B117" s="39"/>
      <c r="C117" s="41"/>
      <c r="D117" s="41"/>
    </row>
    <row r="118" ht="22.5" customHeight="1">
      <c r="A118" s="59"/>
      <c r="B118" s="39"/>
      <c r="C118" s="41"/>
      <c r="D118" s="41"/>
    </row>
    <row r="119" ht="22.5" customHeight="1">
      <c r="A119" s="59"/>
      <c r="B119" s="39"/>
      <c r="C119" s="41"/>
      <c r="D119" s="41"/>
    </row>
    <row r="120" ht="22.5" customHeight="1">
      <c r="A120" s="59"/>
      <c r="B120" s="39"/>
      <c r="C120" s="41"/>
      <c r="D120" s="41"/>
    </row>
    <row r="121" ht="22.5" customHeight="1">
      <c r="A121" s="59"/>
      <c r="B121" s="39"/>
      <c r="C121" s="41"/>
      <c r="D121" s="41"/>
    </row>
    <row r="122" ht="22.5" customHeight="1">
      <c r="A122" s="59"/>
      <c r="B122" s="39"/>
      <c r="C122" s="41"/>
      <c r="D122" s="41"/>
    </row>
    <row r="123" ht="22.5" customHeight="1">
      <c r="A123" s="59"/>
      <c r="B123" s="39"/>
      <c r="C123" s="41"/>
      <c r="D123" s="41"/>
    </row>
    <row r="124" ht="22.5" customHeight="1">
      <c r="A124" s="59"/>
      <c r="B124" s="39"/>
      <c r="C124" s="41"/>
      <c r="D124" s="41"/>
    </row>
    <row r="125" ht="22.5" customHeight="1">
      <c r="A125" s="59"/>
      <c r="B125" s="39"/>
      <c r="C125" s="41"/>
      <c r="D125" s="41"/>
    </row>
    <row r="126" ht="22.5" customHeight="1">
      <c r="A126" s="59"/>
      <c r="B126" s="39"/>
      <c r="C126" s="41"/>
      <c r="D126" s="41"/>
    </row>
    <row r="127" ht="22.5" customHeight="1">
      <c r="A127" s="59"/>
      <c r="B127" s="39"/>
      <c r="C127" s="41"/>
      <c r="D127" s="41"/>
    </row>
    <row r="128" ht="22.5" customHeight="1">
      <c r="A128" s="59"/>
      <c r="B128" s="39"/>
      <c r="C128" s="41"/>
      <c r="D128" s="41"/>
    </row>
    <row r="129" ht="22.5" customHeight="1">
      <c r="A129" s="59"/>
      <c r="B129" s="39"/>
      <c r="C129" s="41"/>
      <c r="D129" s="41"/>
    </row>
    <row r="130" ht="22.5" customHeight="1">
      <c r="A130" s="59"/>
      <c r="B130" s="39"/>
      <c r="C130" s="41"/>
      <c r="D130" s="41"/>
    </row>
    <row r="131" ht="22.5" customHeight="1">
      <c r="A131" s="59"/>
      <c r="B131" s="39"/>
      <c r="C131" s="41"/>
      <c r="D131" s="41"/>
    </row>
    <row r="132" ht="22.5" customHeight="1">
      <c r="A132" s="59"/>
      <c r="B132" s="39"/>
      <c r="C132" s="41"/>
      <c r="D132" s="41"/>
    </row>
    <row r="133" ht="22.5" customHeight="1">
      <c r="A133" s="59"/>
      <c r="B133" s="39"/>
      <c r="C133" s="41"/>
      <c r="D133" s="41"/>
    </row>
    <row r="134" ht="22.5" customHeight="1">
      <c r="A134" s="59"/>
      <c r="B134" s="39"/>
      <c r="C134" s="41"/>
      <c r="D134" s="41"/>
    </row>
    <row r="135" ht="22.5" customHeight="1">
      <c r="A135" s="59"/>
      <c r="B135" s="39"/>
      <c r="C135" s="41"/>
      <c r="D135" s="41"/>
    </row>
    <row r="136" ht="22.5" customHeight="1">
      <c r="A136" s="59"/>
      <c r="B136" s="39"/>
      <c r="C136" s="41"/>
      <c r="D136" s="41"/>
    </row>
    <row r="137" ht="22.5" customHeight="1">
      <c r="A137" s="59"/>
      <c r="B137" s="39"/>
      <c r="C137" s="41"/>
      <c r="D137" s="41"/>
    </row>
    <row r="138" ht="22.5" customHeight="1">
      <c r="A138" s="59"/>
      <c r="B138" s="39"/>
      <c r="C138" s="41"/>
      <c r="D138" s="41"/>
    </row>
    <row r="139" ht="22.5" customHeight="1">
      <c r="A139" s="59"/>
      <c r="B139" s="39"/>
      <c r="C139" s="41"/>
      <c r="D139" s="41"/>
    </row>
    <row r="140" ht="22.5" customHeight="1">
      <c r="A140" s="59"/>
      <c r="B140" s="39"/>
      <c r="C140" s="41"/>
      <c r="D140" s="41"/>
    </row>
    <row r="141" ht="22.5" customHeight="1">
      <c r="A141" s="59"/>
      <c r="B141" s="39"/>
      <c r="C141" s="41"/>
      <c r="D141" s="41"/>
    </row>
    <row r="142" ht="22.5" customHeight="1">
      <c r="A142" s="59"/>
      <c r="B142" s="39"/>
      <c r="C142" s="41"/>
      <c r="D142" s="41"/>
    </row>
    <row r="143" ht="22.5" customHeight="1">
      <c r="A143" s="59"/>
      <c r="B143" s="39"/>
      <c r="C143" s="41"/>
      <c r="D143" s="41"/>
    </row>
    <row r="144" ht="22.5" customHeight="1">
      <c r="A144" s="59"/>
      <c r="B144" s="39"/>
      <c r="C144" s="41"/>
      <c r="D144" s="41"/>
    </row>
    <row r="145" ht="22.5" customHeight="1">
      <c r="A145" s="59"/>
      <c r="B145" s="39"/>
      <c r="C145" s="41"/>
      <c r="D145" s="41"/>
    </row>
    <row r="146" ht="22.5" customHeight="1">
      <c r="A146" s="59"/>
      <c r="B146" s="39"/>
      <c r="C146" s="41"/>
      <c r="D146" s="41"/>
    </row>
    <row r="147" ht="22.5" customHeight="1">
      <c r="A147" s="59"/>
      <c r="B147" s="39"/>
      <c r="C147" s="41"/>
      <c r="D147" s="41"/>
    </row>
    <row r="148" ht="22.5" customHeight="1">
      <c r="A148" s="59"/>
      <c r="B148" s="39"/>
      <c r="C148" s="41"/>
      <c r="D148" s="41"/>
    </row>
    <row r="149" ht="22.5" customHeight="1">
      <c r="A149" s="59"/>
      <c r="B149" s="39"/>
      <c r="C149" s="41"/>
      <c r="D149" s="41"/>
    </row>
    <row r="150" ht="22.5" customHeight="1">
      <c r="A150" s="59"/>
      <c r="B150" s="39"/>
      <c r="C150" s="41"/>
      <c r="D150" s="41"/>
    </row>
    <row r="151" ht="22.5" customHeight="1">
      <c r="A151" s="59"/>
      <c r="B151" s="39"/>
      <c r="C151" s="41"/>
      <c r="D151" s="41"/>
    </row>
    <row r="152" ht="22.5" customHeight="1">
      <c r="A152" s="59"/>
      <c r="B152" s="39"/>
      <c r="C152" s="41"/>
      <c r="D152" s="41"/>
    </row>
    <row r="153" ht="22.5" customHeight="1">
      <c r="A153" s="59"/>
      <c r="B153" s="39"/>
      <c r="C153" s="41"/>
      <c r="D153" s="41"/>
    </row>
    <row r="154" ht="22.5" customHeight="1">
      <c r="A154" s="59"/>
      <c r="B154" s="39"/>
      <c r="C154" s="41"/>
      <c r="D154" s="41"/>
    </row>
    <row r="155" ht="22.5" customHeight="1">
      <c r="A155" s="59"/>
      <c r="B155" s="39"/>
      <c r="C155" s="41"/>
      <c r="D155" s="41"/>
    </row>
    <row r="156" ht="22.5" customHeight="1">
      <c r="A156" s="59"/>
      <c r="B156" s="39"/>
      <c r="C156" s="41"/>
      <c r="D156" s="41"/>
    </row>
    <row r="157" ht="22.5" customHeight="1">
      <c r="A157" s="59"/>
      <c r="B157" s="39"/>
      <c r="C157" s="41"/>
      <c r="D157" s="41"/>
    </row>
    <row r="158" ht="22.5" customHeight="1">
      <c r="A158" s="59"/>
      <c r="B158" s="39"/>
      <c r="C158" s="41"/>
      <c r="D158" s="41"/>
    </row>
    <row r="159" ht="22.5" customHeight="1">
      <c r="A159" s="59"/>
      <c r="B159" s="39"/>
      <c r="C159" s="41"/>
      <c r="D159" s="41"/>
    </row>
    <row r="160" ht="22.5" customHeight="1">
      <c r="A160" s="59"/>
      <c r="B160" s="39"/>
      <c r="C160" s="41"/>
      <c r="D160" s="41"/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160">
      <formula1>OR(NOT(ISERROR(DATEVALUE(A2))), AND(ISNUMBER(A2), LEFT(CELL("format", A2))="D"))</formula1>
    </dataValidation>
    <dataValidation type="custom" allowBlank="1" showDropDown="1" sqref="C2:D160">
      <formula1/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25"/>
    <col customWidth="1" min="2" max="2" width="25.5"/>
    <col customWidth="1" min="3" max="3" width="18.0"/>
    <col customWidth="1" min="4" max="4" width="19.38"/>
    <col customWidth="1" min="5" max="6" width="12.63"/>
  </cols>
  <sheetData>
    <row r="1" ht="22.5" customHeight="1">
      <c r="A1" s="37" t="s">
        <v>0</v>
      </c>
      <c r="B1" s="37" t="s">
        <v>6</v>
      </c>
      <c r="C1" s="37" t="s">
        <v>7803</v>
      </c>
      <c r="D1" s="37" t="s">
        <v>7806</v>
      </c>
    </row>
    <row r="2" ht="22.5" customHeight="1">
      <c r="A2" s="59">
        <v>46240.84100917824</v>
      </c>
      <c r="B2" s="41" t="s">
        <v>5372</v>
      </c>
      <c r="C2" s="41">
        <v>1.025031001E9</v>
      </c>
      <c r="D2" s="41">
        <v>67.0</v>
      </c>
    </row>
    <row r="3" ht="22.5" customHeight="1">
      <c r="A3" s="59">
        <v>46240.84503034722</v>
      </c>
      <c r="B3" s="41" t="s">
        <v>5423</v>
      </c>
      <c r="C3" s="41">
        <v>1.025031041E9</v>
      </c>
      <c r="D3" s="41">
        <v>41.0</v>
      </c>
    </row>
    <row r="4" ht="22.5" customHeight="1">
      <c r="A4" s="59">
        <v>46240.84529429398</v>
      </c>
      <c r="B4" s="41" t="s">
        <v>5237</v>
      </c>
      <c r="C4" s="41">
        <v>1.025030955E9</v>
      </c>
      <c r="D4" s="41">
        <v>12.0</v>
      </c>
    </row>
    <row r="5" ht="22.5" customHeight="1">
      <c r="A5" s="59">
        <v>46240.84585791666</v>
      </c>
      <c r="B5" s="41" t="s">
        <v>5441</v>
      </c>
      <c r="C5" s="41">
        <v>1.025031037E9</v>
      </c>
      <c r="D5" s="41">
        <v>21.0</v>
      </c>
    </row>
    <row r="6" ht="22.5" customHeight="1">
      <c r="A6" s="59">
        <v>46240.845894467595</v>
      </c>
      <c r="B6" s="41" t="s">
        <v>2016</v>
      </c>
      <c r="C6" s="41">
        <v>1.025031034E9</v>
      </c>
      <c r="D6" s="41">
        <v>32.0</v>
      </c>
    </row>
    <row r="7" ht="22.5" customHeight="1">
      <c r="A7" s="59">
        <v>46240.84762074074</v>
      </c>
      <c r="B7" s="41" t="s">
        <v>5185</v>
      </c>
      <c r="C7" s="41">
        <v>1.025030948E9</v>
      </c>
      <c r="D7" s="41">
        <v>56.0</v>
      </c>
    </row>
    <row r="8" ht="22.5" customHeight="1">
      <c r="A8" s="59">
        <v>46240.847669826384</v>
      </c>
      <c r="B8" s="41" t="s">
        <v>2975</v>
      </c>
      <c r="C8" s="41">
        <v>1.025030999E9</v>
      </c>
      <c r="D8" s="41">
        <v>20.0</v>
      </c>
    </row>
    <row r="9" ht="22.5" customHeight="1">
      <c r="A9" s="59">
        <v>46240.84964917824</v>
      </c>
      <c r="B9" s="41" t="s">
        <v>5266</v>
      </c>
      <c r="C9" s="41">
        <v>1.025030971E9</v>
      </c>
      <c r="D9" s="41">
        <v>33.0</v>
      </c>
    </row>
    <row r="10" ht="22.5" customHeight="1">
      <c r="A10" s="59">
        <v>46240.85022609954</v>
      </c>
      <c r="B10" s="41" t="s">
        <v>5286</v>
      </c>
      <c r="C10" s="41">
        <v>1.02503097E9</v>
      </c>
      <c r="D10" s="41">
        <v>17.0</v>
      </c>
    </row>
    <row r="11" ht="22.5" customHeight="1">
      <c r="A11" s="59">
        <v>46240.851071006946</v>
      </c>
      <c r="B11" s="41" t="s">
        <v>5278</v>
      </c>
      <c r="C11" s="41">
        <v>1.025031077E9</v>
      </c>
      <c r="D11" s="41">
        <v>36.0</v>
      </c>
    </row>
    <row r="12" ht="22.5" customHeight="1">
      <c r="A12" s="59">
        <v>46240.851256979164</v>
      </c>
      <c r="B12" s="41" t="s">
        <v>5197</v>
      </c>
      <c r="C12" s="41">
        <v>1.025030937E9</v>
      </c>
      <c r="D12" s="41">
        <v>85.0</v>
      </c>
    </row>
    <row r="13" ht="22.5" customHeight="1">
      <c r="A13" s="59">
        <v>46240.852877303245</v>
      </c>
      <c r="B13" s="41" t="s">
        <v>5254</v>
      </c>
      <c r="C13" s="41">
        <v>1.025030981E9</v>
      </c>
      <c r="D13" s="41">
        <v>49.0</v>
      </c>
    </row>
    <row r="14" ht="22.5" customHeight="1">
      <c r="A14" s="59">
        <v>46240.853800972225</v>
      </c>
      <c r="B14" s="41" t="s">
        <v>5290</v>
      </c>
      <c r="C14" s="41">
        <v>1.025030986E9</v>
      </c>
      <c r="D14" s="41">
        <v>79.0</v>
      </c>
    </row>
    <row r="15" ht="22.5" customHeight="1">
      <c r="A15" s="59">
        <v>46240.85403618056</v>
      </c>
      <c r="B15" s="41" t="s">
        <v>5145</v>
      </c>
      <c r="C15" s="41">
        <v>1.025030917E9</v>
      </c>
      <c r="D15" s="41">
        <v>84.0</v>
      </c>
    </row>
    <row r="16" ht="22.5" customHeight="1">
      <c r="A16" s="59">
        <v>46240.85635770833</v>
      </c>
      <c r="B16" s="41" t="s">
        <v>5259</v>
      </c>
      <c r="C16" s="41">
        <v>1.025030976E9</v>
      </c>
      <c r="D16" s="41">
        <v>9.0</v>
      </c>
    </row>
    <row r="17" ht="22.5" customHeight="1">
      <c r="A17" s="59">
        <v>46240.857573518515</v>
      </c>
      <c r="B17" s="41" t="s">
        <v>5345</v>
      </c>
      <c r="C17" s="41">
        <v>1.025031012E9</v>
      </c>
      <c r="D17" s="41">
        <v>30.0</v>
      </c>
    </row>
    <row r="18" ht="22.5" customHeight="1">
      <c r="A18" s="59">
        <v>46240.8580166551</v>
      </c>
      <c r="B18" s="41" t="s">
        <v>5361</v>
      </c>
      <c r="C18" s="41">
        <v>1.025031014E9</v>
      </c>
      <c r="D18" s="41">
        <v>28.0</v>
      </c>
    </row>
    <row r="19" ht="22.5" customHeight="1">
      <c r="A19" s="59">
        <v>46240.85934638889</v>
      </c>
      <c r="B19" s="41" t="s">
        <v>5313</v>
      </c>
      <c r="C19" s="41">
        <v>1.025030979E9</v>
      </c>
      <c r="D19" s="41">
        <v>52.0</v>
      </c>
    </row>
    <row r="20" ht="22.5" customHeight="1">
      <c r="A20" s="59">
        <v>46240.860015706014</v>
      </c>
      <c r="B20" s="41" t="s">
        <v>5304</v>
      </c>
      <c r="C20" s="41">
        <v>1.025031038E9</v>
      </c>
      <c r="D20" s="41">
        <v>73.0</v>
      </c>
    </row>
    <row r="21" ht="22.5" customHeight="1">
      <c r="A21" s="59">
        <v>46240.86152546296</v>
      </c>
      <c r="B21" s="41" t="s">
        <v>5195</v>
      </c>
      <c r="C21" s="41">
        <v>1.025030959E9</v>
      </c>
      <c r="D21" s="41">
        <v>90.0</v>
      </c>
    </row>
    <row r="22" ht="22.5" customHeight="1">
      <c r="A22" s="59">
        <v>46240.89008142361</v>
      </c>
      <c r="B22" s="41" t="s">
        <v>8934</v>
      </c>
      <c r="C22" s="41">
        <v>1.025030929E9</v>
      </c>
      <c r="D22" s="41">
        <v>45.0</v>
      </c>
    </row>
    <row r="23" ht="22.5" customHeight="1">
      <c r="A23" s="59">
        <v>46240.890857210645</v>
      </c>
      <c r="B23" s="41" t="s">
        <v>5243</v>
      </c>
      <c r="C23" s="41">
        <v>1.025030977E9</v>
      </c>
      <c r="D23" s="41">
        <v>6.0</v>
      </c>
    </row>
    <row r="24" ht="22.5" customHeight="1">
      <c r="A24" s="59">
        <v>46240.8915755787</v>
      </c>
      <c r="B24" s="41" t="s">
        <v>5280</v>
      </c>
      <c r="C24" s="41">
        <v>1.025030984E9</v>
      </c>
      <c r="D24" s="41">
        <v>5.0</v>
      </c>
    </row>
    <row r="25" ht="22.5" customHeight="1">
      <c r="A25" s="59">
        <v>46240.9057190625</v>
      </c>
      <c r="B25" s="41" t="s">
        <v>5449</v>
      </c>
      <c r="C25" s="41">
        <v>1.02503103E9</v>
      </c>
      <c r="D25" s="41">
        <v>27.0</v>
      </c>
    </row>
    <row r="26" ht="22.5" customHeight="1">
      <c r="A26" s="59">
        <v>46240.919518055554</v>
      </c>
      <c r="B26" s="41" t="s">
        <v>5192</v>
      </c>
      <c r="C26" s="41">
        <v>1.025030934E9</v>
      </c>
      <c r="D26" s="41">
        <v>81.0</v>
      </c>
    </row>
    <row r="27" ht="22.5" customHeight="1">
      <c r="A27" s="59">
        <v>46240.93678391204</v>
      </c>
      <c r="B27" s="41" t="s">
        <v>5129</v>
      </c>
      <c r="C27" s="41">
        <v>1.025030918E9</v>
      </c>
      <c r="D27" s="41">
        <v>78.0</v>
      </c>
    </row>
    <row r="28" ht="22.5" customHeight="1">
      <c r="A28" s="59">
        <v>46240.96515965278</v>
      </c>
      <c r="B28" s="41" t="s">
        <v>5295</v>
      </c>
      <c r="C28" s="41">
        <v>1.025030728E9</v>
      </c>
      <c r="D28" s="41">
        <v>24.0</v>
      </c>
    </row>
    <row r="29" ht="22.5" customHeight="1">
      <c r="A29" s="59">
        <v>46240.97120555556</v>
      </c>
      <c r="B29" s="41" t="s">
        <v>5432</v>
      </c>
      <c r="C29" s="41">
        <v>1.025031031E9</v>
      </c>
      <c r="D29" s="41">
        <v>23.0</v>
      </c>
    </row>
    <row r="30" ht="22.5" customHeight="1">
      <c r="A30" s="59">
        <v>46241.01760457176</v>
      </c>
      <c r="B30" s="41" t="s">
        <v>5395</v>
      </c>
      <c r="C30" s="41">
        <v>1.025031016E9</v>
      </c>
      <c r="D30" s="41">
        <v>25.0</v>
      </c>
    </row>
    <row r="31" ht="22.5" customHeight="1">
      <c r="A31" s="59">
        <v>46241.01920297454</v>
      </c>
      <c r="B31" s="41" t="s">
        <v>5169</v>
      </c>
      <c r="C31" s="41">
        <v>1.025030951E9</v>
      </c>
      <c r="D31" s="41">
        <v>31.0</v>
      </c>
    </row>
    <row r="32" ht="22.5" customHeight="1">
      <c r="A32" s="59"/>
      <c r="B32" s="39"/>
      <c r="C32" s="41"/>
      <c r="D32" s="41"/>
    </row>
    <row r="33" ht="22.5" customHeight="1">
      <c r="A33" s="59">
        <v>46241.13029944444</v>
      </c>
      <c r="B33" s="41" t="s">
        <v>5323</v>
      </c>
      <c r="C33" s="41">
        <v>1.025031093E9</v>
      </c>
      <c r="D33" s="41">
        <v>50.0</v>
      </c>
    </row>
    <row r="34" ht="22.5" customHeight="1">
      <c r="A34" s="59">
        <v>46241.35475745371</v>
      </c>
      <c r="B34" s="41" t="s">
        <v>5271</v>
      </c>
      <c r="C34" s="41">
        <v>1.025030967E9</v>
      </c>
      <c r="D34" s="41">
        <v>29.0</v>
      </c>
    </row>
    <row r="35" ht="22.5" customHeight="1">
      <c r="A35" s="59">
        <v>46241.40547643519</v>
      </c>
      <c r="B35" s="41" t="s">
        <v>8948</v>
      </c>
      <c r="C35" s="41">
        <v>1.02503092E9</v>
      </c>
      <c r="D35" s="41">
        <v>77.0</v>
      </c>
    </row>
    <row r="36" ht="22.5" customHeight="1">
      <c r="A36" s="59">
        <v>46241.41723765046</v>
      </c>
      <c r="B36" s="41" t="s">
        <v>609</v>
      </c>
      <c r="C36" s="41">
        <v>1.025031074E9</v>
      </c>
      <c r="D36" s="41">
        <v>38.0</v>
      </c>
    </row>
    <row r="37" ht="22.5" customHeight="1">
      <c r="A37" s="59">
        <v>46241.41915267361</v>
      </c>
      <c r="B37" s="41" t="s">
        <v>4944</v>
      </c>
      <c r="C37" s="41">
        <v>1.025030966E9</v>
      </c>
      <c r="D37" s="41">
        <v>22.0</v>
      </c>
    </row>
    <row r="38" ht="22.5" customHeight="1">
      <c r="A38" s="59">
        <v>46241.43845239583</v>
      </c>
      <c r="B38" s="41" t="s">
        <v>5162</v>
      </c>
      <c r="C38" s="41">
        <v>1.025030927E9</v>
      </c>
      <c r="D38" s="41">
        <v>76.0</v>
      </c>
    </row>
    <row r="39" ht="22.5" customHeight="1">
      <c r="A39" s="59">
        <v>46241.474070763885</v>
      </c>
      <c r="B39" s="41" t="s">
        <v>5230</v>
      </c>
      <c r="C39" s="41">
        <v>1.025030957E9</v>
      </c>
      <c r="D39" s="41">
        <v>42.0</v>
      </c>
    </row>
    <row r="40" ht="22.5" customHeight="1">
      <c r="A40" s="59">
        <v>46241.80628616898</v>
      </c>
      <c r="B40" s="41" t="s">
        <v>5114</v>
      </c>
      <c r="C40" s="41">
        <v>1.025030913E9</v>
      </c>
      <c r="D40" s="41">
        <v>16.0</v>
      </c>
    </row>
    <row r="41" ht="22.5" customHeight="1">
      <c r="A41" s="59">
        <v>46242.492227615745</v>
      </c>
      <c r="B41" s="41" t="s">
        <v>5275</v>
      </c>
      <c r="C41" s="41">
        <v>1.025030964E9</v>
      </c>
      <c r="D41" s="41">
        <v>14.0</v>
      </c>
    </row>
    <row r="42" ht="22.5" customHeight="1">
      <c r="A42" s="59">
        <v>46242.896406493055</v>
      </c>
      <c r="B42" s="41" t="s">
        <v>5126</v>
      </c>
      <c r="C42" s="41">
        <v>1.025031048E9</v>
      </c>
      <c r="D42" s="41">
        <v>60.0</v>
      </c>
    </row>
    <row r="43" ht="22.5" customHeight="1">
      <c r="A43" s="59">
        <v>46242.91921143519</v>
      </c>
      <c r="B43" s="41" t="s">
        <v>5177</v>
      </c>
      <c r="C43" s="41">
        <v>1.02503095E9</v>
      </c>
      <c r="D43" s="41">
        <v>54.0</v>
      </c>
    </row>
    <row r="44" ht="22.5" customHeight="1">
      <c r="A44" s="59">
        <v>46243.020790254624</v>
      </c>
      <c r="B44" s="41" t="s">
        <v>5342</v>
      </c>
      <c r="C44" s="41">
        <v>1.025030997E9</v>
      </c>
      <c r="D44" s="41">
        <v>51.0</v>
      </c>
    </row>
    <row r="45" ht="22.5" customHeight="1">
      <c r="A45" s="59"/>
      <c r="B45" s="39"/>
      <c r="C45" s="41"/>
      <c r="D45" s="41"/>
    </row>
    <row r="46" ht="22.5" customHeight="1">
      <c r="A46" s="59"/>
      <c r="B46" s="39"/>
      <c r="C46" s="41"/>
      <c r="D46" s="41"/>
    </row>
    <row r="47" ht="22.5" customHeight="1">
      <c r="A47" s="59"/>
      <c r="B47" s="39"/>
      <c r="C47" s="41"/>
      <c r="D47" s="41"/>
    </row>
    <row r="48" ht="22.5" customHeight="1">
      <c r="A48" s="59"/>
      <c r="B48" s="39"/>
      <c r="C48" s="41"/>
      <c r="D48" s="41"/>
    </row>
    <row r="49" ht="22.5" customHeight="1">
      <c r="A49" s="59"/>
      <c r="B49" s="39"/>
      <c r="C49" s="41"/>
      <c r="D49" s="41"/>
    </row>
    <row r="50" ht="22.5" customHeight="1">
      <c r="A50" s="59"/>
      <c r="B50" s="39"/>
      <c r="C50" s="41"/>
      <c r="D50" s="41"/>
    </row>
    <row r="51" ht="22.5" customHeight="1">
      <c r="A51" s="59"/>
      <c r="B51" s="39"/>
      <c r="C51" s="41"/>
      <c r="D51" s="41"/>
    </row>
    <row r="52" ht="22.5" customHeight="1">
      <c r="A52" s="59"/>
      <c r="B52" s="39"/>
      <c r="C52" s="41"/>
      <c r="D52" s="41"/>
    </row>
    <row r="53" ht="22.5" customHeight="1">
      <c r="A53" s="59"/>
      <c r="B53" s="39"/>
      <c r="C53" s="41"/>
      <c r="D53" s="41"/>
    </row>
    <row r="54" ht="22.5" customHeight="1">
      <c r="A54" s="59"/>
      <c r="B54" s="39"/>
      <c r="C54" s="41"/>
      <c r="D54" s="41"/>
    </row>
    <row r="55" ht="22.5" customHeight="1">
      <c r="A55" s="59"/>
      <c r="B55" s="39"/>
      <c r="C55" s="41"/>
      <c r="D55" s="41"/>
    </row>
    <row r="56" ht="22.5" customHeight="1">
      <c r="A56" s="59"/>
      <c r="B56" s="39"/>
      <c r="C56" s="41"/>
      <c r="D56" s="41"/>
    </row>
    <row r="57" ht="22.5" customHeight="1">
      <c r="A57" s="59"/>
      <c r="B57" s="39"/>
      <c r="C57" s="41"/>
      <c r="D57" s="41"/>
    </row>
    <row r="58" ht="22.5" customHeight="1">
      <c r="A58" s="59"/>
      <c r="B58" s="39"/>
      <c r="C58" s="41"/>
      <c r="D58" s="41"/>
    </row>
    <row r="59" ht="22.5" customHeight="1">
      <c r="A59" s="59"/>
      <c r="B59" s="39"/>
      <c r="C59" s="41"/>
      <c r="D59" s="41"/>
    </row>
    <row r="60" ht="22.5" customHeight="1">
      <c r="A60" s="59"/>
      <c r="B60" s="39"/>
      <c r="C60" s="41"/>
      <c r="D60" s="41"/>
    </row>
    <row r="61" ht="22.5" customHeight="1">
      <c r="A61" s="59"/>
      <c r="B61" s="39"/>
      <c r="C61" s="41"/>
      <c r="D61" s="41"/>
    </row>
    <row r="62" ht="22.5" customHeight="1">
      <c r="A62" s="59"/>
      <c r="B62" s="39"/>
      <c r="C62" s="41"/>
      <c r="D62" s="41"/>
    </row>
    <row r="63" ht="22.5" customHeight="1">
      <c r="A63" s="59"/>
      <c r="B63" s="39"/>
      <c r="C63" s="41"/>
      <c r="D63" s="41"/>
    </row>
    <row r="64" ht="22.5" customHeight="1">
      <c r="A64" s="59"/>
      <c r="B64" s="39"/>
      <c r="C64" s="41"/>
      <c r="D64" s="41"/>
    </row>
    <row r="65" ht="22.5" customHeight="1">
      <c r="A65" s="59"/>
      <c r="B65" s="39"/>
      <c r="C65" s="41"/>
      <c r="D65" s="41"/>
    </row>
    <row r="66" ht="22.5" customHeight="1">
      <c r="A66" s="59"/>
      <c r="B66" s="39"/>
      <c r="C66" s="41"/>
      <c r="D66" s="41"/>
    </row>
    <row r="67" ht="22.5" customHeight="1">
      <c r="A67" s="59"/>
      <c r="B67" s="39"/>
      <c r="C67" s="41"/>
      <c r="D67" s="41"/>
    </row>
    <row r="68" ht="22.5" customHeight="1">
      <c r="A68" s="59"/>
      <c r="B68" s="39"/>
      <c r="C68" s="41"/>
      <c r="D68" s="41"/>
    </row>
    <row r="69" ht="22.5" customHeight="1">
      <c r="A69" s="59"/>
      <c r="B69" s="39"/>
      <c r="C69" s="41"/>
      <c r="D69" s="41"/>
    </row>
    <row r="70" ht="22.5" customHeight="1">
      <c r="A70" s="59"/>
      <c r="B70" s="39"/>
      <c r="C70" s="41"/>
      <c r="D70" s="41"/>
    </row>
    <row r="71" ht="22.5" customHeight="1">
      <c r="A71" s="59"/>
      <c r="B71" s="39"/>
      <c r="C71" s="41"/>
      <c r="D71" s="41"/>
    </row>
    <row r="72" ht="22.5" customHeight="1">
      <c r="A72" s="59"/>
      <c r="B72" s="39"/>
      <c r="C72" s="41"/>
      <c r="D72" s="41"/>
    </row>
    <row r="73" ht="22.5" customHeight="1">
      <c r="A73" s="59"/>
      <c r="B73" s="39"/>
      <c r="C73" s="41"/>
      <c r="D73" s="41"/>
    </row>
    <row r="74" ht="22.5" customHeight="1">
      <c r="A74" s="59"/>
      <c r="B74" s="39"/>
      <c r="C74" s="41"/>
      <c r="D74" s="41"/>
    </row>
    <row r="75" ht="22.5" customHeight="1">
      <c r="A75" s="59"/>
      <c r="B75" s="39"/>
      <c r="C75" s="41"/>
      <c r="D75" s="41"/>
    </row>
    <row r="76" ht="22.5" customHeight="1">
      <c r="A76" s="59"/>
      <c r="B76" s="39"/>
      <c r="C76" s="41"/>
      <c r="D76" s="41"/>
    </row>
    <row r="77" ht="22.5" customHeight="1">
      <c r="A77" s="59"/>
      <c r="B77" s="39"/>
      <c r="C77" s="41"/>
      <c r="D77" s="41"/>
    </row>
    <row r="78" ht="22.5" customHeight="1">
      <c r="A78" s="59"/>
      <c r="B78" s="39"/>
      <c r="C78" s="41"/>
      <c r="D78" s="41"/>
    </row>
    <row r="79" ht="22.5" customHeight="1">
      <c r="A79" s="59"/>
      <c r="B79" s="39"/>
      <c r="C79" s="41"/>
      <c r="D79" s="41"/>
    </row>
    <row r="80" ht="22.5" customHeight="1">
      <c r="A80" s="59"/>
      <c r="B80" s="39"/>
      <c r="C80" s="41"/>
      <c r="D80" s="41"/>
    </row>
    <row r="81" ht="22.5" customHeight="1">
      <c r="A81" s="59"/>
      <c r="B81" s="39"/>
      <c r="C81" s="41"/>
      <c r="D81" s="41"/>
    </row>
    <row r="82" ht="22.5" customHeight="1">
      <c r="A82" s="59"/>
      <c r="B82" s="39"/>
      <c r="C82" s="41"/>
      <c r="D82" s="41"/>
    </row>
    <row r="83" ht="22.5" customHeight="1">
      <c r="A83" s="59"/>
      <c r="B83" s="39"/>
      <c r="C83" s="41"/>
      <c r="D83" s="41"/>
    </row>
    <row r="84" ht="22.5" customHeight="1">
      <c r="A84" s="59"/>
      <c r="B84" s="39"/>
      <c r="C84" s="41"/>
      <c r="D84" s="41"/>
    </row>
    <row r="85" ht="22.5" customHeight="1">
      <c r="A85" s="59"/>
      <c r="B85" s="39"/>
      <c r="C85" s="41"/>
      <c r="D85" s="41"/>
    </row>
    <row r="86" ht="22.5" customHeight="1">
      <c r="A86" s="59"/>
      <c r="B86" s="39"/>
      <c r="C86" s="41"/>
      <c r="D86" s="41"/>
    </row>
    <row r="87" ht="22.5" customHeight="1">
      <c r="A87" s="59"/>
      <c r="B87" s="39"/>
      <c r="C87" s="41"/>
      <c r="D87" s="41"/>
    </row>
    <row r="88" ht="22.5" customHeight="1">
      <c r="A88" s="59"/>
      <c r="B88" s="39"/>
      <c r="C88" s="41"/>
      <c r="D88" s="41"/>
    </row>
    <row r="89" ht="22.5" customHeight="1">
      <c r="A89" s="59"/>
      <c r="B89" s="39"/>
      <c r="C89" s="41"/>
      <c r="D89" s="41"/>
    </row>
    <row r="90" ht="22.5" customHeight="1">
      <c r="A90" s="59"/>
      <c r="B90" s="39"/>
      <c r="C90" s="41"/>
      <c r="D90" s="41"/>
    </row>
    <row r="91" ht="22.5" customHeight="1">
      <c r="A91" s="59"/>
      <c r="B91" s="39"/>
      <c r="C91" s="41"/>
      <c r="D91" s="41"/>
    </row>
    <row r="92" ht="22.5" customHeight="1">
      <c r="A92" s="59"/>
      <c r="B92" s="39"/>
      <c r="C92" s="41"/>
      <c r="D92" s="41"/>
    </row>
    <row r="93" ht="22.5" customHeight="1">
      <c r="A93" s="59"/>
      <c r="B93" s="39"/>
      <c r="C93" s="41"/>
      <c r="D93" s="41"/>
    </row>
    <row r="94" ht="22.5" customHeight="1">
      <c r="A94" s="59"/>
      <c r="B94" s="39"/>
      <c r="C94" s="41"/>
      <c r="D94" s="41"/>
    </row>
    <row r="95" ht="22.5" customHeight="1">
      <c r="A95" s="59"/>
      <c r="B95" s="39"/>
      <c r="C95" s="41"/>
      <c r="D95" s="41"/>
    </row>
    <row r="96" ht="22.5" customHeight="1">
      <c r="A96" s="59"/>
      <c r="B96" s="39"/>
      <c r="C96" s="41"/>
      <c r="D96" s="41"/>
    </row>
    <row r="97" ht="22.5" customHeight="1">
      <c r="A97" s="59"/>
      <c r="B97" s="39"/>
      <c r="C97" s="41"/>
      <c r="D97" s="41"/>
    </row>
    <row r="98" ht="22.5" customHeight="1">
      <c r="A98" s="59"/>
      <c r="B98" s="39"/>
      <c r="C98" s="41"/>
      <c r="D98" s="41"/>
    </row>
    <row r="99" ht="22.5" customHeight="1">
      <c r="A99" s="59"/>
      <c r="B99" s="39"/>
      <c r="C99" s="41"/>
      <c r="D99" s="41"/>
    </row>
    <row r="100" ht="22.5" customHeight="1">
      <c r="A100" s="59"/>
      <c r="B100" s="39"/>
      <c r="C100" s="41"/>
      <c r="D100" s="41"/>
    </row>
    <row r="101" ht="22.5" customHeight="1">
      <c r="A101" s="59"/>
      <c r="B101" s="39"/>
      <c r="C101" s="41"/>
      <c r="D101" s="41"/>
    </row>
    <row r="102" ht="22.5" customHeight="1">
      <c r="A102" s="59"/>
      <c r="B102" s="39"/>
      <c r="C102" s="41"/>
      <c r="D102" s="41"/>
    </row>
    <row r="103" ht="22.5" customHeight="1">
      <c r="A103" s="59"/>
      <c r="B103" s="39"/>
      <c r="C103" s="41"/>
      <c r="D103" s="41"/>
    </row>
    <row r="104" ht="22.5" customHeight="1">
      <c r="A104" s="59"/>
      <c r="B104" s="39"/>
      <c r="C104" s="41"/>
      <c r="D104" s="41"/>
    </row>
    <row r="105" ht="22.5" customHeight="1">
      <c r="A105" s="59"/>
      <c r="B105" s="39"/>
      <c r="C105" s="41"/>
      <c r="D105" s="41"/>
    </row>
    <row r="106" ht="22.5" customHeight="1">
      <c r="A106" s="59"/>
      <c r="B106" s="39"/>
      <c r="C106" s="41"/>
      <c r="D106" s="41"/>
    </row>
    <row r="107" ht="22.5" customHeight="1">
      <c r="A107" s="59"/>
      <c r="B107" s="39"/>
      <c r="C107" s="41"/>
      <c r="D107" s="41"/>
    </row>
    <row r="108" ht="22.5" customHeight="1">
      <c r="A108" s="59"/>
      <c r="B108" s="39"/>
      <c r="C108" s="41"/>
      <c r="D108" s="41"/>
    </row>
    <row r="109" ht="22.5" customHeight="1">
      <c r="A109" s="59"/>
      <c r="B109" s="39"/>
      <c r="C109" s="41"/>
      <c r="D109" s="41"/>
    </row>
    <row r="110" ht="22.5" customHeight="1">
      <c r="A110" s="59"/>
      <c r="B110" s="39"/>
      <c r="C110" s="41"/>
      <c r="D110" s="41"/>
    </row>
    <row r="111" ht="22.5" customHeight="1">
      <c r="A111" s="59"/>
      <c r="B111" s="39"/>
      <c r="C111" s="41"/>
      <c r="D111" s="41"/>
    </row>
    <row r="112" ht="22.5" customHeight="1">
      <c r="A112" s="59"/>
      <c r="B112" s="39"/>
      <c r="C112" s="41"/>
      <c r="D112" s="41"/>
    </row>
    <row r="113" ht="22.5" customHeight="1">
      <c r="A113" s="59"/>
      <c r="B113" s="39"/>
      <c r="C113" s="41"/>
      <c r="D113" s="41"/>
    </row>
    <row r="114" ht="22.5" customHeight="1">
      <c r="A114" s="59"/>
      <c r="B114" s="39"/>
      <c r="C114" s="41"/>
      <c r="D114" s="41"/>
    </row>
    <row r="115" ht="22.5" customHeight="1">
      <c r="A115" s="59"/>
      <c r="B115" s="39"/>
      <c r="C115" s="41"/>
      <c r="D115" s="41"/>
    </row>
    <row r="116" ht="22.5" customHeight="1">
      <c r="A116" s="59"/>
      <c r="B116" s="39"/>
      <c r="C116" s="41"/>
      <c r="D116" s="41"/>
    </row>
    <row r="117" ht="22.5" customHeight="1">
      <c r="A117" s="59"/>
      <c r="B117" s="39"/>
      <c r="C117" s="41"/>
      <c r="D117" s="41"/>
    </row>
    <row r="118" ht="22.5" customHeight="1">
      <c r="A118" s="59"/>
      <c r="B118" s="39"/>
      <c r="C118" s="41"/>
      <c r="D118" s="41"/>
    </row>
    <row r="119" ht="22.5" customHeight="1">
      <c r="A119" s="59"/>
      <c r="B119" s="39"/>
      <c r="C119" s="41"/>
      <c r="D119" s="41"/>
    </row>
    <row r="120" ht="22.5" customHeight="1">
      <c r="A120" s="59"/>
      <c r="B120" s="39"/>
      <c r="C120" s="41"/>
      <c r="D120" s="41"/>
    </row>
    <row r="121" ht="22.5" customHeight="1">
      <c r="A121" s="59"/>
      <c r="B121" s="39"/>
      <c r="C121" s="41"/>
      <c r="D121" s="41"/>
    </row>
    <row r="122" ht="22.5" customHeight="1">
      <c r="A122" s="59"/>
      <c r="B122" s="39"/>
      <c r="C122" s="41"/>
      <c r="D122" s="41"/>
    </row>
    <row r="123" ht="22.5" customHeight="1">
      <c r="A123" s="59"/>
      <c r="B123" s="39"/>
      <c r="C123" s="41"/>
      <c r="D123" s="41"/>
    </row>
    <row r="124" ht="22.5" customHeight="1">
      <c r="A124" s="59"/>
      <c r="B124" s="39"/>
      <c r="C124" s="41"/>
      <c r="D124" s="41"/>
    </row>
    <row r="125" ht="22.5" customHeight="1">
      <c r="A125" s="59"/>
      <c r="B125" s="39"/>
      <c r="C125" s="41"/>
      <c r="D125" s="41"/>
    </row>
    <row r="126" ht="22.5" customHeight="1">
      <c r="A126" s="59"/>
      <c r="B126" s="39"/>
      <c r="C126" s="41"/>
      <c r="D126" s="41"/>
    </row>
    <row r="127" ht="22.5" customHeight="1">
      <c r="A127" s="59"/>
      <c r="B127" s="39"/>
      <c r="C127" s="41"/>
      <c r="D127" s="41"/>
    </row>
    <row r="128" ht="22.5" customHeight="1">
      <c r="A128" s="59"/>
      <c r="B128" s="39"/>
      <c r="C128" s="41"/>
      <c r="D128" s="41"/>
    </row>
    <row r="129" ht="22.5" customHeight="1">
      <c r="A129" s="59"/>
      <c r="B129" s="39"/>
      <c r="C129" s="41"/>
      <c r="D129" s="41"/>
    </row>
    <row r="130" ht="22.5" customHeight="1">
      <c r="A130" s="59"/>
      <c r="B130" s="39"/>
      <c r="C130" s="41"/>
      <c r="D130" s="41"/>
    </row>
    <row r="131" ht="22.5" customHeight="1">
      <c r="A131" s="59"/>
      <c r="B131" s="39"/>
      <c r="C131" s="41"/>
      <c r="D131" s="41"/>
    </row>
    <row r="132" ht="22.5" customHeight="1">
      <c r="A132" s="59"/>
      <c r="B132" s="39"/>
      <c r="C132" s="41"/>
      <c r="D132" s="41"/>
    </row>
    <row r="133" ht="22.5" customHeight="1">
      <c r="A133" s="59"/>
      <c r="B133" s="39"/>
      <c r="C133" s="41"/>
      <c r="D133" s="41"/>
    </row>
    <row r="134" ht="22.5" customHeight="1">
      <c r="A134" s="59"/>
      <c r="B134" s="39"/>
      <c r="C134" s="41"/>
      <c r="D134" s="41"/>
    </row>
    <row r="135" ht="22.5" customHeight="1">
      <c r="A135" s="59"/>
      <c r="B135" s="39"/>
      <c r="C135" s="41"/>
      <c r="D135" s="41"/>
    </row>
    <row r="136" ht="22.5" customHeight="1">
      <c r="A136" s="59"/>
      <c r="B136" s="39"/>
      <c r="C136" s="41"/>
      <c r="D136" s="41"/>
    </row>
    <row r="137" ht="22.5" customHeight="1">
      <c r="A137" s="59"/>
      <c r="B137" s="39"/>
      <c r="C137" s="41"/>
      <c r="D137" s="41"/>
    </row>
    <row r="138" ht="22.5" customHeight="1">
      <c r="A138" s="59"/>
      <c r="B138" s="39"/>
      <c r="C138" s="41"/>
      <c r="D138" s="41"/>
    </row>
    <row r="139" ht="22.5" customHeight="1">
      <c r="A139" s="59"/>
      <c r="B139" s="39"/>
      <c r="C139" s="41"/>
      <c r="D139" s="41"/>
    </row>
    <row r="140" ht="22.5" customHeight="1">
      <c r="A140" s="59"/>
      <c r="B140" s="39"/>
      <c r="C140" s="41"/>
      <c r="D140" s="41"/>
    </row>
    <row r="141" ht="22.5" customHeight="1">
      <c r="A141" s="59"/>
      <c r="B141" s="39"/>
      <c r="C141" s="41"/>
      <c r="D141" s="41"/>
    </row>
    <row r="142" ht="22.5" customHeight="1">
      <c r="A142" s="59"/>
      <c r="B142" s="39"/>
      <c r="C142" s="41"/>
      <c r="D142" s="41"/>
    </row>
    <row r="143" ht="22.5" customHeight="1">
      <c r="A143" s="59"/>
      <c r="B143" s="39"/>
      <c r="C143" s="41"/>
      <c r="D143" s="41"/>
    </row>
    <row r="144" ht="22.5" customHeight="1">
      <c r="A144" s="59"/>
      <c r="B144" s="39"/>
      <c r="C144" s="41"/>
      <c r="D144" s="41"/>
    </row>
    <row r="145" ht="22.5" customHeight="1">
      <c r="A145" s="59"/>
      <c r="B145" s="39"/>
      <c r="C145" s="41"/>
      <c r="D145" s="41"/>
    </row>
    <row r="146" ht="22.5" customHeight="1">
      <c r="A146" s="59"/>
      <c r="B146" s="39"/>
      <c r="C146" s="41"/>
      <c r="D146" s="41"/>
    </row>
    <row r="147" ht="22.5" customHeight="1">
      <c r="A147" s="59"/>
      <c r="B147" s="39"/>
      <c r="C147" s="41"/>
      <c r="D147" s="41"/>
    </row>
    <row r="148" ht="22.5" customHeight="1">
      <c r="A148" s="59"/>
      <c r="B148" s="39"/>
      <c r="C148" s="41"/>
      <c r="D148" s="41"/>
    </row>
    <row r="149" ht="22.5" customHeight="1">
      <c r="A149" s="59"/>
      <c r="B149" s="39"/>
      <c r="C149" s="41"/>
      <c r="D149" s="41"/>
    </row>
    <row r="150" ht="22.5" customHeight="1">
      <c r="A150" s="59"/>
      <c r="B150" s="39"/>
      <c r="C150" s="41"/>
      <c r="D150" s="41"/>
    </row>
    <row r="151" ht="22.5" customHeight="1">
      <c r="A151" s="59"/>
      <c r="B151" s="39"/>
      <c r="C151" s="41"/>
      <c r="D151" s="41"/>
    </row>
    <row r="152" ht="22.5" customHeight="1">
      <c r="A152" s="59"/>
      <c r="B152" s="39"/>
      <c r="C152" s="41"/>
      <c r="D152" s="41"/>
    </row>
    <row r="153" ht="22.5" customHeight="1">
      <c r="A153" s="59"/>
      <c r="B153" s="39"/>
      <c r="C153" s="41"/>
      <c r="D153" s="41"/>
    </row>
    <row r="154" ht="22.5" customHeight="1">
      <c r="A154" s="59"/>
      <c r="B154" s="39"/>
      <c r="C154" s="41"/>
      <c r="D154" s="41"/>
    </row>
    <row r="155" ht="22.5" customHeight="1">
      <c r="A155" s="59"/>
      <c r="B155" s="39"/>
      <c r="C155" s="41"/>
      <c r="D155" s="41"/>
    </row>
    <row r="156" ht="22.5" customHeight="1">
      <c r="A156" s="59"/>
      <c r="B156" s="39"/>
      <c r="C156" s="41"/>
      <c r="D156" s="41"/>
    </row>
    <row r="157" ht="22.5" customHeight="1">
      <c r="A157" s="59"/>
      <c r="B157" s="39"/>
      <c r="C157" s="41"/>
      <c r="D157" s="41"/>
    </row>
    <row r="158" ht="22.5" customHeight="1">
      <c r="A158" s="59"/>
      <c r="B158" s="39"/>
      <c r="C158" s="41"/>
      <c r="D158" s="41"/>
    </row>
    <row r="159" ht="22.5" customHeight="1">
      <c r="A159" s="59"/>
      <c r="B159" s="39"/>
      <c r="C159" s="41"/>
      <c r="D159" s="41"/>
    </row>
    <row r="160" ht="22.5" customHeight="1">
      <c r="A160" s="59"/>
      <c r="B160" s="39"/>
      <c r="C160" s="41"/>
      <c r="D160" s="41"/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160">
      <formula1>OR(NOT(ISERROR(DATEVALUE(A2))), AND(ISNUMBER(A2), LEFT(CELL("format", A2))="D"))</formula1>
    </dataValidation>
    <dataValidation type="custom" allowBlank="1" showDropDown="1" sqref="C2:D160">
      <formula1/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25"/>
    <col customWidth="1" min="2" max="2" width="23.88"/>
    <col customWidth="1" min="3" max="3" width="18.0"/>
    <col customWidth="1" min="4" max="4" width="19.38"/>
    <col customWidth="1" min="5" max="6" width="12.63"/>
  </cols>
  <sheetData>
    <row r="1" ht="22.5" customHeight="1">
      <c r="A1" s="37" t="s">
        <v>0</v>
      </c>
      <c r="B1" s="37" t="s">
        <v>6</v>
      </c>
      <c r="C1" s="37" t="s">
        <v>7803</v>
      </c>
      <c r="D1" s="37" t="s">
        <v>7806</v>
      </c>
    </row>
    <row r="2" ht="22.5" customHeight="1">
      <c r="A2" s="60">
        <v>46243.039906631944</v>
      </c>
      <c r="B2" s="61" t="s">
        <v>9077</v>
      </c>
      <c r="C2" s="61">
        <v>1.025031041E9</v>
      </c>
      <c r="D2" s="62">
        <v>20.0</v>
      </c>
    </row>
    <row r="3" ht="22.5" customHeight="1">
      <c r="A3" s="59"/>
      <c r="B3" s="39"/>
      <c r="C3" s="41"/>
      <c r="D3" s="41"/>
    </row>
    <row r="4" ht="22.5" customHeight="1">
      <c r="A4" s="59"/>
      <c r="B4" s="39"/>
      <c r="C4" s="41"/>
      <c r="D4" s="41"/>
    </row>
    <row r="5" ht="22.5" customHeight="1">
      <c r="A5" s="59"/>
      <c r="B5" s="39"/>
      <c r="C5" s="41"/>
      <c r="D5" s="41"/>
    </row>
    <row r="6" ht="22.5" customHeight="1">
      <c r="A6" s="59"/>
      <c r="B6" s="39"/>
      <c r="C6" s="41"/>
      <c r="D6" s="41"/>
    </row>
    <row r="7" ht="22.5" customHeight="1">
      <c r="A7" s="59"/>
      <c r="B7" s="39"/>
      <c r="C7" s="41"/>
      <c r="D7" s="41"/>
    </row>
    <row r="8" ht="22.5" customHeight="1">
      <c r="A8" s="59"/>
      <c r="B8" s="39"/>
      <c r="C8" s="41"/>
      <c r="D8" s="41"/>
    </row>
    <row r="9" ht="22.5" customHeight="1">
      <c r="A9" s="59"/>
      <c r="B9" s="39"/>
      <c r="C9" s="41"/>
      <c r="D9" s="41"/>
    </row>
    <row r="10" ht="22.5" customHeight="1">
      <c r="A10" s="59"/>
      <c r="B10" s="39"/>
      <c r="C10" s="41"/>
      <c r="D10" s="41"/>
    </row>
    <row r="11" ht="22.5" customHeight="1">
      <c r="A11" s="59"/>
      <c r="B11" s="39"/>
      <c r="C11" s="41"/>
      <c r="D11" s="41"/>
    </row>
    <row r="12" ht="22.5" customHeight="1">
      <c r="A12" s="59"/>
      <c r="B12" s="39"/>
      <c r="C12" s="41"/>
      <c r="D12" s="41"/>
    </row>
    <row r="13" ht="22.5" customHeight="1">
      <c r="A13" s="59"/>
      <c r="B13" s="39"/>
      <c r="C13" s="41"/>
      <c r="D13" s="41"/>
    </row>
    <row r="14" ht="22.5" customHeight="1">
      <c r="A14" s="59"/>
      <c r="B14" s="39"/>
      <c r="C14" s="41"/>
      <c r="D14" s="41"/>
    </row>
    <row r="15" ht="22.5" customHeight="1">
      <c r="A15" s="59"/>
      <c r="B15" s="39"/>
      <c r="C15" s="41"/>
      <c r="D15" s="41"/>
    </row>
    <row r="16" ht="22.5" customHeight="1">
      <c r="A16" s="59"/>
      <c r="B16" s="39"/>
      <c r="C16" s="41"/>
      <c r="D16" s="41"/>
    </row>
    <row r="17" ht="22.5" customHeight="1">
      <c r="A17" s="59"/>
      <c r="B17" s="39"/>
      <c r="C17" s="41"/>
      <c r="D17" s="41"/>
    </row>
    <row r="18" ht="22.5" customHeight="1">
      <c r="A18" s="59"/>
      <c r="B18" s="39"/>
      <c r="C18" s="41"/>
      <c r="D18" s="41"/>
    </row>
    <row r="19" ht="22.5" customHeight="1">
      <c r="A19" s="59"/>
      <c r="B19" s="39"/>
      <c r="C19" s="41"/>
      <c r="D19" s="41"/>
    </row>
    <row r="20" ht="22.5" customHeight="1">
      <c r="A20" s="59"/>
      <c r="B20" s="39"/>
      <c r="C20" s="41"/>
      <c r="D20" s="41"/>
    </row>
    <row r="21" ht="22.5" customHeight="1">
      <c r="A21" s="59"/>
      <c r="B21" s="39"/>
      <c r="C21" s="41"/>
      <c r="D21" s="41"/>
    </row>
    <row r="22" ht="22.5" customHeight="1">
      <c r="A22" s="59"/>
      <c r="B22" s="39"/>
      <c r="C22" s="41"/>
      <c r="D22" s="41"/>
    </row>
    <row r="23" ht="22.5" customHeight="1">
      <c r="A23" s="59"/>
      <c r="B23" s="39"/>
      <c r="C23" s="41"/>
      <c r="D23" s="41"/>
    </row>
    <row r="24" ht="22.5" customHeight="1">
      <c r="A24" s="59"/>
      <c r="B24" s="39"/>
      <c r="C24" s="41"/>
      <c r="D24" s="41"/>
    </row>
    <row r="25" ht="22.5" customHeight="1">
      <c r="A25" s="59"/>
      <c r="B25" s="39"/>
      <c r="C25" s="41"/>
      <c r="D25" s="41"/>
    </row>
    <row r="26" ht="22.5" customHeight="1">
      <c r="A26" s="59"/>
      <c r="B26" s="39"/>
      <c r="C26" s="41"/>
      <c r="D26" s="41"/>
    </row>
    <row r="27" ht="22.5" customHeight="1">
      <c r="A27" s="59"/>
      <c r="B27" s="39"/>
      <c r="C27" s="41"/>
      <c r="D27" s="41"/>
    </row>
    <row r="28" ht="22.5" customHeight="1">
      <c r="A28" s="59"/>
      <c r="B28" s="39"/>
      <c r="C28" s="41"/>
      <c r="D28" s="41"/>
    </row>
    <row r="29" ht="22.5" customHeight="1">
      <c r="A29" s="59"/>
      <c r="B29" s="39"/>
      <c r="C29" s="41"/>
      <c r="D29" s="41"/>
    </row>
    <row r="30" ht="22.5" customHeight="1">
      <c r="A30" s="59"/>
      <c r="B30" s="39"/>
      <c r="C30" s="41"/>
      <c r="D30" s="41"/>
    </row>
    <row r="31" ht="22.5" customHeight="1">
      <c r="A31" s="59"/>
      <c r="B31" s="39"/>
      <c r="C31" s="41"/>
      <c r="D31" s="41"/>
    </row>
    <row r="32" ht="22.5" customHeight="1">
      <c r="A32" s="59"/>
      <c r="B32" s="39"/>
      <c r="C32" s="41"/>
      <c r="D32" s="41"/>
    </row>
    <row r="33" ht="22.5" customHeight="1">
      <c r="A33" s="59"/>
      <c r="B33" s="39"/>
      <c r="C33" s="41"/>
      <c r="D33" s="41"/>
    </row>
    <row r="34" ht="22.5" customHeight="1">
      <c r="A34" s="59"/>
      <c r="B34" s="39"/>
      <c r="C34" s="41"/>
      <c r="D34" s="41"/>
    </row>
    <row r="35" ht="22.5" customHeight="1">
      <c r="A35" s="59"/>
      <c r="B35" s="39"/>
      <c r="C35" s="41"/>
      <c r="D35" s="41"/>
    </row>
    <row r="36" ht="22.5" customHeight="1">
      <c r="A36" s="59"/>
      <c r="B36" s="39"/>
      <c r="C36" s="41"/>
      <c r="D36" s="41"/>
    </row>
    <row r="37" ht="22.5" customHeight="1">
      <c r="A37" s="59"/>
      <c r="B37" s="39"/>
      <c r="C37" s="41"/>
      <c r="D37" s="41"/>
    </row>
    <row r="38" ht="22.5" customHeight="1">
      <c r="A38" s="59"/>
      <c r="B38" s="39"/>
      <c r="C38" s="41"/>
      <c r="D38" s="41"/>
    </row>
    <row r="39" ht="22.5" customHeight="1">
      <c r="A39" s="59"/>
      <c r="B39" s="39"/>
      <c r="C39" s="41"/>
      <c r="D39" s="41"/>
    </row>
    <row r="40" ht="22.5" customHeight="1">
      <c r="A40" s="59"/>
      <c r="B40" s="39"/>
      <c r="C40" s="41"/>
      <c r="D40" s="41"/>
    </row>
    <row r="41" ht="22.5" customHeight="1">
      <c r="A41" s="59"/>
      <c r="B41" s="39"/>
      <c r="C41" s="41"/>
      <c r="D41" s="41"/>
    </row>
    <row r="42" ht="22.5" customHeight="1">
      <c r="A42" s="59"/>
      <c r="B42" s="39"/>
      <c r="C42" s="41"/>
      <c r="D42" s="41"/>
    </row>
    <row r="43" ht="22.5" customHeight="1">
      <c r="A43" s="59"/>
      <c r="B43" s="39"/>
      <c r="C43" s="41"/>
      <c r="D43" s="41"/>
    </row>
    <row r="44" ht="22.5" customHeight="1">
      <c r="A44" s="59"/>
      <c r="B44" s="39"/>
      <c r="C44" s="41"/>
      <c r="D44" s="41"/>
    </row>
    <row r="45" ht="22.5" customHeight="1">
      <c r="A45" s="59"/>
      <c r="B45" s="39"/>
      <c r="C45" s="41"/>
      <c r="D45" s="41"/>
    </row>
    <row r="46" ht="22.5" customHeight="1">
      <c r="A46" s="59"/>
      <c r="B46" s="39"/>
      <c r="C46" s="41"/>
      <c r="D46" s="41"/>
    </row>
    <row r="47" ht="22.5" customHeight="1">
      <c r="A47" s="59"/>
      <c r="B47" s="39"/>
      <c r="C47" s="41"/>
      <c r="D47" s="41"/>
    </row>
    <row r="48" ht="22.5" customHeight="1">
      <c r="A48" s="59"/>
      <c r="B48" s="39"/>
      <c r="C48" s="41"/>
      <c r="D48" s="41"/>
    </row>
    <row r="49" ht="22.5" customHeight="1">
      <c r="A49" s="59"/>
      <c r="B49" s="39"/>
      <c r="C49" s="41"/>
      <c r="D49" s="41"/>
    </row>
    <row r="50" ht="22.5" customHeight="1">
      <c r="A50" s="59"/>
      <c r="B50" s="39"/>
      <c r="C50" s="41"/>
      <c r="D50" s="41"/>
    </row>
    <row r="51" ht="22.5" customHeight="1">
      <c r="A51" s="59"/>
      <c r="B51" s="39"/>
      <c r="C51" s="41"/>
      <c r="D51" s="41"/>
    </row>
    <row r="52" ht="22.5" customHeight="1">
      <c r="A52" s="59"/>
      <c r="B52" s="39"/>
      <c r="C52" s="41"/>
      <c r="D52" s="41"/>
    </row>
    <row r="53" ht="22.5" customHeight="1">
      <c r="A53" s="59"/>
      <c r="B53" s="39"/>
      <c r="C53" s="41"/>
      <c r="D53" s="41"/>
    </row>
    <row r="54" ht="22.5" customHeight="1">
      <c r="A54" s="59"/>
      <c r="B54" s="39"/>
      <c r="C54" s="41"/>
      <c r="D54" s="41"/>
    </row>
    <row r="55" ht="22.5" customHeight="1">
      <c r="A55" s="59"/>
      <c r="B55" s="39"/>
      <c r="C55" s="41"/>
      <c r="D55" s="41"/>
    </row>
    <row r="56" ht="22.5" customHeight="1">
      <c r="A56" s="59"/>
      <c r="B56" s="39"/>
      <c r="C56" s="41"/>
      <c r="D56" s="41"/>
    </row>
    <row r="57" ht="22.5" customHeight="1">
      <c r="A57" s="59"/>
      <c r="B57" s="39"/>
      <c r="C57" s="41"/>
      <c r="D57" s="41"/>
    </row>
    <row r="58" ht="22.5" customHeight="1">
      <c r="A58" s="59"/>
      <c r="B58" s="39"/>
      <c r="C58" s="41"/>
      <c r="D58" s="41"/>
    </row>
    <row r="59" ht="22.5" customHeight="1">
      <c r="A59" s="59"/>
      <c r="B59" s="39"/>
      <c r="C59" s="41"/>
      <c r="D59" s="41"/>
    </row>
    <row r="60" ht="22.5" customHeight="1">
      <c r="A60" s="59"/>
      <c r="B60" s="39"/>
      <c r="C60" s="41"/>
      <c r="D60" s="41"/>
    </row>
    <row r="61" ht="22.5" customHeight="1">
      <c r="A61" s="59"/>
      <c r="B61" s="39"/>
      <c r="C61" s="41"/>
      <c r="D61" s="41"/>
    </row>
    <row r="62" ht="22.5" customHeight="1">
      <c r="A62" s="59"/>
      <c r="B62" s="39"/>
      <c r="C62" s="41"/>
      <c r="D62" s="41"/>
    </row>
    <row r="63" ht="22.5" customHeight="1">
      <c r="A63" s="59"/>
      <c r="B63" s="39"/>
      <c r="C63" s="41"/>
      <c r="D63" s="41"/>
    </row>
    <row r="64" ht="22.5" customHeight="1">
      <c r="A64" s="59"/>
      <c r="B64" s="39"/>
      <c r="C64" s="41"/>
      <c r="D64" s="41"/>
    </row>
    <row r="65" ht="22.5" customHeight="1">
      <c r="A65" s="59"/>
      <c r="B65" s="39"/>
      <c r="C65" s="41"/>
      <c r="D65" s="41"/>
    </row>
    <row r="66" ht="22.5" customHeight="1">
      <c r="A66" s="59"/>
      <c r="B66" s="39"/>
      <c r="C66" s="41"/>
      <c r="D66" s="41"/>
    </row>
    <row r="67" ht="22.5" customHeight="1">
      <c r="A67" s="59"/>
      <c r="B67" s="39"/>
      <c r="C67" s="41"/>
      <c r="D67" s="41"/>
    </row>
    <row r="68" ht="22.5" customHeight="1">
      <c r="A68" s="59"/>
      <c r="B68" s="39"/>
      <c r="C68" s="41"/>
      <c r="D68" s="41"/>
    </row>
    <row r="69" ht="22.5" customHeight="1">
      <c r="A69" s="59"/>
      <c r="B69" s="39"/>
      <c r="C69" s="41"/>
      <c r="D69" s="41"/>
    </row>
    <row r="70" ht="22.5" customHeight="1">
      <c r="A70" s="59"/>
      <c r="B70" s="39"/>
      <c r="C70" s="41"/>
      <c r="D70" s="41"/>
    </row>
    <row r="71" ht="22.5" customHeight="1">
      <c r="A71" s="59"/>
      <c r="B71" s="39"/>
      <c r="C71" s="41"/>
      <c r="D71" s="41"/>
    </row>
    <row r="72" ht="22.5" customHeight="1">
      <c r="A72" s="59"/>
      <c r="B72" s="39"/>
      <c r="C72" s="41"/>
      <c r="D72" s="41"/>
    </row>
    <row r="73" ht="22.5" customHeight="1">
      <c r="A73" s="59"/>
      <c r="B73" s="39"/>
      <c r="C73" s="41"/>
      <c r="D73" s="41"/>
    </row>
    <row r="74" ht="22.5" customHeight="1">
      <c r="A74" s="59"/>
      <c r="B74" s="39"/>
      <c r="C74" s="41"/>
      <c r="D74" s="41"/>
    </row>
    <row r="75" ht="22.5" customHeight="1">
      <c r="A75" s="59"/>
      <c r="B75" s="39"/>
      <c r="C75" s="41"/>
      <c r="D75" s="41"/>
    </row>
    <row r="76" ht="22.5" customHeight="1">
      <c r="A76" s="59"/>
      <c r="B76" s="39"/>
      <c r="C76" s="41"/>
      <c r="D76" s="41"/>
    </row>
    <row r="77" ht="22.5" customHeight="1">
      <c r="A77" s="59"/>
      <c r="B77" s="39"/>
      <c r="C77" s="41"/>
      <c r="D77" s="41"/>
    </row>
    <row r="78" ht="22.5" customHeight="1">
      <c r="A78" s="59"/>
      <c r="B78" s="39"/>
      <c r="C78" s="41"/>
      <c r="D78" s="41"/>
    </row>
    <row r="79" ht="22.5" customHeight="1">
      <c r="A79" s="59"/>
      <c r="B79" s="39"/>
      <c r="C79" s="41"/>
      <c r="D79" s="41"/>
    </row>
    <row r="80" ht="22.5" customHeight="1">
      <c r="A80" s="59"/>
      <c r="B80" s="39"/>
      <c r="C80" s="41"/>
      <c r="D80" s="41"/>
    </row>
    <row r="81" ht="22.5" customHeight="1">
      <c r="A81" s="59"/>
      <c r="B81" s="39"/>
      <c r="C81" s="41"/>
      <c r="D81" s="41"/>
    </row>
    <row r="82" ht="22.5" customHeight="1">
      <c r="A82" s="59"/>
      <c r="B82" s="39"/>
      <c r="C82" s="41"/>
      <c r="D82" s="41"/>
    </row>
    <row r="83" ht="22.5" customHeight="1">
      <c r="A83" s="59"/>
      <c r="B83" s="39"/>
      <c r="C83" s="41"/>
      <c r="D83" s="41"/>
    </row>
    <row r="84" ht="22.5" customHeight="1">
      <c r="A84" s="59"/>
      <c r="B84" s="39"/>
      <c r="C84" s="41"/>
      <c r="D84" s="41"/>
    </row>
    <row r="85" ht="22.5" customHeight="1">
      <c r="A85" s="59"/>
      <c r="B85" s="39"/>
      <c r="C85" s="41"/>
      <c r="D85" s="41"/>
    </row>
    <row r="86" ht="22.5" customHeight="1">
      <c r="A86" s="59"/>
      <c r="B86" s="39"/>
      <c r="C86" s="41"/>
      <c r="D86" s="41"/>
    </row>
    <row r="87" ht="22.5" customHeight="1">
      <c r="A87" s="59"/>
      <c r="B87" s="39"/>
      <c r="C87" s="41"/>
      <c r="D87" s="41"/>
    </row>
    <row r="88" ht="22.5" customHeight="1">
      <c r="A88" s="59"/>
      <c r="B88" s="39"/>
      <c r="C88" s="41"/>
      <c r="D88" s="41"/>
    </row>
    <row r="89" ht="22.5" customHeight="1">
      <c r="A89" s="59"/>
      <c r="B89" s="39"/>
      <c r="C89" s="41"/>
      <c r="D89" s="41"/>
    </row>
    <row r="90" ht="22.5" customHeight="1">
      <c r="A90" s="59"/>
      <c r="B90" s="39"/>
      <c r="C90" s="41"/>
      <c r="D90" s="41"/>
    </row>
    <row r="91" ht="22.5" customHeight="1">
      <c r="A91" s="59"/>
      <c r="B91" s="39"/>
      <c r="C91" s="41"/>
      <c r="D91" s="41"/>
    </row>
    <row r="92" ht="22.5" customHeight="1">
      <c r="A92" s="59"/>
      <c r="B92" s="39"/>
      <c r="C92" s="41"/>
      <c r="D92" s="41"/>
    </row>
    <row r="93" ht="22.5" customHeight="1">
      <c r="A93" s="59"/>
      <c r="B93" s="39"/>
      <c r="C93" s="41"/>
      <c r="D93" s="41"/>
    </row>
    <row r="94" ht="22.5" customHeight="1">
      <c r="A94" s="59"/>
      <c r="B94" s="39"/>
      <c r="C94" s="41"/>
      <c r="D94" s="41"/>
    </row>
    <row r="95" ht="22.5" customHeight="1">
      <c r="A95" s="59"/>
      <c r="B95" s="39"/>
      <c r="C95" s="41"/>
      <c r="D95" s="41"/>
    </row>
    <row r="96" ht="22.5" customHeight="1">
      <c r="A96" s="59"/>
      <c r="B96" s="39"/>
      <c r="C96" s="41"/>
      <c r="D96" s="41"/>
    </row>
    <row r="97" ht="22.5" customHeight="1">
      <c r="A97" s="59"/>
      <c r="B97" s="39"/>
      <c r="C97" s="41"/>
      <c r="D97" s="41"/>
    </row>
    <row r="98" ht="22.5" customHeight="1">
      <c r="A98" s="59"/>
      <c r="B98" s="39"/>
      <c r="C98" s="41"/>
      <c r="D98" s="41"/>
    </row>
    <row r="99" ht="22.5" customHeight="1">
      <c r="A99" s="59"/>
      <c r="B99" s="39"/>
      <c r="C99" s="41"/>
      <c r="D99" s="41"/>
    </row>
    <row r="100" ht="22.5" customHeight="1">
      <c r="A100" s="59"/>
      <c r="B100" s="39"/>
      <c r="C100" s="41"/>
      <c r="D100" s="41"/>
    </row>
    <row r="101" ht="22.5" customHeight="1">
      <c r="A101" s="59"/>
      <c r="B101" s="39"/>
      <c r="C101" s="41"/>
      <c r="D101" s="41"/>
    </row>
    <row r="102" ht="22.5" customHeight="1">
      <c r="A102" s="59"/>
      <c r="B102" s="39"/>
      <c r="C102" s="41"/>
      <c r="D102" s="41"/>
    </row>
    <row r="103" ht="22.5" customHeight="1">
      <c r="A103" s="59"/>
      <c r="B103" s="39"/>
      <c r="C103" s="41"/>
      <c r="D103" s="41"/>
    </row>
    <row r="104" ht="22.5" customHeight="1">
      <c r="A104" s="59"/>
      <c r="B104" s="39"/>
      <c r="C104" s="41"/>
      <c r="D104" s="41"/>
    </row>
    <row r="105" ht="22.5" customHeight="1">
      <c r="A105" s="59"/>
      <c r="B105" s="39"/>
      <c r="C105" s="41"/>
      <c r="D105" s="41"/>
    </row>
    <row r="106" ht="22.5" customHeight="1">
      <c r="A106" s="59"/>
      <c r="B106" s="39"/>
      <c r="C106" s="41"/>
      <c r="D106" s="41"/>
    </row>
    <row r="107" ht="22.5" customHeight="1">
      <c r="A107" s="59"/>
      <c r="B107" s="39"/>
      <c r="C107" s="41"/>
      <c r="D107" s="41"/>
    </row>
    <row r="108" ht="22.5" customHeight="1">
      <c r="A108" s="59"/>
      <c r="B108" s="39"/>
      <c r="C108" s="41"/>
      <c r="D108" s="41"/>
    </row>
    <row r="109" ht="22.5" customHeight="1">
      <c r="A109" s="59"/>
      <c r="B109" s="39"/>
      <c r="C109" s="41"/>
      <c r="D109" s="41"/>
    </row>
    <row r="110" ht="22.5" customHeight="1">
      <c r="A110" s="59"/>
      <c r="B110" s="39"/>
      <c r="C110" s="41"/>
      <c r="D110" s="41"/>
    </row>
    <row r="111" ht="22.5" customHeight="1">
      <c r="A111" s="59"/>
      <c r="B111" s="39"/>
      <c r="C111" s="41"/>
      <c r="D111" s="41"/>
    </row>
    <row r="112" ht="22.5" customHeight="1">
      <c r="A112" s="59"/>
      <c r="B112" s="39"/>
      <c r="C112" s="41"/>
      <c r="D112" s="41"/>
    </row>
    <row r="113" ht="22.5" customHeight="1">
      <c r="A113" s="59"/>
      <c r="B113" s="39"/>
      <c r="C113" s="41"/>
      <c r="D113" s="41"/>
    </row>
    <row r="114" ht="22.5" customHeight="1">
      <c r="A114" s="59"/>
      <c r="B114" s="39"/>
      <c r="C114" s="41"/>
      <c r="D114" s="41"/>
    </row>
    <row r="115" ht="22.5" customHeight="1">
      <c r="A115" s="59"/>
      <c r="B115" s="39"/>
      <c r="C115" s="41"/>
      <c r="D115" s="41"/>
    </row>
    <row r="116" ht="22.5" customHeight="1">
      <c r="A116" s="59"/>
      <c r="B116" s="39"/>
      <c r="C116" s="41"/>
      <c r="D116" s="41"/>
    </row>
    <row r="117" ht="22.5" customHeight="1">
      <c r="A117" s="59"/>
      <c r="B117" s="39"/>
      <c r="C117" s="41"/>
      <c r="D117" s="41"/>
    </row>
    <row r="118" ht="22.5" customHeight="1">
      <c r="A118" s="59"/>
      <c r="B118" s="39"/>
      <c r="C118" s="41"/>
      <c r="D118" s="41"/>
    </row>
    <row r="119" ht="22.5" customHeight="1">
      <c r="A119" s="59"/>
      <c r="B119" s="39"/>
      <c r="C119" s="41"/>
      <c r="D119" s="41"/>
    </row>
    <row r="120" ht="22.5" customHeight="1">
      <c r="A120" s="59"/>
      <c r="B120" s="39"/>
      <c r="C120" s="41"/>
      <c r="D120" s="41"/>
    </row>
    <row r="121" ht="22.5" customHeight="1">
      <c r="A121" s="59"/>
      <c r="B121" s="39"/>
      <c r="C121" s="41"/>
      <c r="D121" s="41"/>
    </row>
    <row r="122" ht="22.5" customHeight="1">
      <c r="A122" s="59"/>
      <c r="B122" s="39"/>
      <c r="C122" s="41"/>
      <c r="D122" s="41"/>
    </row>
    <row r="123" ht="22.5" customHeight="1">
      <c r="A123" s="59"/>
      <c r="B123" s="39"/>
      <c r="C123" s="41"/>
      <c r="D123" s="41"/>
    </row>
    <row r="124" ht="22.5" customHeight="1">
      <c r="A124" s="59"/>
      <c r="B124" s="39"/>
      <c r="C124" s="41"/>
      <c r="D124" s="41"/>
    </row>
    <row r="125" ht="22.5" customHeight="1">
      <c r="A125" s="59"/>
      <c r="B125" s="39"/>
      <c r="C125" s="41"/>
      <c r="D125" s="41"/>
    </row>
    <row r="126" ht="22.5" customHeight="1">
      <c r="A126" s="59"/>
      <c r="B126" s="39"/>
      <c r="C126" s="41"/>
      <c r="D126" s="41"/>
    </row>
    <row r="127" ht="22.5" customHeight="1">
      <c r="A127" s="59"/>
      <c r="B127" s="39"/>
      <c r="C127" s="41"/>
      <c r="D127" s="41"/>
    </row>
    <row r="128" ht="22.5" customHeight="1">
      <c r="A128" s="59"/>
      <c r="B128" s="39"/>
      <c r="C128" s="41"/>
      <c r="D128" s="41"/>
    </row>
    <row r="129" ht="22.5" customHeight="1">
      <c r="A129" s="59"/>
      <c r="B129" s="39"/>
      <c r="C129" s="41"/>
      <c r="D129" s="41"/>
    </row>
    <row r="130" ht="22.5" customHeight="1">
      <c r="A130" s="59"/>
      <c r="B130" s="39"/>
      <c r="C130" s="41"/>
      <c r="D130" s="41"/>
    </row>
    <row r="131" ht="22.5" customHeight="1">
      <c r="A131" s="59"/>
      <c r="B131" s="39"/>
      <c r="C131" s="41"/>
      <c r="D131" s="41"/>
    </row>
    <row r="132" ht="22.5" customHeight="1">
      <c r="A132" s="59"/>
      <c r="B132" s="39"/>
      <c r="C132" s="41"/>
      <c r="D132" s="41"/>
    </row>
    <row r="133" ht="22.5" customHeight="1">
      <c r="A133" s="59"/>
      <c r="B133" s="39"/>
      <c r="C133" s="41"/>
      <c r="D133" s="41"/>
    </row>
    <row r="134" ht="22.5" customHeight="1">
      <c r="A134" s="59"/>
      <c r="B134" s="39"/>
      <c r="C134" s="41"/>
      <c r="D134" s="41"/>
    </row>
    <row r="135" ht="22.5" customHeight="1">
      <c r="A135" s="59"/>
      <c r="B135" s="39"/>
      <c r="C135" s="41"/>
      <c r="D135" s="41"/>
    </row>
    <row r="136" ht="22.5" customHeight="1">
      <c r="A136" s="59"/>
      <c r="B136" s="39"/>
      <c r="C136" s="41"/>
      <c r="D136" s="41"/>
    </row>
    <row r="137" ht="22.5" customHeight="1">
      <c r="A137" s="59"/>
      <c r="B137" s="39"/>
      <c r="C137" s="41"/>
      <c r="D137" s="41"/>
    </row>
    <row r="138" ht="22.5" customHeight="1">
      <c r="A138" s="59"/>
      <c r="B138" s="39"/>
      <c r="C138" s="41"/>
      <c r="D138" s="41"/>
    </row>
    <row r="139" ht="22.5" customHeight="1">
      <c r="A139" s="59"/>
      <c r="B139" s="39"/>
      <c r="C139" s="41"/>
      <c r="D139" s="41"/>
    </row>
    <row r="140" ht="22.5" customHeight="1">
      <c r="A140" s="59"/>
      <c r="B140" s="39"/>
      <c r="C140" s="41"/>
      <c r="D140" s="41"/>
    </row>
    <row r="141" ht="22.5" customHeight="1">
      <c r="A141" s="59"/>
      <c r="B141" s="39"/>
      <c r="C141" s="41"/>
      <c r="D141" s="41"/>
    </row>
    <row r="142" ht="22.5" customHeight="1">
      <c r="A142" s="59"/>
      <c r="B142" s="39"/>
      <c r="C142" s="41"/>
      <c r="D142" s="41"/>
    </row>
    <row r="143" ht="22.5" customHeight="1">
      <c r="A143" s="59"/>
      <c r="B143" s="39"/>
      <c r="C143" s="41"/>
      <c r="D143" s="41"/>
    </row>
    <row r="144" ht="22.5" customHeight="1">
      <c r="A144" s="59"/>
      <c r="B144" s="39"/>
      <c r="C144" s="41"/>
      <c r="D144" s="41"/>
    </row>
    <row r="145" ht="22.5" customHeight="1">
      <c r="A145" s="59"/>
      <c r="B145" s="39"/>
      <c r="C145" s="41"/>
      <c r="D145" s="41"/>
    </row>
    <row r="146" ht="22.5" customHeight="1">
      <c r="A146" s="59"/>
      <c r="B146" s="39"/>
      <c r="C146" s="41"/>
      <c r="D146" s="41"/>
    </row>
    <row r="147" ht="22.5" customHeight="1">
      <c r="A147" s="59"/>
      <c r="B147" s="39"/>
      <c r="C147" s="41"/>
      <c r="D147" s="41"/>
    </row>
    <row r="148" ht="22.5" customHeight="1">
      <c r="A148" s="59"/>
      <c r="B148" s="39"/>
      <c r="C148" s="41"/>
      <c r="D148" s="41"/>
    </row>
    <row r="149" ht="22.5" customHeight="1">
      <c r="A149" s="59"/>
      <c r="B149" s="39"/>
      <c r="C149" s="41"/>
      <c r="D149" s="41"/>
    </row>
    <row r="150" ht="22.5" customHeight="1">
      <c r="A150" s="59"/>
      <c r="B150" s="39"/>
      <c r="C150" s="41"/>
      <c r="D150" s="41"/>
    </row>
    <row r="151" ht="22.5" customHeight="1">
      <c r="A151" s="59"/>
      <c r="B151" s="39"/>
      <c r="C151" s="41"/>
      <c r="D151" s="41"/>
    </row>
    <row r="152" ht="22.5" customHeight="1">
      <c r="A152" s="59"/>
      <c r="B152" s="39"/>
      <c r="C152" s="41"/>
      <c r="D152" s="41"/>
    </row>
    <row r="153" ht="22.5" customHeight="1">
      <c r="A153" s="59"/>
      <c r="B153" s="39"/>
      <c r="C153" s="41"/>
      <c r="D153" s="41"/>
    </row>
    <row r="154" ht="22.5" customHeight="1">
      <c r="A154" s="59"/>
      <c r="B154" s="39"/>
      <c r="C154" s="41"/>
      <c r="D154" s="41"/>
    </row>
    <row r="155" ht="22.5" customHeight="1">
      <c r="A155" s="59"/>
      <c r="B155" s="39"/>
      <c r="C155" s="41"/>
      <c r="D155" s="41"/>
    </row>
    <row r="156" ht="22.5" customHeight="1">
      <c r="A156" s="59"/>
      <c r="B156" s="39"/>
      <c r="C156" s="41"/>
      <c r="D156" s="41"/>
    </row>
    <row r="157" ht="22.5" customHeight="1">
      <c r="A157" s="59"/>
      <c r="B157" s="39"/>
      <c r="C157" s="41"/>
      <c r="D157" s="41"/>
    </row>
    <row r="158" ht="22.5" customHeight="1">
      <c r="A158" s="59"/>
      <c r="B158" s="39"/>
      <c r="C158" s="41"/>
      <c r="D158" s="41"/>
    </row>
    <row r="159" ht="22.5" customHeight="1">
      <c r="A159" s="59"/>
      <c r="B159" s="39"/>
      <c r="C159" s="41"/>
      <c r="D159" s="41"/>
    </row>
    <row r="160" ht="22.5" customHeight="1">
      <c r="A160" s="59"/>
      <c r="B160" s="39"/>
      <c r="C160" s="41"/>
      <c r="D160" s="41"/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160">
      <formula1>OR(NOT(ISERROR(DATEVALUE(A2))), AND(ISNUMBER(A2), LEFT(CELL("format", A2))="D"))</formula1>
    </dataValidation>
    <dataValidation type="custom" allowBlank="1" showDropDown="1" sqref="C2:D160">
      <formula1/>
    </dataValidation>
  </dataValidations>
  <drawing r:id="rId1"/>
  <tableParts count="1">
    <tablePart r:id="rId3"/>
  </tableParts>
</worksheet>
</file>